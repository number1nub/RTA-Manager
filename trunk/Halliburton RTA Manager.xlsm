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9525" yWindow="135" windowWidth="4725" windowHeight="8250"/>
  </bookViews>
  <sheets>
    <sheet name="Intro Checker" sheetId="10" r:id="rId1"/>
    <sheet name="RTA Manager" sheetId="4" state="hidden" r:id="rId2"/>
    <sheet name="Settings" sheetId="3" state="hidden" r:id="rId3"/>
    <sheet name="RTAimport" sheetId="5" state="hidden" r:id="rId4"/>
    <sheet name="PriorityLoad" sheetId="9" state="hidden" r:id="rId5"/>
    <sheet name="Report" sheetId="7" state="hidden" r:id="rId6"/>
  </sheets>
  <functionGroups builtInGroupCount="17"/>
  <definedNames>
    <definedName name="_xlnm._FilterDatabase" localSheetId="1" hidden="1">'RTA Manager'!$A$1:$C$1</definedName>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 localSheetId="0">#REF!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ltRange">Settings!#REF!</definedName>
    <definedName name="my_Version">Settings!$Q$13</definedName>
    <definedName name="nameQuery">'RTA Manager'!$I$4</definedName>
    <definedName name="Permanent_Monitoring_Names" localSheetId="2" hidden="1">Settings!$C$29:$C$53</definedName>
    <definedName name="pltRange">Settings!#REF!</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Manager'!$E$6:$E$1477,'RTA Manager'!$I$6:$I$1477,'RTA Manager'!$K$6:$Q$1477,'RTA Manager'!$S$6:$W$1477,'RTA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'RTA Manager'!$A$5:$R$81</definedName>
    <definedName name="reportHide">'RTA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Manager'!$B$5:$AA$1477</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106"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75" i="4"/>
  <c r="H267" i="4"/>
  <c r="H268" i="4"/>
  <c r="H269" i="4"/>
  <c r="H270" i="4"/>
  <c r="H271" i="4"/>
  <c r="H272" i="4"/>
  <c r="H273" i="4"/>
  <c r="H274" i="4"/>
  <c r="H275" i="4"/>
  <c r="H276" i="4"/>
  <c r="H277" i="4"/>
  <c r="H50"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12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101" i="4"/>
  <c r="H419" i="4"/>
  <c r="H420" i="4"/>
  <c r="H421" i="4"/>
  <c r="H422" i="4"/>
  <c r="H423" i="4"/>
  <c r="H424" i="4"/>
  <c r="H425" i="4"/>
  <c r="H426" i="4"/>
  <c r="H67"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84" i="4"/>
  <c r="H127" i="4"/>
  <c r="H88" i="4"/>
  <c r="H614" i="4"/>
  <c r="H615" i="4"/>
  <c r="H616" i="4"/>
  <c r="H617" i="4"/>
  <c r="H618" i="4"/>
  <c r="H619" i="4"/>
  <c r="H620" i="4"/>
  <c r="H621" i="4"/>
  <c r="H119" i="4"/>
  <c r="H622" i="4"/>
  <c r="H623" i="4"/>
  <c r="H92"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37" i="4"/>
  <c r="H93"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107"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110" i="4"/>
  <c r="H32"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7"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111"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77" i="4"/>
  <c r="H1004" i="4"/>
  <c r="H1005" i="4"/>
  <c r="H1006" i="4"/>
  <c r="H1007" i="4"/>
  <c r="H1008" i="4"/>
  <c r="H1009" i="4"/>
  <c r="H1010" i="4"/>
  <c r="H1011" i="4"/>
  <c r="H1012" i="4"/>
  <c r="H66"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8" i="4"/>
  <c r="H1063" i="4"/>
  <c r="H1064" i="4"/>
  <c r="H1065" i="4"/>
  <c r="H1066" i="4"/>
  <c r="H1067" i="4"/>
  <c r="H1068" i="4"/>
  <c r="H1069" i="4"/>
  <c r="H1070" i="4"/>
  <c r="H51" i="4"/>
  <c r="H1071" i="4"/>
  <c r="H1072" i="4"/>
  <c r="H1073" i="4"/>
  <c r="H1074" i="4"/>
  <c r="H1075" i="4"/>
  <c r="H1076" i="4"/>
  <c r="H1077" i="4"/>
  <c r="H1078" i="4"/>
  <c r="H1079" i="4"/>
  <c r="H1080" i="4"/>
  <c r="H91" i="4"/>
  <c r="H1081" i="4"/>
  <c r="H1082" i="4"/>
  <c r="H1083" i="4"/>
  <c r="H15" i="4"/>
  <c r="H55"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38" i="4"/>
  <c r="H9" i="4"/>
  <c r="H1109" i="4"/>
  <c r="H97"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25" i="4"/>
  <c r="H1134" i="4"/>
  <c r="H1135" i="4"/>
  <c r="H1136" i="4"/>
  <c r="H1137" i="4"/>
  <c r="H1138" i="4"/>
  <c r="H1139" i="4"/>
  <c r="H114" i="4"/>
  <c r="H1140" i="4"/>
  <c r="H1141" i="4"/>
  <c r="H1142" i="4"/>
  <c r="H1143" i="4"/>
  <c r="H1144" i="4"/>
  <c r="H1145" i="4"/>
  <c r="H1146" i="4"/>
  <c r="H1147" i="4"/>
  <c r="H1148" i="4"/>
  <c r="H1149" i="4"/>
  <c r="H1150" i="4"/>
  <c r="H1151" i="4"/>
  <c r="H1152" i="4"/>
  <c r="H1153" i="4"/>
  <c r="H1154" i="4"/>
  <c r="H1155" i="4"/>
  <c r="H1156" i="4"/>
  <c r="H1157" i="4"/>
  <c r="H1158" i="4"/>
  <c r="H1159" i="4"/>
  <c r="H61"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39" i="4"/>
  <c r="H28" i="4"/>
  <c r="H41" i="4"/>
  <c r="H33" i="4"/>
  <c r="H1205" i="4"/>
  <c r="H1206" i="4"/>
  <c r="H1207" i="4"/>
  <c r="H1208" i="4"/>
  <c r="H1209" i="4"/>
  <c r="H1210" i="4"/>
  <c r="H1211" i="4"/>
  <c r="H1212" i="4"/>
  <c r="H1213" i="4"/>
  <c r="H1214" i="4"/>
  <c r="H1215" i="4"/>
  <c r="H1216" i="4"/>
  <c r="H1217" i="4"/>
  <c r="H1218" i="4"/>
  <c r="H1219" i="4"/>
  <c r="H1220" i="4"/>
  <c r="H1221" i="4"/>
  <c r="H1222" i="4"/>
  <c r="H1223" i="4"/>
  <c r="H1224" i="4"/>
  <c r="H78" i="4"/>
  <c r="H1225" i="4"/>
  <c r="H1226" i="4"/>
  <c r="H1227" i="4"/>
  <c r="H1228" i="4"/>
  <c r="H1229" i="4"/>
  <c r="H135"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9" i="4"/>
  <c r="H1253" i="4"/>
  <c r="H1254" i="4"/>
  <c r="H1255" i="4"/>
  <c r="H1256" i="4"/>
  <c r="H1257" i="4"/>
  <c r="H1258" i="4"/>
  <c r="H1259" i="4"/>
  <c r="H1260" i="4"/>
  <c r="H1261" i="4"/>
  <c r="H45" i="4"/>
  <c r="H49" i="4"/>
  <c r="H1262" i="4"/>
  <c r="H1263" i="4"/>
  <c r="H1264" i="4"/>
  <c r="H1265" i="4"/>
  <c r="H1266" i="4"/>
  <c r="H125" i="4"/>
  <c r="H73" i="4"/>
  <c r="H102" i="4"/>
  <c r="H112" i="4"/>
  <c r="H1267" i="4"/>
  <c r="H1268" i="4"/>
  <c r="H1269" i="4"/>
  <c r="H1270" i="4"/>
  <c r="H1271" i="4"/>
  <c r="H1272" i="4"/>
  <c r="H1273" i="4"/>
  <c r="H1274" i="4"/>
  <c r="H1275" i="4"/>
  <c r="H1276" i="4"/>
  <c r="H1277" i="4"/>
  <c r="H1278" i="4"/>
  <c r="H1279" i="4"/>
  <c r="H1280" i="4"/>
  <c r="H1281" i="4"/>
  <c r="H1282" i="4"/>
  <c r="H1283" i="4"/>
  <c r="H1284" i="4"/>
  <c r="H1285" i="4"/>
  <c r="H1286" i="4"/>
  <c r="H29" i="4"/>
  <c r="H1287" i="4"/>
  <c r="H30" i="4"/>
  <c r="H1288" i="4"/>
  <c r="H1289" i="4"/>
  <c r="H1290" i="4"/>
  <c r="H1291" i="4"/>
  <c r="H1292" i="4"/>
  <c r="H1293" i="4"/>
  <c r="H1294" i="4"/>
  <c r="H1295" i="4"/>
  <c r="H34" i="4"/>
  <c r="H1296" i="4"/>
  <c r="H1297" i="4"/>
  <c r="H1298" i="4"/>
  <c r="H1299" i="4"/>
  <c r="H1300" i="4"/>
  <c r="H1301" i="4"/>
  <c r="H1302" i="4"/>
  <c r="H1303" i="4"/>
  <c r="H1304" i="4"/>
  <c r="H1305" i="4"/>
  <c r="H1306" i="4"/>
  <c r="H1307" i="4"/>
  <c r="H1308" i="4"/>
  <c r="H117" i="4"/>
  <c r="H1309" i="4"/>
  <c r="H1310" i="4"/>
  <c r="H1311" i="4"/>
  <c r="H1312" i="4"/>
  <c r="H1313" i="4"/>
  <c r="H1314" i="4"/>
  <c r="H1315" i="4"/>
  <c r="H1316" i="4"/>
  <c r="H1317" i="4"/>
  <c r="H35" i="4"/>
  <c r="H1318" i="4"/>
  <c r="H1319" i="4"/>
  <c r="H1320" i="4"/>
  <c r="H1321" i="4"/>
  <c r="H1322" i="4"/>
  <c r="H1323" i="4"/>
  <c r="H1324" i="4"/>
  <c r="H1325" i="4"/>
  <c r="H1326" i="4"/>
  <c r="H1327" i="4"/>
  <c r="H1328" i="4"/>
  <c r="H1329" i="4"/>
  <c r="H1330" i="4"/>
  <c r="H1331" i="4"/>
  <c r="H1332" i="4"/>
  <c r="H1333" i="4"/>
  <c r="H1334" i="4"/>
  <c r="H1335" i="4"/>
  <c r="H1336" i="4"/>
  <c r="H1337" i="4"/>
  <c r="H62" i="4"/>
  <c r="H1338" i="4"/>
  <c r="H1339" i="4"/>
  <c r="H123"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30" i="4"/>
  <c r="H1407" i="4"/>
  <c r="H1408" i="4"/>
  <c r="H1409" i="4"/>
  <c r="H1410" i="4"/>
  <c r="H1411" i="4"/>
  <c r="H10" i="4"/>
  <c r="H1412" i="4"/>
  <c r="H1413" i="4"/>
  <c r="H1414" i="4"/>
  <c r="H1415" i="4"/>
  <c r="H14" i="4"/>
  <c r="H1416" i="4"/>
  <c r="H1417" i="4"/>
  <c r="H133" i="4"/>
  <c r="H131" i="4"/>
  <c r="H1418" i="4"/>
  <c r="H1419" i="4"/>
  <c r="H94" i="4"/>
  <c r="H1420" i="4"/>
  <c r="H52" i="4"/>
  <c r="H1421" i="4"/>
  <c r="H16" i="4"/>
  <c r="H95" i="4"/>
  <c r="H1422" i="4"/>
  <c r="H1423" i="4"/>
  <c r="H1424" i="4"/>
  <c r="H68" i="4"/>
  <c r="H36" i="4"/>
  <c r="H1425" i="4"/>
  <c r="H1426" i="4"/>
  <c r="H1427" i="4"/>
  <c r="H63" i="4"/>
  <c r="H1428" i="4"/>
  <c r="H126" i="4"/>
  <c r="H128" i="4"/>
  <c r="H124" i="4"/>
  <c r="H122" i="4"/>
  <c r="H103" i="4"/>
  <c r="H21" i="4"/>
  <c r="H1429" i="4"/>
  <c r="H1430" i="4"/>
  <c r="H1431" i="4"/>
  <c r="H1432" i="4"/>
  <c r="H105" i="4"/>
  <c r="H1433" i="4"/>
  <c r="H1434" i="4"/>
  <c r="H1435" i="4"/>
  <c r="H1436" i="4"/>
  <c r="H1437" i="4"/>
  <c r="H1438" i="4"/>
  <c r="H1439" i="4"/>
  <c r="H82" i="4"/>
  <c r="H1440" i="4"/>
  <c r="H1441" i="4"/>
  <c r="H1442" i="4"/>
  <c r="H11" i="4"/>
  <c r="H17" i="4"/>
  <c r="H69" i="4"/>
  <c r="H1443" i="4"/>
  <c r="H1444" i="4"/>
  <c r="H19" i="4"/>
  <c r="H1445" i="4"/>
  <c r="H12" i="4"/>
  <c r="H1446" i="4"/>
  <c r="H134" i="4"/>
  <c r="H1447" i="4"/>
  <c r="H1448" i="4"/>
  <c r="H42" i="4"/>
  <c r="H1449" i="4"/>
  <c r="H1450" i="4"/>
  <c r="H79" i="4"/>
  <c r="H1451" i="4"/>
  <c r="H1452" i="4"/>
  <c r="H1453" i="4"/>
  <c r="H1454" i="4"/>
  <c r="H108" i="4"/>
  <c r="H1455" i="4"/>
  <c r="H23" i="4"/>
  <c r="H1456" i="4"/>
  <c r="H1457" i="4"/>
  <c r="H1458" i="4"/>
  <c r="H116" i="4"/>
  <c r="H20" i="4"/>
  <c r="H74" i="4"/>
  <c r="H64" i="4"/>
  <c r="H26" i="4"/>
  <c r="H1459" i="4"/>
  <c r="H86" i="4"/>
  <c r="H46" i="4"/>
  <c r="H47" i="4"/>
  <c r="H53" i="4"/>
  <c r="H109" i="4"/>
  <c r="H18" i="4"/>
  <c r="H70" i="4"/>
  <c r="H132" i="4"/>
  <c r="H56" i="4"/>
  <c r="H24" i="4"/>
  <c r="H113" i="4"/>
  <c r="H115" i="4"/>
  <c r="H1460" i="4"/>
  <c r="H31" i="4"/>
  <c r="H43" i="4"/>
  <c r="H22" i="4"/>
  <c r="H48" i="4"/>
  <c r="H27" i="4"/>
  <c r="H1461" i="4"/>
  <c r="H57" i="4"/>
  <c r="H89" i="4"/>
  <c r="H44" i="4"/>
  <c r="H1462" i="4"/>
  <c r="H13" i="4"/>
  <c r="H71" i="4"/>
  <c r="H1463" i="4"/>
  <c r="H1464" i="4"/>
  <c r="H120" i="4"/>
  <c r="H83" i="4"/>
  <c r="H76" i="4"/>
  <c r="H85" i="4"/>
  <c r="H72" i="4"/>
  <c r="H54" i="4"/>
  <c r="H1465" i="4"/>
  <c r="H80" i="4"/>
  <c r="H98" i="4"/>
  <c r="H90" i="4"/>
  <c r="H40" i="4"/>
  <c r="H96" i="4"/>
  <c r="H58" i="4"/>
  <c r="H65" i="4"/>
  <c r="H99" i="4"/>
  <c r="H87" i="4"/>
  <c r="H118" i="4"/>
  <c r="H104" i="4"/>
  <c r="H81" i="4"/>
  <c r="H100" i="4"/>
  <c r="H1466" i="4"/>
  <c r="H60" i="4"/>
  <c r="H1467" i="4"/>
  <c r="H1468" i="4"/>
  <c r="H1469" i="4"/>
  <c r="H1470" i="4"/>
  <c r="H59" i="4"/>
  <c r="H1471" i="4"/>
  <c r="H1472" i="4"/>
  <c r="H1473" i="4"/>
  <c r="H1474" i="4"/>
  <c r="H1475" i="4"/>
  <c r="H1476" i="4"/>
  <c r="H1477"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106"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75" i="4"/>
  <c r="M267" i="4"/>
  <c r="M268" i="4"/>
  <c r="M269" i="4"/>
  <c r="M270" i="4"/>
  <c r="M271" i="4"/>
  <c r="M272" i="4"/>
  <c r="M273" i="4"/>
  <c r="M274" i="4"/>
  <c r="M275" i="4"/>
  <c r="M276" i="4"/>
  <c r="M277" i="4"/>
  <c r="M50"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12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101" i="4"/>
  <c r="M419" i="4"/>
  <c r="M420" i="4"/>
  <c r="M421" i="4"/>
  <c r="M422" i="4"/>
  <c r="M423" i="4"/>
  <c r="M424" i="4"/>
  <c r="M425" i="4"/>
  <c r="M426" i="4"/>
  <c r="M67"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84" i="4"/>
  <c r="M127" i="4"/>
  <c r="M88" i="4"/>
  <c r="M614" i="4"/>
  <c r="M615" i="4"/>
  <c r="M616" i="4"/>
  <c r="M617" i="4"/>
  <c r="M618" i="4"/>
  <c r="M619" i="4"/>
  <c r="M620" i="4"/>
  <c r="M621" i="4"/>
  <c r="M119" i="4"/>
  <c r="M622" i="4"/>
  <c r="M623" i="4"/>
  <c r="M92"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37" i="4"/>
  <c r="M93"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107"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110" i="4"/>
  <c r="M32"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7"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111"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1002" i="4"/>
  <c r="M1003" i="4"/>
  <c r="M77" i="4"/>
  <c r="M1004" i="4"/>
  <c r="M1005" i="4"/>
  <c r="M1006" i="4"/>
  <c r="M1007" i="4"/>
  <c r="M1008" i="4"/>
  <c r="M1009" i="4"/>
  <c r="M1010" i="4"/>
  <c r="M1011" i="4"/>
  <c r="M1012" i="4"/>
  <c r="M66"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8" i="4"/>
  <c r="M1063" i="4"/>
  <c r="M1064" i="4"/>
  <c r="M1065" i="4"/>
  <c r="M1066" i="4"/>
  <c r="M1067" i="4"/>
  <c r="M1068" i="4"/>
  <c r="M1069" i="4"/>
  <c r="M1070" i="4"/>
  <c r="M51" i="4"/>
  <c r="M1071" i="4"/>
  <c r="M1072" i="4"/>
  <c r="M1073" i="4"/>
  <c r="M1074" i="4"/>
  <c r="M1075" i="4"/>
  <c r="M1076" i="4"/>
  <c r="M1077" i="4"/>
  <c r="M1078" i="4"/>
  <c r="M1079" i="4"/>
  <c r="M1080" i="4"/>
  <c r="M91" i="4"/>
  <c r="M1081" i="4"/>
  <c r="M1082" i="4"/>
  <c r="M1083" i="4"/>
  <c r="M15" i="4"/>
  <c r="M55" i="4"/>
  <c r="M1084" i="4"/>
  <c r="M1085" i="4"/>
  <c r="M1086" i="4"/>
  <c r="M1087" i="4"/>
  <c r="M1088" i="4"/>
  <c r="M1089" i="4"/>
  <c r="M1090" i="4"/>
  <c r="M1091" i="4"/>
  <c r="M1092" i="4"/>
  <c r="M1093" i="4"/>
  <c r="M1094" i="4"/>
  <c r="M1095" i="4"/>
  <c r="M1096" i="4"/>
  <c r="M1097" i="4"/>
  <c r="M1098" i="4"/>
  <c r="M1099" i="4"/>
  <c r="M1100" i="4"/>
  <c r="M1101" i="4"/>
  <c r="M1102" i="4"/>
  <c r="M1103" i="4"/>
  <c r="M1104" i="4"/>
  <c r="M1105" i="4"/>
  <c r="M1106" i="4"/>
  <c r="M1107" i="4"/>
  <c r="M1108" i="4"/>
  <c r="M38" i="4"/>
  <c r="M9" i="4"/>
  <c r="M1109" i="4"/>
  <c r="M97"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25" i="4"/>
  <c r="M1134" i="4"/>
  <c r="M1135" i="4"/>
  <c r="M1136" i="4"/>
  <c r="M1137" i="4"/>
  <c r="M1138" i="4"/>
  <c r="M1139" i="4"/>
  <c r="M114" i="4"/>
  <c r="M1140" i="4"/>
  <c r="M1141" i="4"/>
  <c r="M1142" i="4"/>
  <c r="M1143" i="4"/>
  <c r="M1144" i="4"/>
  <c r="M1145" i="4"/>
  <c r="M1146" i="4"/>
  <c r="M1147" i="4"/>
  <c r="M1148" i="4"/>
  <c r="M1149" i="4"/>
  <c r="M1150" i="4"/>
  <c r="M1151" i="4"/>
  <c r="M1152" i="4"/>
  <c r="M1153" i="4"/>
  <c r="M1154" i="4"/>
  <c r="M1155" i="4"/>
  <c r="M1156" i="4"/>
  <c r="M1157" i="4"/>
  <c r="M1158" i="4"/>
  <c r="M1159" i="4"/>
  <c r="M61" i="4"/>
  <c r="M1160" i="4"/>
  <c r="M1161" i="4"/>
  <c r="M1162" i="4"/>
  <c r="M1163" i="4"/>
  <c r="M1164" i="4"/>
  <c r="M1165" i="4"/>
  <c r="M1166" i="4"/>
  <c r="M1167" i="4"/>
  <c r="M1168" i="4"/>
  <c r="M1169" i="4"/>
  <c r="M1170" i="4"/>
  <c r="M1171" i="4"/>
  <c r="M1172" i="4"/>
  <c r="M1173" i="4"/>
  <c r="M1174" i="4"/>
  <c r="M1175" i="4"/>
  <c r="M1176" i="4"/>
  <c r="M1177" i="4"/>
  <c r="M1178" i="4"/>
  <c r="M1179" i="4"/>
  <c r="M1180" i="4"/>
  <c r="M1181" i="4"/>
  <c r="M1182" i="4"/>
  <c r="M1183" i="4"/>
  <c r="M1184" i="4"/>
  <c r="M1185" i="4"/>
  <c r="M1186" i="4"/>
  <c r="M1187" i="4"/>
  <c r="M1188" i="4"/>
  <c r="M1189" i="4"/>
  <c r="M1190" i="4"/>
  <c r="M1191" i="4"/>
  <c r="M1192" i="4"/>
  <c r="M1193" i="4"/>
  <c r="M1194" i="4"/>
  <c r="M1195" i="4"/>
  <c r="M1196" i="4"/>
  <c r="M1197" i="4"/>
  <c r="M1198" i="4"/>
  <c r="M1199" i="4"/>
  <c r="M1200" i="4"/>
  <c r="M1201" i="4"/>
  <c r="M1202" i="4"/>
  <c r="M1203" i="4"/>
  <c r="M1204" i="4"/>
  <c r="M39" i="4"/>
  <c r="M28" i="4"/>
  <c r="M41" i="4"/>
  <c r="M33" i="4"/>
  <c r="M1205" i="4"/>
  <c r="M1206" i="4"/>
  <c r="M1207" i="4"/>
  <c r="M1208" i="4"/>
  <c r="M1209" i="4"/>
  <c r="M1210" i="4"/>
  <c r="M1211" i="4"/>
  <c r="M1212" i="4"/>
  <c r="M1213" i="4"/>
  <c r="M1214" i="4"/>
  <c r="M1215" i="4"/>
  <c r="M1216" i="4"/>
  <c r="M1217" i="4"/>
  <c r="M1218" i="4"/>
  <c r="M1219" i="4"/>
  <c r="M1220" i="4"/>
  <c r="M1221" i="4"/>
  <c r="M1222" i="4"/>
  <c r="M1223" i="4"/>
  <c r="M1224" i="4"/>
  <c r="M78" i="4"/>
  <c r="M1225" i="4"/>
  <c r="M1226" i="4"/>
  <c r="M1227" i="4"/>
  <c r="M1228" i="4"/>
  <c r="M1229" i="4"/>
  <c r="M135"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9" i="4"/>
  <c r="M1253" i="4"/>
  <c r="M1254" i="4"/>
  <c r="M1255" i="4"/>
  <c r="M1256" i="4"/>
  <c r="M1257" i="4"/>
  <c r="M1258" i="4"/>
  <c r="M1259" i="4"/>
  <c r="M1260" i="4"/>
  <c r="M1261" i="4"/>
  <c r="M45" i="4"/>
  <c r="M49" i="4"/>
  <c r="M1262" i="4"/>
  <c r="M1263" i="4"/>
  <c r="M1264" i="4"/>
  <c r="M1265" i="4"/>
  <c r="M1266" i="4"/>
  <c r="M125" i="4"/>
  <c r="M73" i="4"/>
  <c r="M102" i="4"/>
  <c r="M112" i="4"/>
  <c r="M1267" i="4"/>
  <c r="M1268" i="4"/>
  <c r="M1269" i="4"/>
  <c r="M1270" i="4"/>
  <c r="M1271" i="4"/>
  <c r="M1272" i="4"/>
  <c r="M1273" i="4"/>
  <c r="M1274" i="4"/>
  <c r="M1275" i="4"/>
  <c r="M1276" i="4"/>
  <c r="M1277" i="4"/>
  <c r="M1278" i="4"/>
  <c r="M1279" i="4"/>
  <c r="M1280" i="4"/>
  <c r="M1281" i="4"/>
  <c r="M1282" i="4"/>
  <c r="M1283" i="4"/>
  <c r="M1284" i="4"/>
  <c r="M1285" i="4"/>
  <c r="M1286" i="4"/>
  <c r="M29" i="4"/>
  <c r="M1287" i="4"/>
  <c r="M30" i="4"/>
  <c r="M1288" i="4"/>
  <c r="M1289" i="4"/>
  <c r="M1290" i="4"/>
  <c r="M1291" i="4"/>
  <c r="M1292" i="4"/>
  <c r="M1293" i="4"/>
  <c r="M1294" i="4"/>
  <c r="M1295" i="4"/>
  <c r="M34" i="4"/>
  <c r="M1296" i="4"/>
  <c r="M1297" i="4"/>
  <c r="M1298" i="4"/>
  <c r="M1299" i="4"/>
  <c r="M1300" i="4"/>
  <c r="M1301" i="4"/>
  <c r="M1302" i="4"/>
  <c r="M1303" i="4"/>
  <c r="M1304" i="4"/>
  <c r="M1305" i="4"/>
  <c r="M1306" i="4"/>
  <c r="M1307" i="4"/>
  <c r="M1308" i="4"/>
  <c r="M117" i="4"/>
  <c r="M1309" i="4"/>
  <c r="M1310" i="4"/>
  <c r="M1311" i="4"/>
  <c r="M1312" i="4"/>
  <c r="M1313" i="4"/>
  <c r="M1314" i="4"/>
  <c r="M1315" i="4"/>
  <c r="M1316" i="4"/>
  <c r="M1317" i="4"/>
  <c r="M35" i="4"/>
  <c r="M1318" i="4"/>
  <c r="M1319" i="4"/>
  <c r="M1320" i="4"/>
  <c r="M1321" i="4"/>
  <c r="M1322" i="4"/>
  <c r="M1323" i="4"/>
  <c r="M1324" i="4"/>
  <c r="M1325" i="4"/>
  <c r="M1326" i="4"/>
  <c r="M1327" i="4"/>
  <c r="M1328" i="4"/>
  <c r="M1329" i="4"/>
  <c r="M1330" i="4"/>
  <c r="M1331" i="4"/>
  <c r="M1332" i="4"/>
  <c r="M1333" i="4"/>
  <c r="M1334" i="4"/>
  <c r="M1335" i="4"/>
  <c r="M1336" i="4"/>
  <c r="M1337" i="4"/>
  <c r="M62" i="4"/>
  <c r="M1338" i="4"/>
  <c r="M1339" i="4"/>
  <c r="M123" i="4"/>
  <c r="M1340" i="4"/>
  <c r="M1341" i="4"/>
  <c r="M1342" i="4"/>
  <c r="M1343" i="4"/>
  <c r="M1344" i="4"/>
  <c r="M1345" i="4"/>
  <c r="M1346" i="4"/>
  <c r="M1347" i="4"/>
  <c r="M1348" i="4"/>
  <c r="M1349" i="4"/>
  <c r="M1350" i="4"/>
  <c r="M1351" i="4"/>
  <c r="M1352" i="4"/>
  <c r="M1353" i="4"/>
  <c r="M1354" i="4"/>
  <c r="M1355" i="4"/>
  <c r="M1356" i="4"/>
  <c r="M1357" i="4"/>
  <c r="M1358" i="4"/>
  <c r="M1359" i="4"/>
  <c r="M1360" i="4"/>
  <c r="M1361" i="4"/>
  <c r="M1362" i="4"/>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30" i="4"/>
  <c r="M1407" i="4"/>
  <c r="M1408" i="4"/>
  <c r="M1409" i="4"/>
  <c r="M1410" i="4"/>
  <c r="M1411" i="4"/>
  <c r="M10" i="4"/>
  <c r="M1412" i="4"/>
  <c r="M1413" i="4"/>
  <c r="M1414" i="4"/>
  <c r="M1415" i="4"/>
  <c r="M14" i="4"/>
  <c r="M1416" i="4"/>
  <c r="M1417" i="4"/>
  <c r="M133" i="4"/>
  <c r="M131" i="4"/>
  <c r="M1418" i="4"/>
  <c r="M1419" i="4"/>
  <c r="M94" i="4"/>
  <c r="M1420" i="4"/>
  <c r="M52" i="4"/>
  <c r="M1421" i="4"/>
  <c r="M16" i="4"/>
  <c r="M95" i="4"/>
  <c r="M1422" i="4"/>
  <c r="M1423" i="4"/>
  <c r="M1424" i="4"/>
  <c r="M68" i="4"/>
  <c r="M36" i="4"/>
  <c r="M1425" i="4"/>
  <c r="M1426" i="4"/>
  <c r="M1427" i="4"/>
  <c r="M63" i="4"/>
  <c r="M1428" i="4"/>
  <c r="M126" i="4"/>
  <c r="M128" i="4"/>
  <c r="M124" i="4"/>
  <c r="M122" i="4"/>
  <c r="M103" i="4"/>
  <c r="M21" i="4"/>
  <c r="M1429" i="4"/>
  <c r="M1430" i="4"/>
  <c r="M1431" i="4"/>
  <c r="M1432" i="4"/>
  <c r="M105" i="4"/>
  <c r="M1433" i="4"/>
  <c r="M1434" i="4"/>
  <c r="M1435" i="4"/>
  <c r="M1436" i="4"/>
  <c r="M1437" i="4"/>
  <c r="M1438" i="4"/>
  <c r="M1439" i="4"/>
  <c r="M82" i="4"/>
  <c r="M1440" i="4"/>
  <c r="M1441" i="4"/>
  <c r="M1442" i="4"/>
  <c r="M11" i="4"/>
  <c r="M17" i="4"/>
  <c r="M69" i="4"/>
  <c r="M1443" i="4"/>
  <c r="M1444" i="4"/>
  <c r="M19" i="4"/>
  <c r="M1445" i="4"/>
  <c r="M12" i="4"/>
  <c r="M1446" i="4"/>
  <c r="M134" i="4"/>
  <c r="M1447" i="4"/>
  <c r="M1448" i="4"/>
  <c r="M42" i="4"/>
  <c r="M1449" i="4"/>
  <c r="M1450" i="4"/>
  <c r="M79" i="4"/>
  <c r="M1451" i="4"/>
  <c r="M1452" i="4"/>
  <c r="M1453" i="4"/>
  <c r="M1454" i="4"/>
  <c r="M108" i="4"/>
  <c r="M1455" i="4"/>
  <c r="M23" i="4"/>
  <c r="M1456" i="4"/>
  <c r="M1457" i="4"/>
  <c r="M1458" i="4"/>
  <c r="M116" i="4"/>
  <c r="M20" i="4"/>
  <c r="M74" i="4"/>
  <c r="M64" i="4"/>
  <c r="M26" i="4"/>
  <c r="M1459" i="4"/>
  <c r="M86" i="4"/>
  <c r="M46" i="4"/>
  <c r="M47" i="4"/>
  <c r="M53" i="4"/>
  <c r="M109" i="4"/>
  <c r="M18" i="4"/>
  <c r="M70" i="4"/>
  <c r="M132" i="4"/>
  <c r="M56" i="4"/>
  <c r="M24" i="4"/>
  <c r="M113" i="4"/>
  <c r="M115" i="4"/>
  <c r="M1460" i="4"/>
  <c r="M31" i="4"/>
  <c r="M43" i="4"/>
  <c r="M22" i="4"/>
  <c r="M48" i="4"/>
  <c r="M27" i="4"/>
  <c r="M1461" i="4"/>
  <c r="M57" i="4"/>
  <c r="M89" i="4"/>
  <c r="M44" i="4"/>
  <c r="M1462" i="4"/>
  <c r="M13" i="4"/>
  <c r="M71" i="4"/>
  <c r="M1463" i="4"/>
  <c r="M1464" i="4"/>
  <c r="M120" i="4"/>
  <c r="M83" i="4"/>
  <c r="M76" i="4"/>
  <c r="M85" i="4"/>
  <c r="M72" i="4"/>
  <c r="M54" i="4"/>
  <c r="M1465" i="4"/>
  <c r="M80" i="4"/>
  <c r="M98" i="4"/>
  <c r="M90" i="4"/>
  <c r="M40" i="4"/>
  <c r="M96" i="4"/>
  <c r="M58" i="4"/>
  <c r="M65" i="4"/>
  <c r="M99" i="4"/>
  <c r="M87" i="4"/>
  <c r="M118" i="4"/>
  <c r="M104" i="4"/>
  <c r="M81" i="4"/>
  <c r="M100" i="4"/>
  <c r="M1466" i="4"/>
  <c r="M60" i="4"/>
  <c r="M1467" i="4"/>
  <c r="M1468" i="4"/>
  <c r="M1469" i="4"/>
  <c r="M1470" i="4"/>
  <c r="M59" i="4"/>
  <c r="M1471" i="4"/>
  <c r="M1472" i="4"/>
  <c r="M1473" i="4"/>
  <c r="M1474" i="4"/>
  <c r="M1475" i="4"/>
  <c r="M1476" i="4"/>
  <c r="M1477"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106"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75" i="4"/>
  <c r="N267" i="4"/>
  <c r="N268" i="4"/>
  <c r="N269" i="4"/>
  <c r="N270" i="4"/>
  <c r="N271" i="4"/>
  <c r="N272" i="4"/>
  <c r="N273" i="4"/>
  <c r="N274" i="4"/>
  <c r="N275" i="4"/>
  <c r="N276" i="4"/>
  <c r="N277" i="4"/>
  <c r="N50"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12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101" i="4"/>
  <c r="N419" i="4"/>
  <c r="N420" i="4"/>
  <c r="N421" i="4"/>
  <c r="N422" i="4"/>
  <c r="N423" i="4"/>
  <c r="N424" i="4"/>
  <c r="N425" i="4"/>
  <c r="N426" i="4"/>
  <c r="N67"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84" i="4"/>
  <c r="N127" i="4"/>
  <c r="N88" i="4"/>
  <c r="N614" i="4"/>
  <c r="N615" i="4"/>
  <c r="N616" i="4"/>
  <c r="N617" i="4"/>
  <c r="N618" i="4"/>
  <c r="N619" i="4"/>
  <c r="N620" i="4"/>
  <c r="N621" i="4"/>
  <c r="N119" i="4"/>
  <c r="N622" i="4"/>
  <c r="N623" i="4"/>
  <c r="N92"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37" i="4"/>
  <c r="N93"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107"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110" i="4"/>
  <c r="N32"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7"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111"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1002" i="4"/>
  <c r="N1003" i="4"/>
  <c r="N77" i="4"/>
  <c r="N1004" i="4"/>
  <c r="N1005" i="4"/>
  <c r="N1006" i="4"/>
  <c r="N1007" i="4"/>
  <c r="N1008" i="4"/>
  <c r="N1009" i="4"/>
  <c r="N1010" i="4"/>
  <c r="N1011" i="4"/>
  <c r="N1012" i="4"/>
  <c r="N66"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8" i="4"/>
  <c r="N1063" i="4"/>
  <c r="N1064" i="4"/>
  <c r="N1065" i="4"/>
  <c r="N1066" i="4"/>
  <c r="N1067" i="4"/>
  <c r="N1068" i="4"/>
  <c r="N1069" i="4"/>
  <c r="N1070" i="4"/>
  <c r="N51" i="4"/>
  <c r="N1071" i="4"/>
  <c r="N1072" i="4"/>
  <c r="N1073" i="4"/>
  <c r="N1074" i="4"/>
  <c r="N1075" i="4"/>
  <c r="N1076" i="4"/>
  <c r="N1077" i="4"/>
  <c r="N1078" i="4"/>
  <c r="N1079" i="4"/>
  <c r="N1080" i="4"/>
  <c r="N91" i="4"/>
  <c r="N1081" i="4"/>
  <c r="N1082" i="4"/>
  <c r="N1083" i="4"/>
  <c r="N15" i="4"/>
  <c r="N55" i="4"/>
  <c r="N1084" i="4"/>
  <c r="N1085" i="4"/>
  <c r="N1086" i="4"/>
  <c r="N1087" i="4"/>
  <c r="N1088" i="4"/>
  <c r="N1089" i="4"/>
  <c r="N1090" i="4"/>
  <c r="N1091" i="4"/>
  <c r="N1092" i="4"/>
  <c r="N1093" i="4"/>
  <c r="N1094" i="4"/>
  <c r="N1095" i="4"/>
  <c r="N1096" i="4"/>
  <c r="N1097" i="4"/>
  <c r="N1098" i="4"/>
  <c r="N1099" i="4"/>
  <c r="N1100" i="4"/>
  <c r="N1101" i="4"/>
  <c r="N1102" i="4"/>
  <c r="N1103" i="4"/>
  <c r="N1104" i="4"/>
  <c r="N1105" i="4"/>
  <c r="N1106" i="4"/>
  <c r="N1107" i="4"/>
  <c r="N1108" i="4"/>
  <c r="N38" i="4"/>
  <c r="N9" i="4"/>
  <c r="N1109" i="4"/>
  <c r="N97"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25" i="4"/>
  <c r="N1134" i="4"/>
  <c r="N1135" i="4"/>
  <c r="N1136" i="4"/>
  <c r="N1137" i="4"/>
  <c r="N1138" i="4"/>
  <c r="N1139" i="4"/>
  <c r="N114" i="4"/>
  <c r="N1140" i="4"/>
  <c r="N1141" i="4"/>
  <c r="N1142" i="4"/>
  <c r="N1143" i="4"/>
  <c r="N1144" i="4"/>
  <c r="N1145" i="4"/>
  <c r="N1146" i="4"/>
  <c r="N1147" i="4"/>
  <c r="N1148" i="4"/>
  <c r="N1149" i="4"/>
  <c r="N1150" i="4"/>
  <c r="N1151" i="4"/>
  <c r="N1152" i="4"/>
  <c r="N1153" i="4"/>
  <c r="N1154" i="4"/>
  <c r="N1155" i="4"/>
  <c r="N1156" i="4"/>
  <c r="N1157" i="4"/>
  <c r="N1158" i="4"/>
  <c r="N1159" i="4"/>
  <c r="N61" i="4"/>
  <c r="N1160" i="4"/>
  <c r="N1161" i="4"/>
  <c r="N1162" i="4"/>
  <c r="N1163" i="4"/>
  <c r="N1164" i="4"/>
  <c r="N1165" i="4"/>
  <c r="N1166" i="4"/>
  <c r="N1167" i="4"/>
  <c r="N1168" i="4"/>
  <c r="N1169" i="4"/>
  <c r="N1170" i="4"/>
  <c r="N1171" i="4"/>
  <c r="N1172" i="4"/>
  <c r="N1173" i="4"/>
  <c r="N1174" i="4"/>
  <c r="N1175" i="4"/>
  <c r="N1176" i="4"/>
  <c r="N1177" i="4"/>
  <c r="N1178" i="4"/>
  <c r="N1179" i="4"/>
  <c r="N1180" i="4"/>
  <c r="N1181" i="4"/>
  <c r="N1182" i="4"/>
  <c r="N1183" i="4"/>
  <c r="N1184" i="4"/>
  <c r="N1185" i="4"/>
  <c r="N1186" i="4"/>
  <c r="N1187" i="4"/>
  <c r="N1188" i="4"/>
  <c r="N1189" i="4"/>
  <c r="N1190" i="4"/>
  <c r="N1191" i="4"/>
  <c r="N1192" i="4"/>
  <c r="N1193" i="4"/>
  <c r="N1194" i="4"/>
  <c r="N1195" i="4"/>
  <c r="N1196" i="4"/>
  <c r="N1197" i="4"/>
  <c r="N1198" i="4"/>
  <c r="N1199" i="4"/>
  <c r="N1200" i="4"/>
  <c r="N1201" i="4"/>
  <c r="N1202" i="4"/>
  <c r="N1203" i="4"/>
  <c r="N1204" i="4"/>
  <c r="N39" i="4"/>
  <c r="N28" i="4"/>
  <c r="N41" i="4"/>
  <c r="N33" i="4"/>
  <c r="N1205" i="4"/>
  <c r="N1206" i="4"/>
  <c r="N1207" i="4"/>
  <c r="N1208" i="4"/>
  <c r="N1209" i="4"/>
  <c r="N1210" i="4"/>
  <c r="N1211" i="4"/>
  <c r="N1212" i="4"/>
  <c r="N1213" i="4"/>
  <c r="N1214" i="4"/>
  <c r="N1215" i="4"/>
  <c r="N1216" i="4"/>
  <c r="N1217" i="4"/>
  <c r="N1218" i="4"/>
  <c r="N1219" i="4"/>
  <c r="N1220" i="4"/>
  <c r="N1221" i="4"/>
  <c r="N1222" i="4"/>
  <c r="N1223" i="4"/>
  <c r="N1224" i="4"/>
  <c r="N78" i="4"/>
  <c r="N1225" i="4"/>
  <c r="N1226" i="4"/>
  <c r="N1227" i="4"/>
  <c r="N1228" i="4"/>
  <c r="N1229" i="4"/>
  <c r="N135"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9" i="4"/>
  <c r="N1253" i="4"/>
  <c r="N1254" i="4"/>
  <c r="N1255" i="4"/>
  <c r="N1256" i="4"/>
  <c r="N1257" i="4"/>
  <c r="N1258" i="4"/>
  <c r="N1259" i="4"/>
  <c r="N1260" i="4"/>
  <c r="N1261" i="4"/>
  <c r="N45" i="4"/>
  <c r="N49" i="4"/>
  <c r="N1262" i="4"/>
  <c r="N1263" i="4"/>
  <c r="N1264" i="4"/>
  <c r="N1265" i="4"/>
  <c r="N1266" i="4"/>
  <c r="N125" i="4"/>
  <c r="N73" i="4"/>
  <c r="N102" i="4"/>
  <c r="N112" i="4"/>
  <c r="N1267" i="4"/>
  <c r="N1268" i="4"/>
  <c r="N1269" i="4"/>
  <c r="N1270" i="4"/>
  <c r="N1271" i="4"/>
  <c r="N1272" i="4"/>
  <c r="N1273" i="4"/>
  <c r="N1274" i="4"/>
  <c r="N1275" i="4"/>
  <c r="N1276" i="4"/>
  <c r="N1277" i="4"/>
  <c r="N1278" i="4"/>
  <c r="N1279" i="4"/>
  <c r="N1280" i="4"/>
  <c r="N1281" i="4"/>
  <c r="N1282" i="4"/>
  <c r="N1283" i="4"/>
  <c r="N1284" i="4"/>
  <c r="N1285" i="4"/>
  <c r="N1286" i="4"/>
  <c r="N29" i="4"/>
  <c r="N1287" i="4"/>
  <c r="N30" i="4"/>
  <c r="N1288" i="4"/>
  <c r="N1289" i="4"/>
  <c r="N1290" i="4"/>
  <c r="N1291" i="4"/>
  <c r="N1292" i="4"/>
  <c r="N1293" i="4"/>
  <c r="N1294" i="4"/>
  <c r="N1295" i="4"/>
  <c r="N34" i="4"/>
  <c r="N1296" i="4"/>
  <c r="N1297" i="4"/>
  <c r="N1298" i="4"/>
  <c r="N1299" i="4"/>
  <c r="N1300" i="4"/>
  <c r="N1301" i="4"/>
  <c r="N1302" i="4"/>
  <c r="N1303" i="4"/>
  <c r="N1304" i="4"/>
  <c r="N1305" i="4"/>
  <c r="N1306" i="4"/>
  <c r="N1307" i="4"/>
  <c r="N1308" i="4"/>
  <c r="N117" i="4"/>
  <c r="N1309" i="4"/>
  <c r="N1310" i="4"/>
  <c r="N1311" i="4"/>
  <c r="N1312" i="4"/>
  <c r="N1313" i="4"/>
  <c r="N1314" i="4"/>
  <c r="N1315" i="4"/>
  <c r="N1316" i="4"/>
  <c r="N1317" i="4"/>
  <c r="N35" i="4"/>
  <c r="N1318" i="4"/>
  <c r="N1319" i="4"/>
  <c r="N1320" i="4"/>
  <c r="N1321" i="4"/>
  <c r="N1322" i="4"/>
  <c r="N1323" i="4"/>
  <c r="N1324" i="4"/>
  <c r="N1325" i="4"/>
  <c r="N1326" i="4"/>
  <c r="N1327" i="4"/>
  <c r="N1328" i="4"/>
  <c r="N1329" i="4"/>
  <c r="N1330" i="4"/>
  <c r="N1331" i="4"/>
  <c r="N1332" i="4"/>
  <c r="N1333" i="4"/>
  <c r="N1334" i="4"/>
  <c r="N1335" i="4"/>
  <c r="N1336" i="4"/>
  <c r="N1337" i="4"/>
  <c r="N62" i="4"/>
  <c r="N1338" i="4"/>
  <c r="N1339" i="4"/>
  <c r="N123" i="4"/>
  <c r="N1340" i="4"/>
  <c r="N1341" i="4"/>
  <c r="N1342" i="4"/>
  <c r="N1343" i="4"/>
  <c r="N1344" i="4"/>
  <c r="N1345" i="4"/>
  <c r="N1346" i="4"/>
  <c r="N1347" i="4"/>
  <c r="N1348" i="4"/>
  <c r="N1349" i="4"/>
  <c r="N1350" i="4"/>
  <c r="N1351" i="4"/>
  <c r="N1352" i="4"/>
  <c r="N1353" i="4"/>
  <c r="N1354" i="4"/>
  <c r="N1355" i="4"/>
  <c r="N1356" i="4"/>
  <c r="N1357" i="4"/>
  <c r="N1358" i="4"/>
  <c r="N1359" i="4"/>
  <c r="N1360" i="4"/>
  <c r="N1361" i="4"/>
  <c r="N1362" i="4"/>
  <c r="N1363" i="4"/>
  <c r="N1364" i="4"/>
  <c r="N1365" i="4"/>
  <c r="N1366" i="4"/>
  <c r="N1367" i="4"/>
  <c r="N1368" i="4"/>
  <c r="N1369"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30" i="4"/>
  <c r="N1407" i="4"/>
  <c r="N1408" i="4"/>
  <c r="N1409" i="4"/>
  <c r="N1410" i="4"/>
  <c r="N1411" i="4"/>
  <c r="N10" i="4"/>
  <c r="N1412" i="4"/>
  <c r="N1413" i="4"/>
  <c r="N1414" i="4"/>
  <c r="N1415" i="4"/>
  <c r="N14" i="4"/>
  <c r="N1416" i="4"/>
  <c r="N1417" i="4"/>
  <c r="N133" i="4"/>
  <c r="N131" i="4"/>
  <c r="N1418" i="4"/>
  <c r="N1419" i="4"/>
  <c r="N94" i="4"/>
  <c r="N1420" i="4"/>
  <c r="N52" i="4"/>
  <c r="N1421" i="4"/>
  <c r="N16" i="4"/>
  <c r="N95" i="4"/>
  <c r="N1422" i="4"/>
  <c r="N1423" i="4"/>
  <c r="N1424" i="4"/>
  <c r="N68" i="4"/>
  <c r="N36" i="4"/>
  <c r="N1425" i="4"/>
  <c r="N1426" i="4"/>
  <c r="N1427" i="4"/>
  <c r="N63" i="4"/>
  <c r="N1428" i="4"/>
  <c r="N126" i="4"/>
  <c r="N128" i="4"/>
  <c r="N124" i="4"/>
  <c r="N122" i="4"/>
  <c r="N103" i="4"/>
  <c r="N21" i="4"/>
  <c r="N1429" i="4"/>
  <c r="N1430" i="4"/>
  <c r="N1431" i="4"/>
  <c r="N1432" i="4"/>
  <c r="N105" i="4"/>
  <c r="N1433" i="4"/>
  <c r="N1434" i="4"/>
  <c r="N1435" i="4"/>
  <c r="N1436" i="4"/>
  <c r="N1437" i="4"/>
  <c r="N1438" i="4"/>
  <c r="N1439" i="4"/>
  <c r="N82" i="4"/>
  <c r="N1440" i="4"/>
  <c r="N1441" i="4"/>
  <c r="N1442" i="4"/>
  <c r="N11" i="4"/>
  <c r="N17" i="4"/>
  <c r="N69" i="4"/>
  <c r="N1443" i="4"/>
  <c r="N1444" i="4"/>
  <c r="N19" i="4"/>
  <c r="N1445" i="4"/>
  <c r="N12" i="4"/>
  <c r="N1446" i="4"/>
  <c r="N134" i="4"/>
  <c r="N1447" i="4"/>
  <c r="N1448" i="4"/>
  <c r="N42" i="4"/>
  <c r="N1449" i="4"/>
  <c r="N1450" i="4"/>
  <c r="N79" i="4"/>
  <c r="N1451" i="4"/>
  <c r="N1452" i="4"/>
  <c r="N1453" i="4"/>
  <c r="N1454" i="4"/>
  <c r="N108" i="4"/>
  <c r="N1455" i="4"/>
  <c r="N23" i="4"/>
  <c r="N1456" i="4"/>
  <c r="N1457" i="4"/>
  <c r="N1458" i="4"/>
  <c r="N116" i="4"/>
  <c r="N20" i="4"/>
  <c r="N74" i="4"/>
  <c r="N64" i="4"/>
  <c r="N26" i="4"/>
  <c r="N1459" i="4"/>
  <c r="N86" i="4"/>
  <c r="N46" i="4"/>
  <c r="N47" i="4"/>
  <c r="N53" i="4"/>
  <c r="N109" i="4"/>
  <c r="N18" i="4"/>
  <c r="N70" i="4"/>
  <c r="N132" i="4"/>
  <c r="N56" i="4"/>
  <c r="N24" i="4"/>
  <c r="N113" i="4"/>
  <c r="N115" i="4"/>
  <c r="N1460" i="4"/>
  <c r="N31" i="4"/>
  <c r="N43" i="4"/>
  <c r="N22" i="4"/>
  <c r="N48" i="4"/>
  <c r="N27" i="4"/>
  <c r="N1461" i="4"/>
  <c r="N57" i="4"/>
  <c r="N89" i="4"/>
  <c r="N44" i="4"/>
  <c r="N1462" i="4"/>
  <c r="N13" i="4"/>
  <c r="N71" i="4"/>
  <c r="N1463" i="4"/>
  <c r="N1464" i="4"/>
  <c r="N120" i="4"/>
  <c r="N83" i="4"/>
  <c r="N76" i="4"/>
  <c r="N85" i="4"/>
  <c r="N72" i="4"/>
  <c r="N54" i="4"/>
  <c r="N1465" i="4"/>
  <c r="N80" i="4"/>
  <c r="N98" i="4"/>
  <c r="N90" i="4"/>
  <c r="N40" i="4"/>
  <c r="N96" i="4"/>
  <c r="N58" i="4"/>
  <c r="N65" i="4"/>
  <c r="N99" i="4"/>
  <c r="N87" i="4"/>
  <c r="N118" i="4"/>
  <c r="N104" i="4"/>
  <c r="N81" i="4"/>
  <c r="N100" i="4"/>
  <c r="N1466" i="4"/>
  <c r="N60" i="4"/>
  <c r="N1467" i="4"/>
  <c r="N1468" i="4"/>
  <c r="N1469" i="4"/>
  <c r="N1470" i="4"/>
  <c r="N59" i="4"/>
  <c r="N1471" i="4"/>
  <c r="N1472" i="4"/>
  <c r="N1473" i="4"/>
  <c r="N1474" i="4"/>
  <c r="N1475" i="4"/>
  <c r="N1476" i="4"/>
  <c r="N1477"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106"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75" i="4"/>
  <c r="O267" i="4"/>
  <c r="O268" i="4"/>
  <c r="O269" i="4"/>
  <c r="O270" i="4"/>
  <c r="O271" i="4"/>
  <c r="O272" i="4"/>
  <c r="O273" i="4"/>
  <c r="O274" i="4"/>
  <c r="O275" i="4"/>
  <c r="O276" i="4"/>
  <c r="O277" i="4"/>
  <c r="O50"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12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101" i="4"/>
  <c r="O419" i="4"/>
  <c r="O420" i="4"/>
  <c r="O421" i="4"/>
  <c r="O422" i="4"/>
  <c r="O423" i="4"/>
  <c r="O424" i="4"/>
  <c r="O425" i="4"/>
  <c r="O426" i="4"/>
  <c r="O67"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84" i="4"/>
  <c r="O127" i="4"/>
  <c r="O88" i="4"/>
  <c r="O614" i="4"/>
  <c r="O615" i="4"/>
  <c r="O616" i="4"/>
  <c r="O617" i="4"/>
  <c r="O618" i="4"/>
  <c r="O619" i="4"/>
  <c r="O620" i="4"/>
  <c r="O621" i="4"/>
  <c r="O119" i="4"/>
  <c r="O622" i="4"/>
  <c r="O623" i="4"/>
  <c r="O92"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37" i="4"/>
  <c r="O93"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107"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110" i="4"/>
  <c r="O32"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7"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111"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1002" i="4"/>
  <c r="O1003" i="4"/>
  <c r="O77" i="4"/>
  <c r="O1004" i="4"/>
  <c r="O1005" i="4"/>
  <c r="O1006" i="4"/>
  <c r="O1007" i="4"/>
  <c r="O1008" i="4"/>
  <c r="O1009" i="4"/>
  <c r="O1010" i="4"/>
  <c r="O1011" i="4"/>
  <c r="O1012" i="4"/>
  <c r="O66"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8" i="4"/>
  <c r="O1063" i="4"/>
  <c r="O1064" i="4"/>
  <c r="O1065" i="4"/>
  <c r="O1066" i="4"/>
  <c r="O1067" i="4"/>
  <c r="O1068" i="4"/>
  <c r="O1069" i="4"/>
  <c r="O1070" i="4"/>
  <c r="O51" i="4"/>
  <c r="O1071" i="4"/>
  <c r="O1072" i="4"/>
  <c r="O1073" i="4"/>
  <c r="O1074" i="4"/>
  <c r="O1075" i="4"/>
  <c r="O1076" i="4"/>
  <c r="O1077" i="4"/>
  <c r="O1078" i="4"/>
  <c r="O1079" i="4"/>
  <c r="O1080" i="4"/>
  <c r="O91" i="4"/>
  <c r="O1081" i="4"/>
  <c r="O1082" i="4"/>
  <c r="O1083" i="4"/>
  <c r="O15" i="4"/>
  <c r="O55" i="4"/>
  <c r="O1084" i="4"/>
  <c r="O1085" i="4"/>
  <c r="O1086" i="4"/>
  <c r="O1087" i="4"/>
  <c r="O1088" i="4"/>
  <c r="O1089" i="4"/>
  <c r="O1090" i="4"/>
  <c r="O1091" i="4"/>
  <c r="O1092" i="4"/>
  <c r="O1093" i="4"/>
  <c r="O1094" i="4"/>
  <c r="O1095" i="4"/>
  <c r="O1096" i="4"/>
  <c r="O1097" i="4"/>
  <c r="O1098" i="4"/>
  <c r="O1099" i="4"/>
  <c r="O1100" i="4"/>
  <c r="O1101" i="4"/>
  <c r="O1102" i="4"/>
  <c r="O1103" i="4"/>
  <c r="O1104" i="4"/>
  <c r="O1105" i="4"/>
  <c r="O1106" i="4"/>
  <c r="O1107" i="4"/>
  <c r="O1108" i="4"/>
  <c r="O38" i="4"/>
  <c r="O9" i="4"/>
  <c r="O1109" i="4"/>
  <c r="O97"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25" i="4"/>
  <c r="O1134" i="4"/>
  <c r="O1135" i="4"/>
  <c r="O1136" i="4"/>
  <c r="O1137" i="4"/>
  <c r="O1138" i="4"/>
  <c r="O1139" i="4"/>
  <c r="O114" i="4"/>
  <c r="O1140" i="4"/>
  <c r="O1141" i="4"/>
  <c r="O1142" i="4"/>
  <c r="O1143" i="4"/>
  <c r="O1144" i="4"/>
  <c r="O1145" i="4"/>
  <c r="O1146" i="4"/>
  <c r="O1147" i="4"/>
  <c r="O1148" i="4"/>
  <c r="O1149" i="4"/>
  <c r="O1150" i="4"/>
  <c r="O1151" i="4"/>
  <c r="O1152" i="4"/>
  <c r="O1153" i="4"/>
  <c r="O1154" i="4"/>
  <c r="O1155" i="4"/>
  <c r="O1156" i="4"/>
  <c r="O1157" i="4"/>
  <c r="O1158" i="4"/>
  <c r="O1159" i="4"/>
  <c r="O61" i="4"/>
  <c r="O1160" i="4"/>
  <c r="O1161" i="4"/>
  <c r="O1162" i="4"/>
  <c r="O1163" i="4"/>
  <c r="O1164" i="4"/>
  <c r="O1165" i="4"/>
  <c r="O1166" i="4"/>
  <c r="O1167" i="4"/>
  <c r="O1168" i="4"/>
  <c r="O1169" i="4"/>
  <c r="O1170" i="4"/>
  <c r="O1171" i="4"/>
  <c r="O1172" i="4"/>
  <c r="O1173" i="4"/>
  <c r="O1174" i="4"/>
  <c r="O1175" i="4"/>
  <c r="O1176" i="4"/>
  <c r="O1177" i="4"/>
  <c r="O1178" i="4"/>
  <c r="O1179" i="4"/>
  <c r="O1180" i="4"/>
  <c r="O1181" i="4"/>
  <c r="O1182" i="4"/>
  <c r="O1183" i="4"/>
  <c r="O1184" i="4"/>
  <c r="O1185" i="4"/>
  <c r="O1186" i="4"/>
  <c r="O1187" i="4"/>
  <c r="O1188" i="4"/>
  <c r="O1189" i="4"/>
  <c r="O1190" i="4"/>
  <c r="O1191" i="4"/>
  <c r="O1192" i="4"/>
  <c r="O1193" i="4"/>
  <c r="O1194" i="4"/>
  <c r="O1195" i="4"/>
  <c r="O1196" i="4"/>
  <c r="O1197" i="4"/>
  <c r="O1198" i="4"/>
  <c r="O1199" i="4"/>
  <c r="O1200" i="4"/>
  <c r="O1201" i="4"/>
  <c r="O1202" i="4"/>
  <c r="O1203" i="4"/>
  <c r="O1204" i="4"/>
  <c r="O39" i="4"/>
  <c r="O28" i="4"/>
  <c r="O41" i="4"/>
  <c r="O33" i="4"/>
  <c r="O1205" i="4"/>
  <c r="O1206" i="4"/>
  <c r="O1207" i="4"/>
  <c r="O1208" i="4"/>
  <c r="O1209" i="4"/>
  <c r="O1210" i="4"/>
  <c r="O1211" i="4"/>
  <c r="O1212" i="4"/>
  <c r="O1213" i="4"/>
  <c r="O1214" i="4"/>
  <c r="O1215" i="4"/>
  <c r="O1216" i="4"/>
  <c r="O1217" i="4"/>
  <c r="O1218" i="4"/>
  <c r="O1219" i="4"/>
  <c r="O1220" i="4"/>
  <c r="O1221" i="4"/>
  <c r="O1222" i="4"/>
  <c r="O1223" i="4"/>
  <c r="O1224" i="4"/>
  <c r="O78" i="4"/>
  <c r="O1225" i="4"/>
  <c r="O1226" i="4"/>
  <c r="O1227" i="4"/>
  <c r="O1228" i="4"/>
  <c r="O1229" i="4"/>
  <c r="O135"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9" i="4"/>
  <c r="O1253" i="4"/>
  <c r="O1254" i="4"/>
  <c r="O1255" i="4"/>
  <c r="O1256" i="4"/>
  <c r="O1257" i="4"/>
  <c r="O1258" i="4"/>
  <c r="O1259" i="4"/>
  <c r="O1260" i="4"/>
  <c r="O1261" i="4"/>
  <c r="O45" i="4"/>
  <c r="O49" i="4"/>
  <c r="O1262" i="4"/>
  <c r="O1263" i="4"/>
  <c r="O1264" i="4"/>
  <c r="O1265" i="4"/>
  <c r="O1266" i="4"/>
  <c r="O125" i="4"/>
  <c r="O73" i="4"/>
  <c r="O102" i="4"/>
  <c r="O112" i="4"/>
  <c r="O1267" i="4"/>
  <c r="O1268" i="4"/>
  <c r="O1269" i="4"/>
  <c r="O1270" i="4"/>
  <c r="O1271" i="4"/>
  <c r="O1272" i="4"/>
  <c r="O1273" i="4"/>
  <c r="O1274" i="4"/>
  <c r="O1275" i="4"/>
  <c r="O1276" i="4"/>
  <c r="O1277" i="4"/>
  <c r="O1278" i="4"/>
  <c r="O1279" i="4"/>
  <c r="O1280" i="4"/>
  <c r="O1281" i="4"/>
  <c r="O1282" i="4"/>
  <c r="O1283" i="4"/>
  <c r="O1284" i="4"/>
  <c r="O1285" i="4"/>
  <c r="O1286" i="4"/>
  <c r="O29" i="4"/>
  <c r="O1287" i="4"/>
  <c r="O30" i="4"/>
  <c r="O1288" i="4"/>
  <c r="O1289" i="4"/>
  <c r="O1290" i="4"/>
  <c r="O1291" i="4"/>
  <c r="O1292" i="4"/>
  <c r="O1293" i="4"/>
  <c r="O1294" i="4"/>
  <c r="O1295" i="4"/>
  <c r="O34" i="4"/>
  <c r="O1296" i="4"/>
  <c r="O1297" i="4"/>
  <c r="O1298" i="4"/>
  <c r="O1299" i="4"/>
  <c r="O1300" i="4"/>
  <c r="O1301" i="4"/>
  <c r="O1302" i="4"/>
  <c r="O1303" i="4"/>
  <c r="O1304" i="4"/>
  <c r="O1305" i="4"/>
  <c r="O1306" i="4"/>
  <c r="O1307" i="4"/>
  <c r="O1308" i="4"/>
  <c r="O117" i="4"/>
  <c r="O1309" i="4"/>
  <c r="O1310" i="4"/>
  <c r="O1311" i="4"/>
  <c r="O1312" i="4"/>
  <c r="O1313" i="4"/>
  <c r="O1314" i="4"/>
  <c r="O1315" i="4"/>
  <c r="O1316" i="4"/>
  <c r="O1317" i="4"/>
  <c r="O35" i="4"/>
  <c r="O1318" i="4"/>
  <c r="O1319" i="4"/>
  <c r="O1320" i="4"/>
  <c r="O1321" i="4"/>
  <c r="O1322" i="4"/>
  <c r="O1323" i="4"/>
  <c r="O1324" i="4"/>
  <c r="O1325" i="4"/>
  <c r="O1326" i="4"/>
  <c r="O1327" i="4"/>
  <c r="O1328" i="4"/>
  <c r="O1329" i="4"/>
  <c r="O1330" i="4"/>
  <c r="O1331" i="4"/>
  <c r="O1332" i="4"/>
  <c r="O1333" i="4"/>
  <c r="O1334" i="4"/>
  <c r="O1335" i="4"/>
  <c r="O1336" i="4"/>
  <c r="O1337" i="4"/>
  <c r="O62" i="4"/>
  <c r="O1338" i="4"/>
  <c r="O1339" i="4"/>
  <c r="O123" i="4"/>
  <c r="O1340" i="4"/>
  <c r="O1341" i="4"/>
  <c r="O1342" i="4"/>
  <c r="O1343" i="4"/>
  <c r="O1344" i="4"/>
  <c r="O1345" i="4"/>
  <c r="O1346" i="4"/>
  <c r="O1347" i="4"/>
  <c r="O1348" i="4"/>
  <c r="O1349" i="4"/>
  <c r="O1350" i="4"/>
  <c r="O1351" i="4"/>
  <c r="O1352" i="4"/>
  <c r="O1353" i="4"/>
  <c r="O1354" i="4"/>
  <c r="O1355" i="4"/>
  <c r="O1356" i="4"/>
  <c r="O1357" i="4"/>
  <c r="O1358" i="4"/>
  <c r="O1359" i="4"/>
  <c r="O1360" i="4"/>
  <c r="O1361" i="4"/>
  <c r="O1362" i="4"/>
  <c r="O1363" i="4"/>
  <c r="O1364" i="4"/>
  <c r="O1365" i="4"/>
  <c r="O1366" i="4"/>
  <c r="O1367" i="4"/>
  <c r="O1368" i="4"/>
  <c r="O1369"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30" i="4"/>
  <c r="O1407" i="4"/>
  <c r="O1408" i="4"/>
  <c r="O1409" i="4"/>
  <c r="O1410" i="4"/>
  <c r="O1411" i="4"/>
  <c r="O10" i="4"/>
  <c r="O1412" i="4"/>
  <c r="O1413" i="4"/>
  <c r="O1414" i="4"/>
  <c r="O1415" i="4"/>
  <c r="O14" i="4"/>
  <c r="O1416" i="4"/>
  <c r="O1417" i="4"/>
  <c r="O133" i="4"/>
  <c r="O131" i="4"/>
  <c r="O1418" i="4"/>
  <c r="O1419" i="4"/>
  <c r="O94" i="4"/>
  <c r="O1420" i="4"/>
  <c r="O52" i="4"/>
  <c r="O1421" i="4"/>
  <c r="O16" i="4"/>
  <c r="O95" i="4"/>
  <c r="O1422" i="4"/>
  <c r="O1423" i="4"/>
  <c r="O1424" i="4"/>
  <c r="O68" i="4"/>
  <c r="O36" i="4"/>
  <c r="O1425" i="4"/>
  <c r="O1426" i="4"/>
  <c r="O1427" i="4"/>
  <c r="O63" i="4"/>
  <c r="O1428" i="4"/>
  <c r="O126" i="4"/>
  <c r="O128" i="4"/>
  <c r="O124" i="4"/>
  <c r="O122" i="4"/>
  <c r="O103" i="4"/>
  <c r="O21" i="4"/>
  <c r="O1429" i="4"/>
  <c r="O1430" i="4"/>
  <c r="O1431" i="4"/>
  <c r="O1432" i="4"/>
  <c r="O105" i="4"/>
  <c r="O1433" i="4"/>
  <c r="O1434" i="4"/>
  <c r="O1435" i="4"/>
  <c r="O1436" i="4"/>
  <c r="O1437" i="4"/>
  <c r="O1438" i="4"/>
  <c r="O1439" i="4"/>
  <c r="O82" i="4"/>
  <c r="O1440" i="4"/>
  <c r="O1441" i="4"/>
  <c r="O1442" i="4"/>
  <c r="O11" i="4"/>
  <c r="O17" i="4"/>
  <c r="O69" i="4"/>
  <c r="O1443" i="4"/>
  <c r="O1444" i="4"/>
  <c r="O19" i="4"/>
  <c r="O1445" i="4"/>
  <c r="O12" i="4"/>
  <c r="O1446" i="4"/>
  <c r="O134" i="4"/>
  <c r="O1447" i="4"/>
  <c r="O1448" i="4"/>
  <c r="O42" i="4"/>
  <c r="O1449" i="4"/>
  <c r="O1450" i="4"/>
  <c r="O79" i="4"/>
  <c r="O1451" i="4"/>
  <c r="O1452" i="4"/>
  <c r="O1453" i="4"/>
  <c r="O1454" i="4"/>
  <c r="O108" i="4"/>
  <c r="O1455" i="4"/>
  <c r="O23" i="4"/>
  <c r="O1456" i="4"/>
  <c r="O1457" i="4"/>
  <c r="O1458" i="4"/>
  <c r="O116" i="4"/>
  <c r="O20" i="4"/>
  <c r="O74" i="4"/>
  <c r="O64" i="4"/>
  <c r="O26" i="4"/>
  <c r="O1459" i="4"/>
  <c r="O86" i="4"/>
  <c r="O46" i="4"/>
  <c r="O47" i="4"/>
  <c r="O53" i="4"/>
  <c r="O109" i="4"/>
  <c r="O18" i="4"/>
  <c r="O70" i="4"/>
  <c r="O132" i="4"/>
  <c r="O56" i="4"/>
  <c r="O24" i="4"/>
  <c r="O113" i="4"/>
  <c r="O115" i="4"/>
  <c r="O1460" i="4"/>
  <c r="O31" i="4"/>
  <c r="O43" i="4"/>
  <c r="O22" i="4"/>
  <c r="O48" i="4"/>
  <c r="O27" i="4"/>
  <c r="O1461" i="4"/>
  <c r="O57" i="4"/>
  <c r="O89" i="4"/>
  <c r="O44" i="4"/>
  <c r="O1462" i="4"/>
  <c r="O13" i="4"/>
  <c r="O71" i="4"/>
  <c r="O1463" i="4"/>
  <c r="O1464" i="4"/>
  <c r="O120" i="4"/>
  <c r="O83" i="4"/>
  <c r="O76" i="4"/>
  <c r="O85" i="4"/>
  <c r="O72" i="4"/>
  <c r="O54" i="4"/>
  <c r="O1465" i="4"/>
  <c r="O80" i="4"/>
  <c r="O98" i="4"/>
  <c r="O90" i="4"/>
  <c r="O40" i="4"/>
  <c r="O96" i="4"/>
  <c r="O58" i="4"/>
  <c r="O65" i="4"/>
  <c r="O99" i="4"/>
  <c r="O87" i="4"/>
  <c r="O118" i="4"/>
  <c r="O104" i="4"/>
  <c r="O81" i="4"/>
  <c r="O100" i="4"/>
  <c r="O1466" i="4"/>
  <c r="O60" i="4"/>
  <c r="O1467" i="4"/>
  <c r="O1468" i="4"/>
  <c r="O1469" i="4"/>
  <c r="O1470" i="4"/>
  <c r="O59" i="4"/>
  <c r="O1471" i="4"/>
  <c r="O1472" i="4"/>
  <c r="O1473" i="4"/>
  <c r="O1474" i="4"/>
  <c r="O1475" i="4"/>
  <c r="O1476" i="4"/>
  <c r="O1477"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106"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75" i="4"/>
  <c r="P267" i="4"/>
  <c r="P268" i="4"/>
  <c r="P269" i="4"/>
  <c r="P270" i="4"/>
  <c r="P271" i="4"/>
  <c r="P272" i="4"/>
  <c r="P273" i="4"/>
  <c r="P274" i="4"/>
  <c r="P275" i="4"/>
  <c r="P276" i="4"/>
  <c r="P277" i="4"/>
  <c r="P50"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12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101" i="4"/>
  <c r="P419" i="4"/>
  <c r="P420" i="4"/>
  <c r="P421" i="4"/>
  <c r="P422" i="4"/>
  <c r="P423" i="4"/>
  <c r="P424" i="4"/>
  <c r="P425" i="4"/>
  <c r="P426" i="4"/>
  <c r="P67"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84" i="4"/>
  <c r="P127" i="4"/>
  <c r="P88" i="4"/>
  <c r="P614" i="4"/>
  <c r="P615" i="4"/>
  <c r="P616" i="4"/>
  <c r="P617" i="4"/>
  <c r="P618" i="4"/>
  <c r="P619" i="4"/>
  <c r="P620" i="4"/>
  <c r="P621" i="4"/>
  <c r="P119" i="4"/>
  <c r="P622" i="4"/>
  <c r="P623" i="4"/>
  <c r="P92"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37" i="4"/>
  <c r="P93"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107"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110" i="4"/>
  <c r="P32"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7"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111"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1002" i="4"/>
  <c r="P1003" i="4"/>
  <c r="P77" i="4"/>
  <c r="P1004" i="4"/>
  <c r="P1005" i="4"/>
  <c r="P1006" i="4"/>
  <c r="P1007" i="4"/>
  <c r="P1008" i="4"/>
  <c r="P1009" i="4"/>
  <c r="P1010" i="4"/>
  <c r="P1011" i="4"/>
  <c r="P1012" i="4"/>
  <c r="P66"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8" i="4"/>
  <c r="P1063" i="4"/>
  <c r="P1064" i="4"/>
  <c r="P1065" i="4"/>
  <c r="P1066" i="4"/>
  <c r="P1067" i="4"/>
  <c r="P1068" i="4"/>
  <c r="P1069" i="4"/>
  <c r="P1070" i="4"/>
  <c r="P51" i="4"/>
  <c r="P1071" i="4"/>
  <c r="P1072" i="4"/>
  <c r="P1073" i="4"/>
  <c r="P1074" i="4"/>
  <c r="P1075" i="4"/>
  <c r="P1076" i="4"/>
  <c r="P1077" i="4"/>
  <c r="P1078" i="4"/>
  <c r="P1079" i="4"/>
  <c r="P1080" i="4"/>
  <c r="P91" i="4"/>
  <c r="P1081" i="4"/>
  <c r="P1082" i="4"/>
  <c r="P1083" i="4"/>
  <c r="P15" i="4"/>
  <c r="P55" i="4"/>
  <c r="P1084" i="4"/>
  <c r="P1085" i="4"/>
  <c r="P1086" i="4"/>
  <c r="P1087" i="4"/>
  <c r="P1088" i="4"/>
  <c r="P1089" i="4"/>
  <c r="P1090" i="4"/>
  <c r="P1091" i="4"/>
  <c r="P1092" i="4"/>
  <c r="P1093" i="4"/>
  <c r="P1094" i="4"/>
  <c r="P1095" i="4"/>
  <c r="P1096" i="4"/>
  <c r="P1097" i="4"/>
  <c r="P1098" i="4"/>
  <c r="P1099" i="4"/>
  <c r="P1100" i="4"/>
  <c r="P1101" i="4"/>
  <c r="P1102" i="4"/>
  <c r="P1103" i="4"/>
  <c r="P1104" i="4"/>
  <c r="P1105" i="4"/>
  <c r="P1106" i="4"/>
  <c r="P1107" i="4"/>
  <c r="P1108" i="4"/>
  <c r="P38" i="4"/>
  <c r="P9" i="4"/>
  <c r="P1109" i="4"/>
  <c r="P97"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25" i="4"/>
  <c r="P1134" i="4"/>
  <c r="P1135" i="4"/>
  <c r="P1136" i="4"/>
  <c r="P1137" i="4"/>
  <c r="P1138" i="4"/>
  <c r="P1139" i="4"/>
  <c r="P114" i="4"/>
  <c r="P1140" i="4"/>
  <c r="P1141" i="4"/>
  <c r="P1142" i="4"/>
  <c r="P1143" i="4"/>
  <c r="P1144" i="4"/>
  <c r="P1145" i="4"/>
  <c r="P1146" i="4"/>
  <c r="P1147" i="4"/>
  <c r="P1148" i="4"/>
  <c r="P1149" i="4"/>
  <c r="P1150" i="4"/>
  <c r="P1151" i="4"/>
  <c r="P1152" i="4"/>
  <c r="P1153" i="4"/>
  <c r="P1154" i="4"/>
  <c r="P1155" i="4"/>
  <c r="P1156" i="4"/>
  <c r="P1157" i="4"/>
  <c r="P1158" i="4"/>
  <c r="P1159" i="4"/>
  <c r="P61" i="4"/>
  <c r="P1160" i="4"/>
  <c r="P1161" i="4"/>
  <c r="P1162" i="4"/>
  <c r="P1163" i="4"/>
  <c r="P1164" i="4"/>
  <c r="P1165" i="4"/>
  <c r="P1166" i="4"/>
  <c r="P1167" i="4"/>
  <c r="P1168" i="4"/>
  <c r="P1169" i="4"/>
  <c r="P1170" i="4"/>
  <c r="P1171" i="4"/>
  <c r="P1172" i="4"/>
  <c r="P1173" i="4"/>
  <c r="P1174" i="4"/>
  <c r="P1175" i="4"/>
  <c r="P1176" i="4"/>
  <c r="P1177" i="4"/>
  <c r="P1178" i="4"/>
  <c r="P1179" i="4"/>
  <c r="P1180" i="4"/>
  <c r="P1181" i="4"/>
  <c r="P1182" i="4"/>
  <c r="P1183" i="4"/>
  <c r="P1184" i="4"/>
  <c r="P1185" i="4"/>
  <c r="P1186" i="4"/>
  <c r="P1187" i="4"/>
  <c r="P1188" i="4"/>
  <c r="P1189" i="4"/>
  <c r="P1190" i="4"/>
  <c r="P1191" i="4"/>
  <c r="P1192" i="4"/>
  <c r="P1193" i="4"/>
  <c r="P1194" i="4"/>
  <c r="P1195" i="4"/>
  <c r="P1196" i="4"/>
  <c r="P1197" i="4"/>
  <c r="P1198" i="4"/>
  <c r="P1199" i="4"/>
  <c r="P1200" i="4"/>
  <c r="P1201" i="4"/>
  <c r="P1202" i="4"/>
  <c r="P1203" i="4"/>
  <c r="P1204" i="4"/>
  <c r="P39" i="4"/>
  <c r="P28" i="4"/>
  <c r="P41" i="4"/>
  <c r="P33" i="4"/>
  <c r="P1205" i="4"/>
  <c r="P1206" i="4"/>
  <c r="P1207" i="4"/>
  <c r="P1208" i="4"/>
  <c r="P1209" i="4"/>
  <c r="P1210" i="4"/>
  <c r="P1211" i="4"/>
  <c r="P1212" i="4"/>
  <c r="P1213" i="4"/>
  <c r="P1214" i="4"/>
  <c r="P1215" i="4"/>
  <c r="P1216" i="4"/>
  <c r="P1217" i="4"/>
  <c r="P1218" i="4"/>
  <c r="P1219" i="4"/>
  <c r="P1220" i="4"/>
  <c r="P1221" i="4"/>
  <c r="P1222" i="4"/>
  <c r="P1223" i="4"/>
  <c r="P1224" i="4"/>
  <c r="P78" i="4"/>
  <c r="P1225" i="4"/>
  <c r="P1226" i="4"/>
  <c r="P1227" i="4"/>
  <c r="P1228" i="4"/>
  <c r="P1229" i="4"/>
  <c r="P135"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9" i="4"/>
  <c r="P1253" i="4"/>
  <c r="P1254" i="4"/>
  <c r="P1255" i="4"/>
  <c r="P1256" i="4"/>
  <c r="P1257" i="4"/>
  <c r="P1258" i="4"/>
  <c r="P1259" i="4"/>
  <c r="P1260" i="4"/>
  <c r="P1261" i="4"/>
  <c r="P45" i="4"/>
  <c r="P49" i="4"/>
  <c r="P1262" i="4"/>
  <c r="P1263" i="4"/>
  <c r="P1264" i="4"/>
  <c r="P1265" i="4"/>
  <c r="P1266" i="4"/>
  <c r="P125" i="4"/>
  <c r="P73" i="4"/>
  <c r="P102" i="4"/>
  <c r="P112" i="4"/>
  <c r="P1267" i="4"/>
  <c r="P1268" i="4"/>
  <c r="P1269" i="4"/>
  <c r="P1270" i="4"/>
  <c r="P1271" i="4"/>
  <c r="P1272" i="4"/>
  <c r="P1273" i="4"/>
  <c r="P1274" i="4"/>
  <c r="P1275" i="4"/>
  <c r="P1276" i="4"/>
  <c r="P1277" i="4"/>
  <c r="P1278" i="4"/>
  <c r="P1279" i="4"/>
  <c r="P1280" i="4"/>
  <c r="P1281" i="4"/>
  <c r="P1282" i="4"/>
  <c r="P1283" i="4"/>
  <c r="P1284" i="4"/>
  <c r="P1285" i="4"/>
  <c r="P1286" i="4"/>
  <c r="P29" i="4"/>
  <c r="P1287" i="4"/>
  <c r="P30" i="4"/>
  <c r="P1288" i="4"/>
  <c r="P1289" i="4"/>
  <c r="P1290" i="4"/>
  <c r="P1291" i="4"/>
  <c r="P1292" i="4"/>
  <c r="P1293" i="4"/>
  <c r="P1294" i="4"/>
  <c r="P1295" i="4"/>
  <c r="P34" i="4"/>
  <c r="P1296" i="4"/>
  <c r="P1297" i="4"/>
  <c r="P1298" i="4"/>
  <c r="P1299" i="4"/>
  <c r="P1300" i="4"/>
  <c r="P1301" i="4"/>
  <c r="P1302" i="4"/>
  <c r="P1303" i="4"/>
  <c r="P1304" i="4"/>
  <c r="P1305" i="4"/>
  <c r="P1306" i="4"/>
  <c r="P1307" i="4"/>
  <c r="P1308" i="4"/>
  <c r="P117" i="4"/>
  <c r="P1309" i="4"/>
  <c r="P1310" i="4"/>
  <c r="P1311" i="4"/>
  <c r="P1312" i="4"/>
  <c r="P1313" i="4"/>
  <c r="P1314" i="4"/>
  <c r="P1315" i="4"/>
  <c r="P1316" i="4"/>
  <c r="P1317" i="4"/>
  <c r="P35" i="4"/>
  <c r="P1318" i="4"/>
  <c r="P1319" i="4"/>
  <c r="P1320" i="4"/>
  <c r="P1321" i="4"/>
  <c r="P1322" i="4"/>
  <c r="P1323" i="4"/>
  <c r="P1324" i="4"/>
  <c r="P1325" i="4"/>
  <c r="P1326" i="4"/>
  <c r="P1327" i="4"/>
  <c r="P1328" i="4"/>
  <c r="P1329" i="4"/>
  <c r="P1330" i="4"/>
  <c r="P1331" i="4"/>
  <c r="P1332" i="4"/>
  <c r="P1333" i="4"/>
  <c r="P1334" i="4"/>
  <c r="P1335" i="4"/>
  <c r="P1336" i="4"/>
  <c r="P1337" i="4"/>
  <c r="P62" i="4"/>
  <c r="P1338" i="4"/>
  <c r="P1339" i="4"/>
  <c r="P123" i="4"/>
  <c r="P1340" i="4"/>
  <c r="P1341" i="4"/>
  <c r="P1342" i="4"/>
  <c r="P1343" i="4"/>
  <c r="P1344" i="4"/>
  <c r="P1345" i="4"/>
  <c r="P1346" i="4"/>
  <c r="P1347" i="4"/>
  <c r="P1348" i="4"/>
  <c r="P1349" i="4"/>
  <c r="P1350" i="4"/>
  <c r="P1351" i="4"/>
  <c r="P1352" i="4"/>
  <c r="P1353" i="4"/>
  <c r="P1354" i="4"/>
  <c r="P1355" i="4"/>
  <c r="P1356" i="4"/>
  <c r="P1357" i="4"/>
  <c r="P1358" i="4"/>
  <c r="P1359" i="4"/>
  <c r="P1360" i="4"/>
  <c r="P1361" i="4"/>
  <c r="P1362" i="4"/>
  <c r="P1363" i="4"/>
  <c r="P1364" i="4"/>
  <c r="P1365" i="4"/>
  <c r="P1366" i="4"/>
  <c r="P1367" i="4"/>
  <c r="P1368" i="4"/>
  <c r="P1369"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30" i="4"/>
  <c r="P1407" i="4"/>
  <c r="P1408" i="4"/>
  <c r="P1409" i="4"/>
  <c r="P1410" i="4"/>
  <c r="P1411" i="4"/>
  <c r="P10" i="4"/>
  <c r="P1412" i="4"/>
  <c r="P1413" i="4"/>
  <c r="P1414" i="4"/>
  <c r="P1415" i="4"/>
  <c r="P14" i="4"/>
  <c r="P1416" i="4"/>
  <c r="P1417" i="4"/>
  <c r="P133" i="4"/>
  <c r="P131" i="4"/>
  <c r="P1418" i="4"/>
  <c r="P1419" i="4"/>
  <c r="P94" i="4"/>
  <c r="P1420" i="4"/>
  <c r="P52" i="4"/>
  <c r="P1421" i="4"/>
  <c r="P16" i="4"/>
  <c r="P95" i="4"/>
  <c r="P1422" i="4"/>
  <c r="P1423" i="4"/>
  <c r="P1424" i="4"/>
  <c r="P68" i="4"/>
  <c r="P36" i="4"/>
  <c r="P1425" i="4"/>
  <c r="P1426" i="4"/>
  <c r="P1427" i="4"/>
  <c r="P63" i="4"/>
  <c r="P1428" i="4"/>
  <c r="P126" i="4"/>
  <c r="P128" i="4"/>
  <c r="P124" i="4"/>
  <c r="P122" i="4"/>
  <c r="P103" i="4"/>
  <c r="P21" i="4"/>
  <c r="P1429" i="4"/>
  <c r="P1430" i="4"/>
  <c r="P1431" i="4"/>
  <c r="P1432" i="4"/>
  <c r="P105" i="4"/>
  <c r="P1433" i="4"/>
  <c r="P1434" i="4"/>
  <c r="P1435" i="4"/>
  <c r="P1436" i="4"/>
  <c r="P1437" i="4"/>
  <c r="P1438" i="4"/>
  <c r="P1439" i="4"/>
  <c r="P82" i="4"/>
  <c r="P1440" i="4"/>
  <c r="P1441" i="4"/>
  <c r="P1442" i="4"/>
  <c r="P11" i="4"/>
  <c r="P17" i="4"/>
  <c r="P69" i="4"/>
  <c r="P1443" i="4"/>
  <c r="P1444" i="4"/>
  <c r="P19" i="4"/>
  <c r="P1445" i="4"/>
  <c r="P12" i="4"/>
  <c r="P1446" i="4"/>
  <c r="P134" i="4"/>
  <c r="P1447" i="4"/>
  <c r="P1448" i="4"/>
  <c r="P42" i="4"/>
  <c r="P1449" i="4"/>
  <c r="P1450" i="4"/>
  <c r="P79" i="4"/>
  <c r="P1451" i="4"/>
  <c r="P1452" i="4"/>
  <c r="P1453" i="4"/>
  <c r="P1454" i="4"/>
  <c r="P108" i="4"/>
  <c r="P1455" i="4"/>
  <c r="P23" i="4"/>
  <c r="P1456" i="4"/>
  <c r="P1457" i="4"/>
  <c r="P1458" i="4"/>
  <c r="P116" i="4"/>
  <c r="P20" i="4"/>
  <c r="P74" i="4"/>
  <c r="P64" i="4"/>
  <c r="P26" i="4"/>
  <c r="P1459" i="4"/>
  <c r="P86" i="4"/>
  <c r="P46" i="4"/>
  <c r="P47" i="4"/>
  <c r="P53" i="4"/>
  <c r="P109" i="4"/>
  <c r="P18" i="4"/>
  <c r="P70" i="4"/>
  <c r="P132" i="4"/>
  <c r="P56" i="4"/>
  <c r="P24" i="4"/>
  <c r="P113" i="4"/>
  <c r="P115" i="4"/>
  <c r="P1460" i="4"/>
  <c r="P31" i="4"/>
  <c r="P43" i="4"/>
  <c r="P22" i="4"/>
  <c r="P48" i="4"/>
  <c r="P27" i="4"/>
  <c r="P1461" i="4"/>
  <c r="P57" i="4"/>
  <c r="P89" i="4"/>
  <c r="P44" i="4"/>
  <c r="P1462" i="4"/>
  <c r="P13" i="4"/>
  <c r="P71" i="4"/>
  <c r="P1463" i="4"/>
  <c r="P1464" i="4"/>
  <c r="P120" i="4"/>
  <c r="P83" i="4"/>
  <c r="P76" i="4"/>
  <c r="P85" i="4"/>
  <c r="P72" i="4"/>
  <c r="P54" i="4"/>
  <c r="P1465" i="4"/>
  <c r="P80" i="4"/>
  <c r="P98" i="4"/>
  <c r="P90" i="4"/>
  <c r="P40" i="4"/>
  <c r="P96" i="4"/>
  <c r="P58" i="4"/>
  <c r="P65" i="4"/>
  <c r="P99" i="4"/>
  <c r="P87" i="4"/>
  <c r="P118" i="4"/>
  <c r="P104" i="4"/>
  <c r="P81" i="4"/>
  <c r="P100" i="4"/>
  <c r="P1466" i="4"/>
  <c r="P60" i="4"/>
  <c r="P1467" i="4"/>
  <c r="P1468" i="4"/>
  <c r="P1469" i="4"/>
  <c r="P1470" i="4"/>
  <c r="P59" i="4"/>
  <c r="P1471" i="4"/>
  <c r="P1472" i="4"/>
  <c r="P1473" i="4"/>
  <c r="P1474" i="4"/>
  <c r="P1475" i="4"/>
  <c r="P1476" i="4"/>
  <c r="P1477"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7" i="4"/>
  <c r="A251" i="4"/>
  <c r="A255" i="4"/>
  <c r="A259" i="4"/>
  <c r="A263" i="4"/>
  <c r="A75" i="4"/>
  <c r="A270" i="4"/>
  <c r="A274" i="4"/>
  <c r="A50" i="4"/>
  <c r="A281" i="4"/>
  <c r="A285" i="4"/>
  <c r="A289" i="4"/>
  <c r="A293" i="4"/>
  <c r="A297" i="4"/>
  <c r="A301" i="4"/>
  <c r="A305" i="4"/>
  <c r="A309" i="4"/>
  <c r="A6" i="4"/>
  <c r="A316" i="4"/>
  <c r="A320" i="4"/>
  <c r="A324" i="4"/>
  <c r="A328" i="4"/>
  <c r="A332" i="4"/>
  <c r="A336" i="4"/>
  <c r="A340" i="4"/>
  <c r="A343" i="4"/>
  <c r="A347" i="4"/>
  <c r="A351" i="4"/>
  <c r="A355" i="4"/>
  <c r="A359" i="4"/>
  <c r="A363" i="4"/>
  <c r="A367" i="4"/>
  <c r="A371" i="4"/>
  <c r="A375" i="4"/>
  <c r="A379" i="4"/>
  <c r="A383" i="4"/>
  <c r="A387" i="4"/>
  <c r="A391" i="4"/>
  <c r="A395" i="4"/>
  <c r="A399" i="4"/>
  <c r="A403" i="4"/>
  <c r="A407" i="4"/>
  <c r="A411" i="4"/>
  <c r="A415" i="4"/>
  <c r="A101" i="4"/>
  <c r="A422" i="4"/>
  <c r="A426" i="4"/>
  <c r="A429" i="4"/>
  <c r="A433" i="4"/>
  <c r="A437" i="4"/>
  <c r="A441" i="4"/>
  <c r="A445" i="4"/>
  <c r="A449" i="4"/>
  <c r="A453" i="4"/>
  <c r="A457" i="4"/>
  <c r="A461" i="4"/>
  <c r="A465" i="4"/>
  <c r="A469" i="4"/>
  <c r="A473" i="4"/>
  <c r="A477" i="4"/>
  <c r="A481" i="4"/>
  <c r="A485" i="4"/>
  <c r="A489" i="4"/>
  <c r="A493" i="4"/>
  <c r="A497" i="4"/>
  <c r="A501" i="4"/>
  <c r="A505" i="4"/>
  <c r="A509" i="4"/>
  <c r="A513" i="4"/>
  <c r="A517" i="4"/>
  <c r="A521" i="4"/>
  <c r="A525" i="4"/>
  <c r="A529" i="4"/>
  <c r="A533" i="4"/>
  <c r="A537" i="4"/>
  <c r="A541" i="4"/>
  <c r="A545" i="4"/>
  <c r="A549" i="4"/>
  <c r="A553" i="4"/>
  <c r="A557" i="4"/>
  <c r="A561" i="4"/>
  <c r="A565" i="4"/>
  <c r="A569" i="4"/>
  <c r="A573" i="4"/>
  <c r="A577" i="4"/>
  <c r="A581" i="4"/>
  <c r="A585" i="4"/>
  <c r="A589" i="4"/>
  <c r="A593" i="4"/>
  <c r="A597" i="4"/>
  <c r="A601" i="4"/>
  <c r="A605" i="4"/>
  <c r="A609" i="4"/>
  <c r="A613" i="4"/>
  <c r="A614" i="4"/>
  <c r="A618" i="4"/>
  <c r="A119" i="4"/>
  <c r="A624" i="4"/>
  <c r="A628" i="4"/>
  <c r="A139" i="4"/>
  <c r="A143" i="4"/>
  <c r="A147" i="4"/>
  <c r="A151" i="4"/>
  <c r="A155" i="4"/>
  <c r="A159" i="4"/>
  <c r="A163" i="4"/>
  <c r="A167" i="4"/>
  <c r="A171" i="4"/>
  <c r="A175" i="4"/>
  <c r="A179" i="4"/>
  <c r="A183" i="4"/>
  <c r="A187" i="4"/>
  <c r="A191" i="4"/>
  <c r="A195" i="4"/>
  <c r="A199" i="4"/>
  <c r="A203" i="4"/>
  <c r="A206" i="4"/>
  <c r="A210" i="4"/>
  <c r="A214" i="4"/>
  <c r="A218" i="4"/>
  <c r="A222" i="4"/>
  <c r="A226" i="4"/>
  <c r="A230" i="4"/>
  <c r="A234" i="4"/>
  <c r="A238" i="4"/>
  <c r="A242" i="4"/>
  <c r="A246" i="4"/>
  <c r="A250" i="4"/>
  <c r="A254" i="4"/>
  <c r="A258" i="4"/>
  <c r="A262" i="4"/>
  <c r="A266" i="4"/>
  <c r="A269" i="4"/>
  <c r="A273" i="4"/>
  <c r="A277" i="4"/>
  <c r="A280" i="4"/>
  <c r="A284" i="4"/>
  <c r="A288" i="4"/>
  <c r="A292" i="4"/>
  <c r="A296" i="4"/>
  <c r="A300" i="4"/>
  <c r="A304" i="4"/>
  <c r="A308" i="4"/>
  <c r="A312" i="4"/>
  <c r="A315" i="4"/>
  <c r="A319" i="4"/>
  <c r="A323" i="4"/>
  <c r="A327" i="4"/>
  <c r="A331" i="4"/>
  <c r="A335" i="4"/>
  <c r="A339" i="4"/>
  <c r="A342" i="4"/>
  <c r="A346" i="4"/>
  <c r="A350" i="4"/>
  <c r="A354" i="4"/>
  <c r="A358" i="4"/>
  <c r="A362" i="4"/>
  <c r="A366" i="4"/>
  <c r="A370" i="4"/>
  <c r="A374" i="4"/>
  <c r="A378" i="4"/>
  <c r="A382" i="4"/>
  <c r="A386" i="4"/>
  <c r="A390" i="4"/>
  <c r="A394" i="4"/>
  <c r="A398" i="4"/>
  <c r="A402" i="4"/>
  <c r="A406" i="4"/>
  <c r="A410" i="4"/>
  <c r="A414" i="4"/>
  <c r="A418" i="4"/>
  <c r="A421" i="4"/>
  <c r="A425"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88" i="4"/>
  <c r="A617" i="4"/>
  <c r="A621" i="4"/>
  <c r="A92" i="4"/>
  <c r="A627" i="4"/>
  <c r="A631" i="4"/>
  <c r="A137" i="4"/>
  <c r="A145" i="4"/>
  <c r="A153" i="4"/>
  <c r="A161" i="4"/>
  <c r="A169" i="4"/>
  <c r="A177" i="4"/>
  <c r="A185" i="4"/>
  <c r="A193" i="4"/>
  <c r="A201" i="4"/>
  <c r="A208" i="4"/>
  <c r="A216" i="4"/>
  <c r="A224" i="4"/>
  <c r="A232" i="4"/>
  <c r="A240" i="4"/>
  <c r="A248" i="4"/>
  <c r="A256" i="4"/>
  <c r="A264" i="4"/>
  <c r="A271" i="4"/>
  <c r="A278" i="4"/>
  <c r="A286" i="4"/>
  <c r="A294" i="4"/>
  <c r="A302" i="4"/>
  <c r="A310" i="4"/>
  <c r="A317" i="4"/>
  <c r="A325" i="4"/>
  <c r="A333" i="4"/>
  <c r="A341" i="4"/>
  <c r="A348" i="4"/>
  <c r="A356" i="4"/>
  <c r="A364" i="4"/>
  <c r="A372" i="4"/>
  <c r="A380" i="4"/>
  <c r="A388" i="4"/>
  <c r="A396" i="4"/>
  <c r="A404" i="4"/>
  <c r="A412" i="4"/>
  <c r="A419" i="4"/>
  <c r="A67" i="4"/>
  <c r="A434" i="4"/>
  <c r="A442" i="4"/>
  <c r="A450" i="4"/>
  <c r="A458" i="4"/>
  <c r="A466" i="4"/>
  <c r="A474" i="4"/>
  <c r="A482" i="4"/>
  <c r="A490" i="4"/>
  <c r="A498" i="4"/>
  <c r="A506" i="4"/>
  <c r="A514" i="4"/>
  <c r="A522" i="4"/>
  <c r="A530" i="4"/>
  <c r="A538" i="4"/>
  <c r="A546" i="4"/>
  <c r="A554" i="4"/>
  <c r="A562" i="4"/>
  <c r="A570" i="4"/>
  <c r="A578" i="4"/>
  <c r="A586" i="4"/>
  <c r="A594" i="4"/>
  <c r="A602" i="4"/>
  <c r="A610" i="4"/>
  <c r="A615" i="4"/>
  <c r="A622" i="4"/>
  <c r="A629" i="4"/>
  <c r="A634" i="4"/>
  <c r="A638" i="4"/>
  <c r="A642" i="4"/>
  <c r="A646" i="4"/>
  <c r="A650" i="4"/>
  <c r="A93" i="4"/>
  <c r="A656" i="4"/>
  <c r="A660" i="4"/>
  <c r="A664" i="4"/>
  <c r="A668" i="4"/>
  <c r="A672" i="4"/>
  <c r="A676" i="4"/>
  <c r="A680" i="4"/>
  <c r="A683"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32" i="4"/>
  <c r="A813" i="4"/>
  <c r="A817" i="4"/>
  <c r="A821" i="4"/>
  <c r="A825" i="4"/>
  <c r="A829" i="4"/>
  <c r="A833" i="4"/>
  <c r="A837" i="4"/>
  <c r="A841" i="4"/>
  <c r="A845" i="4"/>
  <c r="A142" i="4"/>
  <c r="A150" i="4"/>
  <c r="A158" i="4"/>
  <c r="A166" i="4"/>
  <c r="A174" i="4"/>
  <c r="A182" i="4"/>
  <c r="A190" i="4"/>
  <c r="A198" i="4"/>
  <c r="A205" i="4"/>
  <c r="A213" i="4"/>
  <c r="A221" i="4"/>
  <c r="A229" i="4"/>
  <c r="A237" i="4"/>
  <c r="A245" i="4"/>
  <c r="A253" i="4"/>
  <c r="A261" i="4"/>
  <c r="A268" i="4"/>
  <c r="A276" i="4"/>
  <c r="A283" i="4"/>
  <c r="A291" i="4"/>
  <c r="A299" i="4"/>
  <c r="A307" i="4"/>
  <c r="A314" i="4"/>
  <c r="A322" i="4"/>
  <c r="A330" i="4"/>
  <c r="A338" i="4"/>
  <c r="A345" i="4"/>
  <c r="A353" i="4"/>
  <c r="A361" i="4"/>
  <c r="A369" i="4"/>
  <c r="A377" i="4"/>
  <c r="A385" i="4"/>
  <c r="A393" i="4"/>
  <c r="A401" i="4"/>
  <c r="A409" i="4"/>
  <c r="A417" i="4"/>
  <c r="A424" i="4"/>
  <c r="A431" i="4"/>
  <c r="A439" i="4"/>
  <c r="A447" i="4"/>
  <c r="A455" i="4"/>
  <c r="A463" i="4"/>
  <c r="A471" i="4"/>
  <c r="A479" i="4"/>
  <c r="A487" i="4"/>
  <c r="A495" i="4"/>
  <c r="A503" i="4"/>
  <c r="A511" i="4"/>
  <c r="A519" i="4"/>
  <c r="A527" i="4"/>
  <c r="A535" i="4"/>
  <c r="A543" i="4"/>
  <c r="A551" i="4"/>
  <c r="A559" i="4"/>
  <c r="A567" i="4"/>
  <c r="A575" i="4"/>
  <c r="A583" i="4"/>
  <c r="A591" i="4"/>
  <c r="A599" i="4"/>
  <c r="A607" i="4"/>
  <c r="A127" i="4"/>
  <c r="A620" i="4"/>
  <c r="A626" i="4"/>
  <c r="A633" i="4"/>
  <c r="A637" i="4"/>
  <c r="A641" i="4"/>
  <c r="A645" i="4"/>
  <c r="A649" i="4"/>
  <c r="A37" i="4"/>
  <c r="A655" i="4"/>
  <c r="A659" i="4"/>
  <c r="A663" i="4"/>
  <c r="A667" i="4"/>
  <c r="A671" i="4"/>
  <c r="A675" i="4"/>
  <c r="A679" i="4"/>
  <c r="A682"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110" i="4"/>
  <c r="A812" i="4"/>
  <c r="A816" i="4"/>
  <c r="A820" i="4"/>
  <c r="A824" i="4"/>
  <c r="A828" i="4"/>
  <c r="A832" i="4"/>
  <c r="A836" i="4"/>
  <c r="A840" i="4"/>
  <c r="A844" i="4"/>
  <c r="A848" i="4"/>
  <c r="A852" i="4"/>
  <c r="A856" i="4"/>
  <c r="A860" i="4"/>
  <c r="A864" i="4"/>
  <c r="A868" i="4"/>
  <c r="A872" i="4"/>
  <c r="A876" i="4"/>
  <c r="A880" i="4"/>
  <c r="A138" i="4"/>
  <c r="A154" i="4"/>
  <c r="A170" i="4"/>
  <c r="A186" i="4"/>
  <c r="A202" i="4"/>
  <c r="A217" i="4"/>
  <c r="A233" i="4"/>
  <c r="A249" i="4"/>
  <c r="A265" i="4"/>
  <c r="A279" i="4"/>
  <c r="A295" i="4"/>
  <c r="A311" i="4"/>
  <c r="A326" i="4"/>
  <c r="A121" i="4"/>
  <c r="A357" i="4"/>
  <c r="A373" i="4"/>
  <c r="A389" i="4"/>
  <c r="A405" i="4"/>
  <c r="A420" i="4"/>
  <c r="A435" i="4"/>
  <c r="A451" i="4"/>
  <c r="A467" i="4"/>
  <c r="A483" i="4"/>
  <c r="A499" i="4"/>
  <c r="A515" i="4"/>
  <c r="A531" i="4"/>
  <c r="A547" i="4"/>
  <c r="A563" i="4"/>
  <c r="A579" i="4"/>
  <c r="A595" i="4"/>
  <c r="A611" i="4"/>
  <c r="A623" i="4"/>
  <c r="A635" i="4"/>
  <c r="A643" i="4"/>
  <c r="A651" i="4"/>
  <c r="A657" i="4"/>
  <c r="A665" i="4"/>
  <c r="A673" i="4"/>
  <c r="A107" i="4"/>
  <c r="A688" i="4"/>
  <c r="A696" i="4"/>
  <c r="A704" i="4"/>
  <c r="A712" i="4"/>
  <c r="A720" i="4"/>
  <c r="A728" i="4"/>
  <c r="A736" i="4"/>
  <c r="A744" i="4"/>
  <c r="A752" i="4"/>
  <c r="A760" i="4"/>
  <c r="A768" i="4"/>
  <c r="A776" i="4"/>
  <c r="A784" i="4"/>
  <c r="A792" i="4"/>
  <c r="A800" i="4"/>
  <c r="A808" i="4"/>
  <c r="A814" i="4"/>
  <c r="A822" i="4"/>
  <c r="A830" i="4"/>
  <c r="A838" i="4"/>
  <c r="A846" i="4"/>
  <c r="A851" i="4"/>
  <c r="A857" i="4"/>
  <c r="A862" i="4"/>
  <c r="A867" i="4"/>
  <c r="A873" i="4"/>
  <c r="A878" i="4"/>
  <c r="A883" i="4"/>
  <c r="A887" i="4"/>
  <c r="A891" i="4"/>
  <c r="A894" i="4"/>
  <c r="A898" i="4"/>
  <c r="A902" i="4"/>
  <c r="A906" i="4"/>
  <c r="A910" i="4"/>
  <c r="A914" i="4"/>
  <c r="A918" i="4"/>
  <c r="A922" i="4"/>
  <c r="A926" i="4"/>
  <c r="A930" i="4"/>
  <c r="A934" i="4"/>
  <c r="A938" i="4"/>
  <c r="A942" i="4"/>
  <c r="A946" i="4"/>
  <c r="A950" i="4"/>
  <c r="A954" i="4"/>
  <c r="A958" i="4"/>
  <c r="A962" i="4"/>
  <c r="A966" i="4"/>
  <c r="A970" i="4"/>
  <c r="A974" i="4"/>
  <c r="A977" i="4"/>
  <c r="A981" i="4"/>
  <c r="A985" i="4"/>
  <c r="A989" i="4"/>
  <c r="A993" i="4"/>
  <c r="A997" i="4"/>
  <c r="A1001" i="4"/>
  <c r="A1004" i="4"/>
  <c r="A1008" i="4"/>
  <c r="A1012" i="4"/>
  <c r="A1015" i="4"/>
  <c r="A1019" i="4"/>
  <c r="A1023" i="4"/>
  <c r="A1027" i="4"/>
  <c r="A1031" i="4"/>
  <c r="A1035" i="4"/>
  <c r="A1039" i="4"/>
  <c r="A1043" i="4"/>
  <c r="A1047" i="4"/>
  <c r="A1051" i="4"/>
  <c r="A1055" i="4"/>
  <c r="A1059" i="4"/>
  <c r="A8" i="4"/>
  <c r="A1066" i="4"/>
  <c r="A1070" i="4"/>
  <c r="A1073" i="4"/>
  <c r="A1077" i="4"/>
  <c r="A91" i="4"/>
  <c r="A15" i="4"/>
  <c r="A1086" i="4"/>
  <c r="A1090" i="4"/>
  <c r="A1094" i="4"/>
  <c r="A1098" i="4"/>
  <c r="A1102" i="4"/>
  <c r="A1106" i="4"/>
  <c r="A9" i="4"/>
  <c r="A1111" i="4"/>
  <c r="A1115" i="4"/>
  <c r="A1119" i="4"/>
  <c r="A1123" i="4"/>
  <c r="A1127" i="4"/>
  <c r="A1131" i="4"/>
  <c r="A1134" i="4"/>
  <c r="A1138" i="4"/>
  <c r="A1141" i="4"/>
  <c r="A1145" i="4"/>
  <c r="A1149" i="4"/>
  <c r="A1153" i="4"/>
  <c r="A1157" i="4"/>
  <c r="A1160" i="4"/>
  <c r="A1164" i="4"/>
  <c r="A1168" i="4"/>
  <c r="A1172" i="4"/>
  <c r="A1176" i="4"/>
  <c r="A1180" i="4"/>
  <c r="A1184" i="4"/>
  <c r="A1188" i="4"/>
  <c r="A1192" i="4"/>
  <c r="A1196" i="4"/>
  <c r="A1200" i="4"/>
  <c r="A1204" i="4"/>
  <c r="A33" i="4"/>
  <c r="A1208" i="4"/>
  <c r="A1212" i="4"/>
  <c r="A1216" i="4"/>
  <c r="A1220" i="4"/>
  <c r="A1224" i="4"/>
  <c r="A1227" i="4"/>
  <c r="A1230" i="4"/>
  <c r="A1234" i="4"/>
  <c r="A1238" i="4"/>
  <c r="A1242" i="4"/>
  <c r="A1246" i="4"/>
  <c r="A1250" i="4"/>
  <c r="A1253" i="4"/>
  <c r="A1257" i="4"/>
  <c r="A1261" i="4"/>
  <c r="A1263" i="4"/>
  <c r="A125" i="4"/>
  <c r="A1267" i="4"/>
  <c r="A1271" i="4"/>
  <c r="A1275" i="4"/>
  <c r="A1279" i="4"/>
  <c r="A1283" i="4"/>
  <c r="A29" i="4"/>
  <c r="A1289" i="4"/>
  <c r="A1293" i="4"/>
  <c r="A1296" i="4"/>
  <c r="A1300" i="4"/>
  <c r="A1304" i="4"/>
  <c r="A1308" i="4"/>
  <c r="A1311" i="4"/>
  <c r="A1315" i="4"/>
  <c r="A1318" i="4"/>
  <c r="A1322" i="4"/>
  <c r="A1326" i="4"/>
  <c r="A1330" i="4"/>
  <c r="A1334" i="4"/>
  <c r="A62" i="4"/>
  <c r="A1340" i="4"/>
  <c r="A1344" i="4"/>
  <c r="A1348" i="4"/>
  <c r="A1352" i="4"/>
  <c r="A1356" i="4"/>
  <c r="A1360" i="4"/>
  <c r="A1364" i="4"/>
  <c r="A1368" i="4"/>
  <c r="A1372" i="4"/>
  <c r="A1376" i="4"/>
  <c r="A1380" i="4"/>
  <c r="A1384" i="4"/>
  <c r="A1388" i="4"/>
  <c r="A1392" i="4"/>
  <c r="A1396" i="4"/>
  <c r="A1400" i="4"/>
  <c r="A1404" i="4"/>
  <c r="A1407" i="4"/>
  <c r="A1411" i="4"/>
  <c r="A1414" i="4"/>
  <c r="A1417" i="4"/>
  <c r="A1419" i="4"/>
  <c r="A1421" i="4"/>
  <c r="A1423" i="4"/>
  <c r="A1425" i="4"/>
  <c r="A1428" i="4"/>
  <c r="A122" i="4"/>
  <c r="A1430" i="4"/>
  <c r="A1433" i="4"/>
  <c r="A1437" i="4"/>
  <c r="A1440" i="4"/>
  <c r="A17" i="4"/>
  <c r="A19" i="4"/>
  <c r="A134" i="4"/>
  <c r="A1449" i="4"/>
  <c r="A1452" i="4"/>
  <c r="A1455" i="4"/>
  <c r="A1458" i="4"/>
  <c r="A64" i="4"/>
  <c r="A46" i="4"/>
  <c r="A18" i="4"/>
  <c r="A24" i="4"/>
  <c r="A31" i="4"/>
  <c r="A27" i="4"/>
  <c r="A44" i="4"/>
  <c r="A1463" i="4"/>
  <c r="A76" i="4"/>
  <c r="A1465" i="4"/>
  <c r="A40" i="4"/>
  <c r="A99" i="4"/>
  <c r="A81" i="4"/>
  <c r="A1467" i="4"/>
  <c r="A59" i="4"/>
  <c r="A1474" i="4"/>
  <c r="G136" i="4"/>
  <c r="G140" i="4"/>
  <c r="G144" i="4"/>
  <c r="A149" i="4"/>
  <c r="A165" i="4"/>
  <c r="A181" i="4"/>
  <c r="A197" i="4"/>
  <c r="A212" i="4"/>
  <c r="A228" i="4"/>
  <c r="A244" i="4"/>
  <c r="A260" i="4"/>
  <c r="A275" i="4"/>
  <c r="A290" i="4"/>
  <c r="A306" i="4"/>
  <c r="A321" i="4"/>
  <c r="A337" i="4"/>
  <c r="A352" i="4"/>
  <c r="A368" i="4"/>
  <c r="A384" i="4"/>
  <c r="A400" i="4"/>
  <c r="A416" i="4"/>
  <c r="A430" i="4"/>
  <c r="A446" i="4"/>
  <c r="A462" i="4"/>
  <c r="A478" i="4"/>
  <c r="A494" i="4"/>
  <c r="A510" i="4"/>
  <c r="A526" i="4"/>
  <c r="A542" i="4"/>
  <c r="A558" i="4"/>
  <c r="A574" i="4"/>
  <c r="A590" i="4"/>
  <c r="A606" i="4"/>
  <c r="A619" i="4"/>
  <c r="A632" i="4"/>
  <c r="A640" i="4"/>
  <c r="A648" i="4"/>
  <c r="A654" i="4"/>
  <c r="A662" i="4"/>
  <c r="A670" i="4"/>
  <c r="A678" i="4"/>
  <c r="A685" i="4"/>
  <c r="A693" i="4"/>
  <c r="A701" i="4"/>
  <c r="A709" i="4"/>
  <c r="A717" i="4"/>
  <c r="A725" i="4"/>
  <c r="A733" i="4"/>
  <c r="A741" i="4"/>
  <c r="A749" i="4"/>
  <c r="A757" i="4"/>
  <c r="A765" i="4"/>
  <c r="A773" i="4"/>
  <c r="A781" i="4"/>
  <c r="A789" i="4"/>
  <c r="A797" i="4"/>
  <c r="A805" i="4"/>
  <c r="A811" i="4"/>
  <c r="A819" i="4"/>
  <c r="A827" i="4"/>
  <c r="A835" i="4"/>
  <c r="A843" i="4"/>
  <c r="A850" i="4"/>
  <c r="A855" i="4"/>
  <c r="A861" i="4"/>
  <c r="A866" i="4"/>
  <c r="A871" i="4"/>
  <c r="A877" i="4"/>
  <c r="A882" i="4"/>
  <c r="A886" i="4"/>
  <c r="A890" i="4"/>
  <c r="A7" i="4"/>
  <c r="A897" i="4"/>
  <c r="A901" i="4"/>
  <c r="A905" i="4"/>
  <c r="A909" i="4"/>
  <c r="A913" i="4"/>
  <c r="A917" i="4"/>
  <c r="A921" i="4"/>
  <c r="A925" i="4"/>
  <c r="A929" i="4"/>
  <c r="A933" i="4"/>
  <c r="A937" i="4"/>
  <c r="A941" i="4"/>
  <c r="A945" i="4"/>
  <c r="A949" i="4"/>
  <c r="A953" i="4"/>
  <c r="A957" i="4"/>
  <c r="A961" i="4"/>
  <c r="A965" i="4"/>
  <c r="A969" i="4"/>
  <c r="A973" i="4"/>
  <c r="A111" i="4"/>
  <c r="A980" i="4"/>
  <c r="A984" i="4"/>
  <c r="A988" i="4"/>
  <c r="A992" i="4"/>
  <c r="A996" i="4"/>
  <c r="A1000" i="4"/>
  <c r="A77" i="4"/>
  <c r="A1007" i="4"/>
  <c r="A1011" i="4"/>
  <c r="A1014" i="4"/>
  <c r="A1018" i="4"/>
  <c r="A1022" i="4"/>
  <c r="A1026" i="4"/>
  <c r="A1030" i="4"/>
  <c r="A1034" i="4"/>
  <c r="A1038" i="4"/>
  <c r="A1042" i="4"/>
  <c r="A1046" i="4"/>
  <c r="A1050" i="4"/>
  <c r="A1054" i="4"/>
  <c r="A1058" i="4"/>
  <c r="A1062" i="4"/>
  <c r="A1065" i="4"/>
  <c r="A1069" i="4"/>
  <c r="A1072" i="4"/>
  <c r="A1076" i="4"/>
  <c r="A1080" i="4"/>
  <c r="A1083" i="4"/>
  <c r="A1085" i="4"/>
  <c r="A1089" i="4"/>
  <c r="A1093" i="4"/>
  <c r="A1097" i="4"/>
  <c r="A1101" i="4"/>
  <c r="A1105" i="4"/>
  <c r="A38" i="4"/>
  <c r="A1110" i="4"/>
  <c r="A1114" i="4"/>
  <c r="A1118" i="4"/>
  <c r="A1122" i="4"/>
  <c r="A1126" i="4"/>
  <c r="A1130" i="4"/>
  <c r="A25" i="4"/>
  <c r="A1137" i="4"/>
  <c r="A1140" i="4"/>
  <c r="A1144" i="4"/>
  <c r="A1148" i="4"/>
  <c r="A1152" i="4"/>
  <c r="A1156" i="4"/>
  <c r="A61" i="4"/>
  <c r="A1163" i="4"/>
  <c r="A1167" i="4"/>
  <c r="A1171" i="4"/>
  <c r="A1175" i="4"/>
  <c r="A1179" i="4"/>
  <c r="A1183" i="4"/>
  <c r="A1187" i="4"/>
  <c r="A1191" i="4"/>
  <c r="A1195" i="4"/>
  <c r="A1199" i="4"/>
  <c r="A1203" i="4"/>
  <c r="A41" i="4"/>
  <c r="A1207" i="4"/>
  <c r="A1211" i="4"/>
  <c r="A1215" i="4"/>
  <c r="A1219" i="4"/>
  <c r="A1223" i="4"/>
  <c r="A1226" i="4"/>
  <c r="A135" i="4"/>
  <c r="A1233" i="4"/>
  <c r="A1237" i="4"/>
  <c r="A1241" i="4"/>
  <c r="A1245" i="4"/>
  <c r="A1249" i="4"/>
  <c r="A129" i="4"/>
  <c r="A1256" i="4"/>
  <c r="A1260" i="4"/>
  <c r="A1262" i="4"/>
  <c r="A1266" i="4"/>
  <c r="A112" i="4"/>
  <c r="A1270" i="4"/>
  <c r="A1274" i="4"/>
  <c r="A1278" i="4"/>
  <c r="A1282" i="4"/>
  <c r="A1286" i="4"/>
  <c r="A1288" i="4"/>
  <c r="A1292" i="4"/>
  <c r="A34" i="4"/>
  <c r="A1299" i="4"/>
  <c r="A1303" i="4"/>
  <c r="A1307" i="4"/>
  <c r="A1310" i="4"/>
  <c r="A1314" i="4"/>
  <c r="A35" i="4"/>
  <c r="A1321" i="4"/>
  <c r="A1325" i="4"/>
  <c r="A1329" i="4"/>
  <c r="A1333" i="4"/>
  <c r="A1337" i="4"/>
  <c r="A123" i="4"/>
  <c r="A1343" i="4"/>
  <c r="A1347" i="4"/>
  <c r="A1351" i="4"/>
  <c r="A1355" i="4"/>
  <c r="A1359" i="4"/>
  <c r="A1363" i="4"/>
  <c r="A1367" i="4"/>
  <c r="A1371" i="4"/>
  <c r="A1375" i="4"/>
  <c r="A1379" i="4"/>
  <c r="A1383" i="4"/>
  <c r="A1387" i="4"/>
  <c r="A1391" i="4"/>
  <c r="A1395" i="4"/>
  <c r="A1399" i="4"/>
  <c r="A1403" i="4"/>
  <c r="A130" i="4"/>
  <c r="A1410" i="4"/>
  <c r="A1413" i="4"/>
  <c r="A1416" i="4"/>
  <c r="A1418" i="4"/>
  <c r="A52" i="4"/>
  <c r="A1422" i="4"/>
  <c r="A36" i="4"/>
  <c r="A63" i="4"/>
  <c r="A124" i="4"/>
  <c r="A1429" i="4"/>
  <c r="A105" i="4"/>
  <c r="A1436" i="4"/>
  <c r="A82" i="4"/>
  <c r="A11" i="4"/>
  <c r="A1444" i="4"/>
  <c r="A1446" i="4"/>
  <c r="A42" i="4"/>
  <c r="A1451" i="4"/>
  <c r="A108" i="4"/>
  <c r="A1457" i="4"/>
  <c r="A74" i="4"/>
  <c r="A86" i="4"/>
  <c r="A109" i="4"/>
  <c r="A56" i="4"/>
  <c r="A1460" i="4"/>
  <c r="A48" i="4"/>
  <c r="A89" i="4"/>
  <c r="A71" i="4"/>
  <c r="A83" i="4"/>
  <c r="A54" i="4"/>
  <c r="A90" i="4"/>
  <c r="A65" i="4"/>
  <c r="A104" i="4"/>
  <c r="A60" i="4"/>
  <c r="A1470" i="4"/>
  <c r="A1473" i="4"/>
  <c r="A1477" i="4"/>
  <c r="G139" i="4"/>
  <c r="G143" i="4"/>
  <c r="G147" i="4"/>
  <c r="G151" i="4"/>
  <c r="G155" i="4"/>
  <c r="G159" i="4"/>
  <c r="G163" i="4"/>
  <c r="G167" i="4"/>
  <c r="G171" i="4"/>
  <c r="G175" i="4"/>
  <c r="G179" i="4"/>
  <c r="G183" i="4"/>
  <c r="A141" i="4"/>
  <c r="A173" i="4"/>
  <c r="A106" i="4"/>
  <c r="A236" i="4"/>
  <c r="A267" i="4"/>
  <c r="A298" i="4"/>
  <c r="A329" i="4"/>
  <c r="A360" i="4"/>
  <c r="A392" i="4"/>
  <c r="A423" i="4"/>
  <c r="A454" i="4"/>
  <c r="A486" i="4"/>
  <c r="A518" i="4"/>
  <c r="A550" i="4"/>
  <c r="A582" i="4"/>
  <c r="A84" i="4"/>
  <c r="A636" i="4"/>
  <c r="A652" i="4"/>
  <c r="A666" i="4"/>
  <c r="A681" i="4"/>
  <c r="A697" i="4"/>
  <c r="A713" i="4"/>
  <c r="A729" i="4"/>
  <c r="A745" i="4"/>
  <c r="A761" i="4"/>
  <c r="A777" i="4"/>
  <c r="A793" i="4"/>
  <c r="A809" i="4"/>
  <c r="A823" i="4"/>
  <c r="A839" i="4"/>
  <c r="A853" i="4"/>
  <c r="A863" i="4"/>
  <c r="A874" i="4"/>
  <c r="A884" i="4"/>
  <c r="A892" i="4"/>
  <c r="A899" i="4"/>
  <c r="A907" i="4"/>
  <c r="A915" i="4"/>
  <c r="A923" i="4"/>
  <c r="A931" i="4"/>
  <c r="A939" i="4"/>
  <c r="A947" i="4"/>
  <c r="A955" i="4"/>
  <c r="A963" i="4"/>
  <c r="A971" i="4"/>
  <c r="A978" i="4"/>
  <c r="A986" i="4"/>
  <c r="A994" i="4"/>
  <c r="A1002" i="4"/>
  <c r="A1009" i="4"/>
  <c r="A1016" i="4"/>
  <c r="A1024" i="4"/>
  <c r="A1032" i="4"/>
  <c r="A1040" i="4"/>
  <c r="A1048" i="4"/>
  <c r="A1056" i="4"/>
  <c r="A1063" i="4"/>
  <c r="A51" i="4"/>
  <c r="A1078" i="4"/>
  <c r="A55" i="4"/>
  <c r="A1091" i="4"/>
  <c r="A1099" i="4"/>
  <c r="A1107" i="4"/>
  <c r="A1112" i="4"/>
  <c r="A1120" i="4"/>
  <c r="A1128" i="4"/>
  <c r="A1135" i="4"/>
  <c r="A1142" i="4"/>
  <c r="A1150" i="4"/>
  <c r="A1158" i="4"/>
  <c r="A1165" i="4"/>
  <c r="A1173" i="4"/>
  <c r="A1181" i="4"/>
  <c r="A1189" i="4"/>
  <c r="A1197" i="4"/>
  <c r="A39" i="4"/>
  <c r="A1209" i="4"/>
  <c r="A1217" i="4"/>
  <c r="A78" i="4"/>
  <c r="A1231" i="4"/>
  <c r="A1239" i="4"/>
  <c r="A1247" i="4"/>
  <c r="A1254" i="4"/>
  <c r="A45" i="4"/>
  <c r="A73" i="4"/>
  <c r="A1272" i="4"/>
  <c r="A1280" i="4"/>
  <c r="A1287" i="4"/>
  <c r="A1294" i="4"/>
  <c r="A1301" i="4"/>
  <c r="A117" i="4"/>
  <c r="A1316" i="4"/>
  <c r="A1323" i="4"/>
  <c r="A1331" i="4"/>
  <c r="A1338" i="4"/>
  <c r="A1345" i="4"/>
  <c r="A1353" i="4"/>
  <c r="A1361" i="4"/>
  <c r="A1369" i="4"/>
  <c r="A1377" i="4"/>
  <c r="A1385" i="4"/>
  <c r="A1393" i="4"/>
  <c r="A1401" i="4"/>
  <c r="A1408" i="4"/>
  <c r="A1415" i="4"/>
  <c r="A94" i="4"/>
  <c r="A1424" i="4"/>
  <c r="A126" i="4"/>
  <c r="A1431" i="4"/>
  <c r="A1438" i="4"/>
  <c r="A69" i="4"/>
  <c r="A1447" i="4"/>
  <c r="A1453" i="4"/>
  <c r="A116" i="4"/>
  <c r="A47" i="4"/>
  <c r="A113" i="4"/>
  <c r="A1461" i="4"/>
  <c r="A1464" i="4"/>
  <c r="A80" i="4"/>
  <c r="A87" i="4"/>
  <c r="A1468" i="4"/>
  <c r="A1475" i="4"/>
  <c r="G141" i="4"/>
  <c r="G148" i="4"/>
  <c r="G153" i="4"/>
  <c r="G158" i="4"/>
  <c r="G164" i="4"/>
  <c r="G169" i="4"/>
  <c r="G174" i="4"/>
  <c r="G180" i="4"/>
  <c r="G185" i="4"/>
  <c r="G189" i="4"/>
  <c r="G193" i="4"/>
  <c r="G197" i="4"/>
  <c r="G201" i="4"/>
  <c r="G106" i="4"/>
  <c r="G208" i="4"/>
  <c r="G212" i="4"/>
  <c r="G216" i="4"/>
  <c r="G220" i="4"/>
  <c r="G224" i="4"/>
  <c r="G228" i="4"/>
  <c r="G232" i="4"/>
  <c r="G236" i="4"/>
  <c r="G240" i="4"/>
  <c r="G244" i="4"/>
  <c r="G248" i="4"/>
  <c r="G252" i="4"/>
  <c r="G256" i="4"/>
  <c r="G260" i="4"/>
  <c r="G264" i="4"/>
  <c r="G267" i="4"/>
  <c r="G271" i="4"/>
  <c r="G275" i="4"/>
  <c r="G278" i="4"/>
  <c r="G282" i="4"/>
  <c r="G286" i="4"/>
  <c r="G290" i="4"/>
  <c r="G294" i="4"/>
  <c r="G298" i="4"/>
  <c r="G302" i="4"/>
  <c r="G306" i="4"/>
  <c r="G310" i="4"/>
  <c r="G313" i="4"/>
  <c r="G317" i="4"/>
  <c r="G321" i="4"/>
  <c r="G325" i="4"/>
  <c r="G329" i="4"/>
  <c r="G333" i="4"/>
  <c r="G337" i="4"/>
  <c r="G341" i="4"/>
  <c r="G344" i="4"/>
  <c r="G348" i="4"/>
  <c r="G352" i="4"/>
  <c r="G356" i="4"/>
  <c r="G360" i="4"/>
  <c r="G364" i="4"/>
  <c r="G368" i="4"/>
  <c r="G372" i="4"/>
  <c r="G376" i="4"/>
  <c r="G380" i="4"/>
  <c r="G384" i="4"/>
  <c r="G388" i="4"/>
  <c r="G392" i="4"/>
  <c r="G396" i="4"/>
  <c r="G400" i="4"/>
  <c r="G404" i="4"/>
  <c r="G408" i="4"/>
  <c r="G412" i="4"/>
  <c r="G416" i="4"/>
  <c r="G419" i="4"/>
  <c r="G423" i="4"/>
  <c r="G67"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10" i="4"/>
  <c r="G84" i="4"/>
  <c r="G615" i="4"/>
  <c r="G619" i="4"/>
  <c r="G622" i="4"/>
  <c r="G625" i="4"/>
  <c r="G629" i="4"/>
  <c r="G633" i="4"/>
  <c r="G637" i="4"/>
  <c r="G641" i="4"/>
  <c r="G645" i="4"/>
  <c r="G649" i="4"/>
  <c r="G37" i="4"/>
  <c r="G655" i="4"/>
  <c r="G659" i="4"/>
  <c r="G663" i="4"/>
  <c r="G667" i="4"/>
  <c r="A162" i="4"/>
  <c r="A194" i="4"/>
  <c r="A225" i="4"/>
  <c r="A257" i="4"/>
  <c r="A287" i="4"/>
  <c r="A318" i="4"/>
  <c r="A349" i="4"/>
  <c r="A381" i="4"/>
  <c r="A413" i="4"/>
  <c r="A443" i="4"/>
  <c r="A475" i="4"/>
  <c r="A507" i="4"/>
  <c r="A539" i="4"/>
  <c r="A571" i="4"/>
  <c r="A603" i="4"/>
  <c r="A630" i="4"/>
  <c r="A647" i="4"/>
  <c r="A661" i="4"/>
  <c r="A677" i="4"/>
  <c r="A692" i="4"/>
  <c r="A708" i="4"/>
  <c r="A724" i="4"/>
  <c r="A740" i="4"/>
  <c r="A756" i="4"/>
  <c r="A772" i="4"/>
  <c r="A788" i="4"/>
  <c r="A804" i="4"/>
  <c r="A818" i="4"/>
  <c r="A834" i="4"/>
  <c r="A849" i="4"/>
  <c r="A859" i="4"/>
  <c r="A870" i="4"/>
  <c r="A881" i="4"/>
  <c r="A889" i="4"/>
  <c r="A896" i="4"/>
  <c r="A904" i="4"/>
  <c r="A912" i="4"/>
  <c r="A920" i="4"/>
  <c r="A928" i="4"/>
  <c r="A936" i="4"/>
  <c r="A944" i="4"/>
  <c r="A952" i="4"/>
  <c r="A960" i="4"/>
  <c r="A968" i="4"/>
  <c r="A976" i="4"/>
  <c r="A983" i="4"/>
  <c r="A991" i="4"/>
  <c r="A999" i="4"/>
  <c r="A1006" i="4"/>
  <c r="A1013" i="4"/>
  <c r="A1021" i="4"/>
  <c r="A1029" i="4"/>
  <c r="A1037" i="4"/>
  <c r="A1045" i="4"/>
  <c r="A1053" i="4"/>
  <c r="A1061" i="4"/>
  <c r="A1068" i="4"/>
  <c r="A1075" i="4"/>
  <c r="A1082" i="4"/>
  <c r="A1088" i="4"/>
  <c r="A1096" i="4"/>
  <c r="A1104" i="4"/>
  <c r="A97" i="4"/>
  <c r="A1117" i="4"/>
  <c r="A1125" i="4"/>
  <c r="A1133" i="4"/>
  <c r="A114" i="4"/>
  <c r="A1147" i="4"/>
  <c r="A1155" i="4"/>
  <c r="A1162" i="4"/>
  <c r="A1170" i="4"/>
  <c r="A1178" i="4"/>
  <c r="A1186" i="4"/>
  <c r="A1194" i="4"/>
  <c r="A1202" i="4"/>
  <c r="A1206" i="4"/>
  <c r="A1214" i="4"/>
  <c r="A1222" i="4"/>
  <c r="A1229" i="4"/>
  <c r="A1236" i="4"/>
  <c r="A1244" i="4"/>
  <c r="A1252" i="4"/>
  <c r="A1259" i="4"/>
  <c r="A1265" i="4"/>
  <c r="A1269" i="4"/>
  <c r="A1277" i="4"/>
  <c r="A1285" i="4"/>
  <c r="A1291" i="4"/>
  <c r="A1298" i="4"/>
  <c r="A1306" i="4"/>
  <c r="A1313" i="4"/>
  <c r="A1320" i="4"/>
  <c r="A1328" i="4"/>
  <c r="A1336" i="4"/>
  <c r="A1342" i="4"/>
  <c r="A1350" i="4"/>
  <c r="A1358" i="4"/>
  <c r="A1366" i="4"/>
  <c r="A1374" i="4"/>
  <c r="A1382" i="4"/>
  <c r="A1390" i="4"/>
  <c r="A1398" i="4"/>
  <c r="A1406" i="4"/>
  <c r="A1412" i="4"/>
  <c r="A131" i="4"/>
  <c r="A95" i="4"/>
  <c r="A1427" i="4"/>
  <c r="A21" i="4"/>
  <c r="A1435" i="4"/>
  <c r="A1442" i="4"/>
  <c r="A12" i="4"/>
  <c r="A79" i="4"/>
  <c r="A1456" i="4"/>
  <c r="A1459" i="4"/>
  <c r="A132" i="4"/>
  <c r="A22" i="4"/>
  <c r="A13" i="4"/>
  <c r="A72" i="4"/>
  <c r="A58" i="4"/>
  <c r="A1466" i="4"/>
  <c r="A1472" i="4"/>
  <c r="G138" i="4"/>
  <c r="G146" i="4"/>
  <c r="G152" i="4"/>
  <c r="G157" i="4"/>
  <c r="G162" i="4"/>
  <c r="G168" i="4"/>
  <c r="G173" i="4"/>
  <c r="G178" i="4"/>
  <c r="G184" i="4"/>
  <c r="G188" i="4"/>
  <c r="G192" i="4"/>
  <c r="G196" i="4"/>
  <c r="G200" i="4"/>
  <c r="G204" i="4"/>
  <c r="G207" i="4"/>
  <c r="G211" i="4"/>
  <c r="G215" i="4"/>
  <c r="G219" i="4"/>
  <c r="G223" i="4"/>
  <c r="G227" i="4"/>
  <c r="G231" i="4"/>
  <c r="G235" i="4"/>
  <c r="G239" i="4"/>
  <c r="G243" i="4"/>
  <c r="G247" i="4"/>
  <c r="G251" i="4"/>
  <c r="G255" i="4"/>
  <c r="G259" i="4"/>
  <c r="G263" i="4"/>
  <c r="G75" i="4"/>
  <c r="G270" i="4"/>
  <c r="G274" i="4"/>
  <c r="G50" i="4"/>
  <c r="G281" i="4"/>
  <c r="G285" i="4"/>
  <c r="G289" i="4"/>
  <c r="G293" i="4"/>
  <c r="G297" i="4"/>
  <c r="G301" i="4"/>
  <c r="G305" i="4"/>
  <c r="G309" i="4"/>
  <c r="G6" i="4"/>
  <c r="G316" i="4"/>
  <c r="G320" i="4"/>
  <c r="G324" i="4"/>
  <c r="G328" i="4"/>
  <c r="G332" i="4"/>
  <c r="G336" i="4"/>
  <c r="G340" i="4"/>
  <c r="G343" i="4"/>
  <c r="G347" i="4"/>
  <c r="G351" i="4"/>
  <c r="G355" i="4"/>
  <c r="G359" i="4"/>
  <c r="G363" i="4"/>
  <c r="G367" i="4"/>
  <c r="G371" i="4"/>
  <c r="G375" i="4"/>
  <c r="G379" i="4"/>
  <c r="G383" i="4"/>
  <c r="G387" i="4"/>
  <c r="G391" i="4"/>
  <c r="G395" i="4"/>
  <c r="G399" i="4"/>
  <c r="G403" i="4"/>
  <c r="G407" i="4"/>
  <c r="G411" i="4"/>
  <c r="G415" i="4"/>
  <c r="G101" i="4"/>
  <c r="G422" i="4"/>
  <c r="G426"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609" i="4"/>
  <c r="G613" i="4"/>
  <c r="G614" i="4"/>
  <c r="G618" i="4"/>
  <c r="G119" i="4"/>
  <c r="G624" i="4"/>
  <c r="G628" i="4"/>
  <c r="G632" i="4"/>
  <c r="G636" i="4"/>
  <c r="G640" i="4"/>
  <c r="G644" i="4"/>
  <c r="G648" i="4"/>
  <c r="G652" i="4"/>
  <c r="G654" i="4"/>
  <c r="G658" i="4"/>
  <c r="G662" i="4"/>
  <c r="G666" i="4"/>
  <c r="G670" i="4"/>
  <c r="G674" i="4"/>
  <c r="G678" i="4"/>
  <c r="G681" i="4"/>
  <c r="G685" i="4"/>
  <c r="G689" i="4"/>
  <c r="G693" i="4"/>
  <c r="G697" i="4"/>
  <c r="G701" i="4"/>
  <c r="G705" i="4"/>
  <c r="G709" i="4"/>
  <c r="G713" i="4"/>
  <c r="G717" i="4"/>
  <c r="G721" i="4"/>
  <c r="G725" i="4"/>
  <c r="G729" i="4"/>
  <c r="G733" i="4"/>
  <c r="G737" i="4"/>
  <c r="G741" i="4"/>
  <c r="G745" i="4"/>
  <c r="G749" i="4"/>
  <c r="G753" i="4"/>
  <c r="G757" i="4"/>
  <c r="G761" i="4"/>
  <c r="G765" i="4"/>
  <c r="G769" i="4"/>
  <c r="G773" i="4"/>
  <c r="A146" i="4"/>
  <c r="A209" i="4"/>
  <c r="A272" i="4"/>
  <c r="A334" i="4"/>
  <c r="A397" i="4"/>
  <c r="A459" i="4"/>
  <c r="A523" i="4"/>
  <c r="A587" i="4"/>
  <c r="A639" i="4"/>
  <c r="A669" i="4"/>
  <c r="A700" i="4"/>
  <c r="A732" i="4"/>
  <c r="A764" i="4"/>
  <c r="A796" i="4"/>
  <c r="A826" i="4"/>
  <c r="A854" i="4"/>
  <c r="A875" i="4"/>
  <c r="A893" i="4"/>
  <c r="A908" i="4"/>
  <c r="A924" i="4"/>
  <c r="A940" i="4"/>
  <c r="A956" i="4"/>
  <c r="A972" i="4"/>
  <c r="A987" i="4"/>
  <c r="A1003" i="4"/>
  <c r="A1017" i="4"/>
  <c r="A1033" i="4"/>
  <c r="A1049" i="4"/>
  <c r="A1064" i="4"/>
  <c r="A1079" i="4"/>
  <c r="A1092" i="4"/>
  <c r="A1108" i="4"/>
  <c r="A1121" i="4"/>
  <c r="A1136" i="4"/>
  <c r="A1151" i="4"/>
  <c r="A1166" i="4"/>
  <c r="A1182" i="4"/>
  <c r="A1198" i="4"/>
  <c r="A1210" i="4"/>
  <c r="A1225" i="4"/>
  <c r="A1240" i="4"/>
  <c r="A1255" i="4"/>
  <c r="A102" i="4"/>
  <c r="A1281" i="4"/>
  <c r="A1295" i="4"/>
  <c r="A1309" i="4"/>
  <c r="A1324" i="4"/>
  <c r="A1339" i="4"/>
  <c r="A1354" i="4"/>
  <c r="A1370" i="4"/>
  <c r="A1386" i="4"/>
  <c r="A1402" i="4"/>
  <c r="A14" i="4"/>
  <c r="A68" i="4"/>
  <c r="A1432" i="4"/>
  <c r="A1443" i="4"/>
  <c r="A1454" i="4"/>
  <c r="A53" i="4"/>
  <c r="A57" i="4"/>
  <c r="A98" i="4"/>
  <c r="A1469" i="4"/>
  <c r="G142" i="4"/>
  <c r="G154" i="4"/>
  <c r="G165" i="4"/>
  <c r="G176" i="4"/>
  <c r="G186" i="4"/>
  <c r="G194" i="4"/>
  <c r="G202" i="4"/>
  <c r="G209" i="4"/>
  <c r="G217" i="4"/>
  <c r="G225" i="4"/>
  <c r="G233" i="4"/>
  <c r="G241" i="4"/>
  <c r="G249" i="4"/>
  <c r="G257" i="4"/>
  <c r="G265" i="4"/>
  <c r="G272" i="4"/>
  <c r="G279" i="4"/>
  <c r="G287" i="4"/>
  <c r="G295" i="4"/>
  <c r="G303" i="4"/>
  <c r="G311" i="4"/>
  <c r="G318" i="4"/>
  <c r="G326" i="4"/>
  <c r="G334" i="4"/>
  <c r="G121" i="4"/>
  <c r="G349" i="4"/>
  <c r="G357" i="4"/>
  <c r="G365" i="4"/>
  <c r="G373" i="4"/>
  <c r="G381" i="4"/>
  <c r="G389" i="4"/>
  <c r="G397" i="4"/>
  <c r="G405" i="4"/>
  <c r="G413" i="4"/>
  <c r="G420" i="4"/>
  <c r="G427" i="4"/>
  <c r="G435" i="4"/>
  <c r="G443" i="4"/>
  <c r="G451" i="4"/>
  <c r="G459" i="4"/>
  <c r="G467" i="4"/>
  <c r="G475" i="4"/>
  <c r="G483" i="4"/>
  <c r="G491" i="4"/>
  <c r="G499" i="4"/>
  <c r="G507" i="4"/>
  <c r="G515" i="4"/>
  <c r="G523" i="4"/>
  <c r="G531" i="4"/>
  <c r="G539" i="4"/>
  <c r="G547" i="4"/>
  <c r="G555" i="4"/>
  <c r="G563" i="4"/>
  <c r="G571" i="4"/>
  <c r="G579" i="4"/>
  <c r="G587" i="4"/>
  <c r="G595" i="4"/>
  <c r="G603" i="4"/>
  <c r="G611" i="4"/>
  <c r="G616" i="4"/>
  <c r="G623" i="4"/>
  <c r="G630" i="4"/>
  <c r="G638" i="4"/>
  <c r="G646" i="4"/>
  <c r="G93" i="4"/>
  <c r="G660" i="4"/>
  <c r="G668" i="4"/>
  <c r="G673" i="4"/>
  <c r="G679" i="4"/>
  <c r="G683" i="4"/>
  <c r="G688" i="4"/>
  <c r="G694" i="4"/>
  <c r="G699" i="4"/>
  <c r="G704" i="4"/>
  <c r="G710" i="4"/>
  <c r="G715" i="4"/>
  <c r="G720" i="4"/>
  <c r="G726" i="4"/>
  <c r="G731" i="4"/>
  <c r="G736" i="4"/>
  <c r="G742" i="4"/>
  <c r="G747" i="4"/>
  <c r="G752" i="4"/>
  <c r="G758" i="4"/>
  <c r="G763" i="4"/>
  <c r="G768" i="4"/>
  <c r="G774" i="4"/>
  <c r="G778" i="4"/>
  <c r="G782" i="4"/>
  <c r="G786" i="4"/>
  <c r="G790" i="4"/>
  <c r="G794" i="4"/>
  <c r="G798" i="4"/>
  <c r="G802" i="4"/>
  <c r="G806" i="4"/>
  <c r="G110" i="4"/>
  <c r="G812" i="4"/>
  <c r="G816" i="4"/>
  <c r="G820" i="4"/>
  <c r="G824" i="4"/>
  <c r="G828" i="4"/>
  <c r="G832" i="4"/>
  <c r="G836" i="4"/>
  <c r="G840" i="4"/>
  <c r="G844" i="4"/>
  <c r="G848" i="4"/>
  <c r="G852" i="4"/>
  <c r="G856" i="4"/>
  <c r="G860" i="4"/>
  <c r="G864" i="4"/>
  <c r="G868" i="4"/>
  <c r="G872" i="4"/>
  <c r="G876" i="4"/>
  <c r="G880" i="4"/>
  <c r="G884" i="4"/>
  <c r="G888" i="4"/>
  <c r="G892" i="4"/>
  <c r="G895" i="4"/>
  <c r="G899" i="4"/>
  <c r="G903" i="4"/>
  <c r="G907" i="4"/>
  <c r="G911" i="4"/>
  <c r="G915" i="4"/>
  <c r="G919" i="4"/>
  <c r="G923" i="4"/>
  <c r="G927" i="4"/>
  <c r="G931" i="4"/>
  <c r="G935" i="4"/>
  <c r="G939" i="4"/>
  <c r="G943" i="4"/>
  <c r="G947" i="4"/>
  <c r="G951" i="4"/>
  <c r="G955" i="4"/>
  <c r="G959" i="4"/>
  <c r="G963" i="4"/>
  <c r="G967" i="4"/>
  <c r="G971" i="4"/>
  <c r="G975" i="4"/>
  <c r="G978" i="4"/>
  <c r="G982" i="4"/>
  <c r="G986" i="4"/>
  <c r="G990" i="4"/>
  <c r="G994" i="4"/>
  <c r="G998" i="4"/>
  <c r="G1002" i="4"/>
  <c r="G1005" i="4"/>
  <c r="G1009" i="4"/>
  <c r="G66" i="4"/>
  <c r="G1016" i="4"/>
  <c r="G1020" i="4"/>
  <c r="G1024" i="4"/>
  <c r="G1028" i="4"/>
  <c r="G1032" i="4"/>
  <c r="G1036" i="4"/>
  <c r="G1040" i="4"/>
  <c r="G1044" i="4"/>
  <c r="G1048" i="4"/>
  <c r="G1052" i="4"/>
  <c r="G1056" i="4"/>
  <c r="G1060" i="4"/>
  <c r="G1063" i="4"/>
  <c r="G1067" i="4"/>
  <c r="G51" i="4"/>
  <c r="G1074" i="4"/>
  <c r="G1078" i="4"/>
  <c r="G1081" i="4"/>
  <c r="G55" i="4"/>
  <c r="G1087" i="4"/>
  <c r="G1091" i="4"/>
  <c r="G1095" i="4"/>
  <c r="G1099" i="4"/>
  <c r="G1103" i="4"/>
  <c r="G1107" i="4"/>
  <c r="G1109" i="4"/>
  <c r="G1112" i="4"/>
  <c r="G1116" i="4"/>
  <c r="G1120" i="4"/>
  <c r="G1124" i="4"/>
  <c r="G1128" i="4"/>
  <c r="G1132" i="4"/>
  <c r="G1135" i="4"/>
  <c r="G1139" i="4"/>
  <c r="G1142" i="4"/>
  <c r="G1146" i="4"/>
  <c r="G1150" i="4"/>
  <c r="G1154" i="4"/>
  <c r="G1158" i="4"/>
  <c r="G1161" i="4"/>
  <c r="G1165" i="4"/>
  <c r="G1169" i="4"/>
  <c r="G1173" i="4"/>
  <c r="G1177" i="4"/>
  <c r="G1181" i="4"/>
  <c r="G1185" i="4"/>
  <c r="G1189" i="4"/>
  <c r="G1193" i="4"/>
  <c r="G1197" i="4"/>
  <c r="G1201" i="4"/>
  <c r="G39" i="4"/>
  <c r="G1205" i="4"/>
  <c r="G1209" i="4"/>
  <c r="G1213" i="4"/>
  <c r="G1217" i="4"/>
  <c r="G1221" i="4"/>
  <c r="G78" i="4"/>
  <c r="G1228" i="4"/>
  <c r="G1231" i="4"/>
  <c r="G1235" i="4"/>
  <c r="G1239" i="4"/>
  <c r="G1243" i="4"/>
  <c r="G1247" i="4"/>
  <c r="G1251" i="4"/>
  <c r="G1254" i="4"/>
  <c r="G1258" i="4"/>
  <c r="G45" i="4"/>
  <c r="G1264" i="4"/>
  <c r="G73" i="4"/>
  <c r="G1268" i="4"/>
  <c r="G1272" i="4"/>
  <c r="G1276" i="4"/>
  <c r="G1280" i="4"/>
  <c r="G1284" i="4"/>
  <c r="G1287" i="4"/>
  <c r="G1290" i="4"/>
  <c r="G1294" i="4"/>
  <c r="G1297" i="4"/>
  <c r="G1301" i="4"/>
  <c r="G1305" i="4"/>
  <c r="G117" i="4"/>
  <c r="G1312" i="4"/>
  <c r="G1316" i="4"/>
  <c r="G1319" i="4"/>
  <c r="G1323" i="4"/>
  <c r="G1327" i="4"/>
  <c r="G1331" i="4"/>
  <c r="G1335" i="4"/>
  <c r="G1338" i="4"/>
  <c r="G1341" i="4"/>
  <c r="G1345" i="4"/>
  <c r="G1349" i="4"/>
  <c r="G1353" i="4"/>
  <c r="G1357" i="4"/>
  <c r="G1361" i="4"/>
  <c r="G1365" i="4"/>
  <c r="G1369" i="4"/>
  <c r="G1373" i="4"/>
  <c r="G1377" i="4"/>
  <c r="G1381" i="4"/>
  <c r="G1385" i="4"/>
  <c r="G1389" i="4"/>
  <c r="G1393" i="4"/>
  <c r="G1397" i="4"/>
  <c r="G1401" i="4"/>
  <c r="G1405" i="4"/>
  <c r="G1408" i="4"/>
  <c r="G10" i="4"/>
  <c r="G1415" i="4"/>
  <c r="G133" i="4"/>
  <c r="G94" i="4"/>
  <c r="G16" i="4"/>
  <c r="G1424" i="4"/>
  <c r="G1426" i="4"/>
  <c r="G126" i="4"/>
  <c r="G103" i="4"/>
  <c r="G1431" i="4"/>
  <c r="G1434" i="4"/>
  <c r="G1438" i="4"/>
  <c r="G1441" i="4"/>
  <c r="G69" i="4"/>
  <c r="G1445" i="4"/>
  <c r="G1447" i="4"/>
  <c r="G1450" i="4"/>
  <c r="G1453" i="4"/>
  <c r="G23" i="4"/>
  <c r="G116" i="4"/>
  <c r="G26" i="4"/>
  <c r="G47" i="4"/>
  <c r="G70" i="4"/>
  <c r="G113" i="4"/>
  <c r="G43" i="4"/>
  <c r="G1461" i="4"/>
  <c r="G1462" i="4"/>
  <c r="G1464" i="4"/>
  <c r="G85" i="4"/>
  <c r="G80" i="4"/>
  <c r="G96" i="4"/>
  <c r="G87" i="4"/>
  <c r="G100" i="4"/>
  <c r="G1468" i="4"/>
  <c r="G1471" i="4"/>
  <c r="G1475" i="4"/>
  <c r="A220" i="4"/>
  <c r="A344" i="4"/>
  <c r="A408" i="4"/>
  <c r="A534" i="4"/>
  <c r="A644" i="4"/>
  <c r="A705" i="4"/>
  <c r="A769" i="4"/>
  <c r="A831" i="4"/>
  <c r="A879" i="4"/>
  <c r="A911" i="4"/>
  <c r="A943" i="4"/>
  <c r="A975" i="4"/>
  <c r="A1005" i="4"/>
  <c r="A1036" i="4"/>
  <c r="A1067" i="4"/>
  <c r="A1095" i="4"/>
  <c r="A1124" i="4"/>
  <c r="A1154" i="4"/>
  <c r="A1185" i="4"/>
  <c r="A1213" i="4"/>
  <c r="A1243" i="4"/>
  <c r="A1268" i="4"/>
  <c r="A1297" i="4"/>
  <c r="A1327" i="4"/>
  <c r="A1357" i="4"/>
  <c r="A1389" i="4"/>
  <c r="A133" i="4"/>
  <c r="A1434" i="4"/>
  <c r="A23" i="4"/>
  <c r="A1462" i="4"/>
  <c r="A1471" i="4"/>
  <c r="G156" i="4"/>
  <c r="G177" i="4"/>
  <c r="G195" i="4"/>
  <c r="G210" i="4"/>
  <c r="G226" i="4"/>
  <c r="G242" i="4"/>
  <c r="G258" i="4"/>
  <c r="G273" i="4"/>
  <c r="G288" i="4"/>
  <c r="G304" i="4"/>
  <c r="G319" i="4"/>
  <c r="G335" i="4"/>
  <c r="G350" i="4"/>
  <c r="G366" i="4"/>
  <c r="G382" i="4"/>
  <c r="G398" i="4"/>
  <c r="G414" i="4"/>
  <c r="G428" i="4"/>
  <c r="G444" i="4"/>
  <c r="G460" i="4"/>
  <c r="G476" i="4"/>
  <c r="G492" i="4"/>
  <c r="G508" i="4"/>
  <c r="G524" i="4"/>
  <c r="G540" i="4"/>
  <c r="G556" i="4"/>
  <c r="G580" i="4"/>
  <c r="G596" i="4"/>
  <c r="G612" i="4"/>
  <c r="G92" i="4"/>
  <c r="G639" i="4"/>
  <c r="G653" i="4"/>
  <c r="G669" i="4"/>
  <c r="G680" i="4"/>
  <c r="G690" i="4"/>
  <c r="G700" i="4"/>
  <c r="G711" i="4"/>
  <c r="G722" i="4"/>
  <c r="G732" i="4"/>
  <c r="G743" i="4"/>
  <c r="G754" i="4"/>
  <c r="G764" i="4"/>
  <c r="G775" i="4"/>
  <c r="G783" i="4"/>
  <c r="G791" i="4"/>
  <c r="G799" i="4"/>
  <c r="G807" i="4"/>
  <c r="G813" i="4"/>
  <c r="G821" i="4"/>
  <c r="G829" i="4"/>
  <c r="G837" i="4"/>
  <c r="G845" i="4"/>
  <c r="G857" i="4"/>
  <c r="G865" i="4"/>
  <c r="G873" i="4"/>
  <c r="G881" i="4"/>
  <c r="G889" i="4"/>
  <c r="G896" i="4"/>
  <c r="G904" i="4"/>
  <c r="G912" i="4"/>
  <c r="G920" i="4"/>
  <c r="G928" i="4"/>
  <c r="G936" i="4"/>
  <c r="G944" i="4"/>
  <c r="G952" i="4"/>
  <c r="G960" i="4"/>
  <c r="G968" i="4"/>
  <c r="G976" i="4"/>
  <c r="G983" i="4"/>
  <c r="G991" i="4"/>
  <c r="G999" i="4"/>
  <c r="G1006" i="4"/>
  <c r="G1017" i="4"/>
  <c r="G1025" i="4"/>
  <c r="G1037" i="4"/>
  <c r="G1045" i="4"/>
  <c r="G1053" i="4"/>
  <c r="G1061" i="4"/>
  <c r="G1071" i="4"/>
  <c r="G1079" i="4"/>
  <c r="G1084" i="4"/>
  <c r="G1092" i="4"/>
  <c r="G1100" i="4"/>
  <c r="G1104" i="4"/>
  <c r="G97" i="4"/>
  <c r="G1117" i="4"/>
  <c r="G1125" i="4"/>
  <c r="G1133" i="4"/>
  <c r="G114" i="4"/>
  <c r="G1147" i="4"/>
  <c r="G1155" i="4"/>
  <c r="G1162" i="4"/>
  <c r="G1174" i="4"/>
  <c r="G1182" i="4"/>
  <c r="G1190" i="4"/>
  <c r="G1198" i="4"/>
  <c r="G28" i="4"/>
  <c r="G1210" i="4"/>
  <c r="G1214" i="4"/>
  <c r="G1222" i="4"/>
  <c r="G1229" i="4"/>
  <c r="G1232" i="4"/>
  <c r="G1240" i="4"/>
  <c r="G1248" i="4"/>
  <c r="G1255" i="4"/>
  <c r="G1259" i="4"/>
  <c r="G102" i="4"/>
  <c r="G1273" i="4"/>
  <c r="G1281" i="4"/>
  <c r="G30" i="4"/>
  <c r="G1295" i="4"/>
  <c r="G1302" i="4"/>
  <c r="G1309" i="4"/>
  <c r="G1317" i="4"/>
  <c r="G1324" i="4"/>
  <c r="G1332" i="4"/>
  <c r="G1336" i="4"/>
  <c r="G1342" i="4"/>
  <c r="G1350" i="4"/>
  <c r="G1358" i="4"/>
  <c r="G1370" i="4"/>
  <c r="G1378" i="4"/>
  <c r="G1386" i="4"/>
  <c r="G1394" i="4"/>
  <c r="G1398" i="4"/>
  <c r="G1406" i="4"/>
  <c r="G1412" i="4"/>
  <c r="G131" i="4"/>
  <c r="A189" i="4"/>
  <c r="A252" i="4"/>
  <c r="A313" i="4"/>
  <c r="A376" i="4"/>
  <c r="A438" i="4"/>
  <c r="A502" i="4"/>
  <c r="A566" i="4"/>
  <c r="A625" i="4"/>
  <c r="A658" i="4"/>
  <c r="A689" i="4"/>
  <c r="A721" i="4"/>
  <c r="A753" i="4"/>
  <c r="A785" i="4"/>
  <c r="A815" i="4"/>
  <c r="A847" i="4"/>
  <c r="A869" i="4"/>
  <c r="A888" i="4"/>
  <c r="A903" i="4"/>
  <c r="A919" i="4"/>
  <c r="A935" i="4"/>
  <c r="A951" i="4"/>
  <c r="A967" i="4"/>
  <c r="A982" i="4"/>
  <c r="A998" i="4"/>
  <c r="A66" i="4"/>
  <c r="A1028" i="4"/>
  <c r="A1044" i="4"/>
  <c r="A1060" i="4"/>
  <c r="A1074" i="4"/>
  <c r="A1087" i="4"/>
  <c r="A1103" i="4"/>
  <c r="A1116" i="4"/>
  <c r="A1132" i="4"/>
  <c r="A1146" i="4"/>
  <c r="A1161" i="4"/>
  <c r="A1177" i="4"/>
  <c r="A1193" i="4"/>
  <c r="A1205" i="4"/>
  <c r="A1221" i="4"/>
  <c r="A1235" i="4"/>
  <c r="A1251" i="4"/>
  <c r="A1264" i="4"/>
  <c r="A1276" i="4"/>
  <c r="A1290" i="4"/>
  <c r="A1305" i="4"/>
  <c r="A1319" i="4"/>
  <c r="A1335" i="4"/>
  <c r="A1349" i="4"/>
  <c r="A1365" i="4"/>
  <c r="A1381" i="4"/>
  <c r="A1397" i="4"/>
  <c r="A10" i="4"/>
  <c r="A16" i="4"/>
  <c r="A103" i="4"/>
  <c r="A1441" i="4"/>
  <c r="A1450" i="4"/>
  <c r="A26" i="4"/>
  <c r="A43" i="4"/>
  <c r="A85" i="4"/>
  <c r="A100" i="4"/>
  <c r="G137" i="4"/>
  <c r="G150" i="4"/>
  <c r="G161" i="4"/>
  <c r="G172" i="4"/>
  <c r="G182" i="4"/>
  <c r="G191" i="4"/>
  <c r="G199" i="4"/>
  <c r="G206" i="4"/>
  <c r="G214" i="4"/>
  <c r="G222" i="4"/>
  <c r="G230" i="4"/>
  <c r="G238" i="4"/>
  <c r="G246" i="4"/>
  <c r="G254" i="4"/>
  <c r="G262" i="4"/>
  <c r="G269" i="4"/>
  <c r="G277" i="4"/>
  <c r="G284" i="4"/>
  <c r="G292" i="4"/>
  <c r="G300" i="4"/>
  <c r="G308" i="4"/>
  <c r="G315" i="4"/>
  <c r="G323" i="4"/>
  <c r="G331" i="4"/>
  <c r="G339" i="4"/>
  <c r="G346" i="4"/>
  <c r="G354" i="4"/>
  <c r="G362" i="4"/>
  <c r="G370" i="4"/>
  <c r="G378" i="4"/>
  <c r="G386" i="4"/>
  <c r="G394" i="4"/>
  <c r="G402" i="4"/>
  <c r="G410" i="4"/>
  <c r="G418" i="4"/>
  <c r="G425" i="4"/>
  <c r="G432" i="4"/>
  <c r="G440" i="4"/>
  <c r="G448" i="4"/>
  <c r="G456" i="4"/>
  <c r="G464" i="4"/>
  <c r="G472" i="4"/>
  <c r="G480" i="4"/>
  <c r="G488" i="4"/>
  <c r="G496" i="4"/>
  <c r="G504" i="4"/>
  <c r="G512" i="4"/>
  <c r="G520" i="4"/>
  <c r="G528" i="4"/>
  <c r="G536" i="4"/>
  <c r="G544" i="4"/>
  <c r="G552" i="4"/>
  <c r="G560" i="4"/>
  <c r="G568" i="4"/>
  <c r="G576" i="4"/>
  <c r="G584" i="4"/>
  <c r="G592" i="4"/>
  <c r="G600" i="4"/>
  <c r="G608" i="4"/>
  <c r="G88" i="4"/>
  <c r="G621" i="4"/>
  <c r="G627" i="4"/>
  <c r="G635" i="4"/>
  <c r="G643" i="4"/>
  <c r="G651" i="4"/>
  <c r="G657" i="4"/>
  <c r="G665" i="4"/>
  <c r="G672" i="4"/>
  <c r="G677" i="4"/>
  <c r="G682" i="4"/>
  <c r="G687" i="4"/>
  <c r="G692" i="4"/>
  <c r="G698" i="4"/>
  <c r="G703" i="4"/>
  <c r="G708" i="4"/>
  <c r="G714" i="4"/>
  <c r="G719" i="4"/>
  <c r="G724" i="4"/>
  <c r="G730" i="4"/>
  <c r="G735" i="4"/>
  <c r="G740" i="4"/>
  <c r="G746" i="4"/>
  <c r="G751" i="4"/>
  <c r="G756" i="4"/>
  <c r="G762" i="4"/>
  <c r="G767" i="4"/>
  <c r="G772" i="4"/>
  <c r="G777" i="4"/>
  <c r="G781" i="4"/>
  <c r="G785" i="4"/>
  <c r="G789" i="4"/>
  <c r="G793" i="4"/>
  <c r="G797" i="4"/>
  <c r="G801" i="4"/>
  <c r="G805" i="4"/>
  <c r="G809" i="4"/>
  <c r="G811" i="4"/>
  <c r="G815" i="4"/>
  <c r="G819" i="4"/>
  <c r="G823" i="4"/>
  <c r="G827" i="4"/>
  <c r="G831" i="4"/>
  <c r="G835" i="4"/>
  <c r="G839" i="4"/>
  <c r="G843" i="4"/>
  <c r="G847" i="4"/>
  <c r="G851" i="4"/>
  <c r="G855" i="4"/>
  <c r="G859" i="4"/>
  <c r="G863" i="4"/>
  <c r="G867" i="4"/>
  <c r="G871" i="4"/>
  <c r="G875" i="4"/>
  <c r="G879" i="4"/>
  <c r="G883" i="4"/>
  <c r="G887" i="4"/>
  <c r="G891" i="4"/>
  <c r="G894" i="4"/>
  <c r="G898" i="4"/>
  <c r="G902" i="4"/>
  <c r="G906" i="4"/>
  <c r="G910" i="4"/>
  <c r="G914" i="4"/>
  <c r="G918" i="4"/>
  <c r="G922" i="4"/>
  <c r="G926" i="4"/>
  <c r="G930" i="4"/>
  <c r="G934" i="4"/>
  <c r="G938" i="4"/>
  <c r="G942" i="4"/>
  <c r="G946" i="4"/>
  <c r="G950" i="4"/>
  <c r="G954" i="4"/>
  <c r="G958" i="4"/>
  <c r="G962" i="4"/>
  <c r="G966" i="4"/>
  <c r="G970" i="4"/>
  <c r="G974" i="4"/>
  <c r="G977" i="4"/>
  <c r="G981" i="4"/>
  <c r="G985" i="4"/>
  <c r="G989" i="4"/>
  <c r="G993" i="4"/>
  <c r="G997" i="4"/>
  <c r="G1001" i="4"/>
  <c r="G1004" i="4"/>
  <c r="G1008" i="4"/>
  <c r="G1012" i="4"/>
  <c r="G1015" i="4"/>
  <c r="G1019" i="4"/>
  <c r="G1023" i="4"/>
  <c r="G1027" i="4"/>
  <c r="G1031" i="4"/>
  <c r="G1035" i="4"/>
  <c r="G1039" i="4"/>
  <c r="G1043" i="4"/>
  <c r="G1047" i="4"/>
  <c r="G1051" i="4"/>
  <c r="G1055" i="4"/>
  <c r="G1059" i="4"/>
  <c r="G8" i="4"/>
  <c r="G1066" i="4"/>
  <c r="G1070" i="4"/>
  <c r="G1073" i="4"/>
  <c r="G1077" i="4"/>
  <c r="G91" i="4"/>
  <c r="G15" i="4"/>
  <c r="G1086" i="4"/>
  <c r="G1090" i="4"/>
  <c r="G1094" i="4"/>
  <c r="G1098" i="4"/>
  <c r="G1102" i="4"/>
  <c r="G1106" i="4"/>
  <c r="G9" i="4"/>
  <c r="G1111" i="4"/>
  <c r="G1115" i="4"/>
  <c r="G1119" i="4"/>
  <c r="G1123" i="4"/>
  <c r="G1127" i="4"/>
  <c r="G1131" i="4"/>
  <c r="G1134" i="4"/>
  <c r="G1138" i="4"/>
  <c r="G1141" i="4"/>
  <c r="G1145" i="4"/>
  <c r="G1149" i="4"/>
  <c r="G1153" i="4"/>
  <c r="G1157" i="4"/>
  <c r="G1160" i="4"/>
  <c r="G1164" i="4"/>
  <c r="G1168" i="4"/>
  <c r="G1172" i="4"/>
  <c r="G1176" i="4"/>
  <c r="G1180" i="4"/>
  <c r="G1184" i="4"/>
  <c r="G1188" i="4"/>
  <c r="G1192" i="4"/>
  <c r="G1196" i="4"/>
  <c r="G1200" i="4"/>
  <c r="G1204" i="4"/>
  <c r="G33" i="4"/>
  <c r="G1208" i="4"/>
  <c r="G1212" i="4"/>
  <c r="G1216" i="4"/>
  <c r="G1220" i="4"/>
  <c r="G1224" i="4"/>
  <c r="G1227" i="4"/>
  <c r="G1230" i="4"/>
  <c r="G1234" i="4"/>
  <c r="G1238" i="4"/>
  <c r="G1242" i="4"/>
  <c r="G1246" i="4"/>
  <c r="G1250" i="4"/>
  <c r="G1253" i="4"/>
  <c r="G1257" i="4"/>
  <c r="G1261" i="4"/>
  <c r="G1263" i="4"/>
  <c r="G125" i="4"/>
  <c r="G1267" i="4"/>
  <c r="G1271" i="4"/>
  <c r="G1275" i="4"/>
  <c r="G1279" i="4"/>
  <c r="G1283" i="4"/>
  <c r="G29" i="4"/>
  <c r="G1289" i="4"/>
  <c r="G1293" i="4"/>
  <c r="G1296" i="4"/>
  <c r="G1300" i="4"/>
  <c r="G1304" i="4"/>
  <c r="G1308" i="4"/>
  <c r="G1311" i="4"/>
  <c r="G1315" i="4"/>
  <c r="G1318" i="4"/>
  <c r="G1322" i="4"/>
  <c r="G1326" i="4"/>
  <c r="G1330" i="4"/>
  <c r="G1334" i="4"/>
  <c r="G62" i="4"/>
  <c r="G1340" i="4"/>
  <c r="G1344" i="4"/>
  <c r="G1348" i="4"/>
  <c r="G1352" i="4"/>
  <c r="G1356" i="4"/>
  <c r="G1360" i="4"/>
  <c r="G1364" i="4"/>
  <c r="G1368" i="4"/>
  <c r="G1372" i="4"/>
  <c r="G1376" i="4"/>
  <c r="G1380" i="4"/>
  <c r="G1384" i="4"/>
  <c r="G1388" i="4"/>
  <c r="G1392" i="4"/>
  <c r="G1396" i="4"/>
  <c r="G1400" i="4"/>
  <c r="G1404" i="4"/>
  <c r="G1407" i="4"/>
  <c r="G1411" i="4"/>
  <c r="G1414" i="4"/>
  <c r="G1417" i="4"/>
  <c r="G1419" i="4"/>
  <c r="G1421" i="4"/>
  <c r="G1423" i="4"/>
  <c r="G1425" i="4"/>
  <c r="G1428" i="4"/>
  <c r="G122" i="4"/>
  <c r="G1430" i="4"/>
  <c r="G1433" i="4"/>
  <c r="G1437" i="4"/>
  <c r="G1440" i="4"/>
  <c r="G17" i="4"/>
  <c r="G19" i="4"/>
  <c r="G134" i="4"/>
  <c r="G1449" i="4"/>
  <c r="G1452" i="4"/>
  <c r="G1455" i="4"/>
  <c r="G1458" i="4"/>
  <c r="G64" i="4"/>
  <c r="G46" i="4"/>
  <c r="G18" i="4"/>
  <c r="G24" i="4"/>
  <c r="G31" i="4"/>
  <c r="G27" i="4"/>
  <c r="G44" i="4"/>
  <c r="G1463" i="4"/>
  <c r="G76" i="4"/>
  <c r="G1465" i="4"/>
  <c r="G40" i="4"/>
  <c r="G99" i="4"/>
  <c r="G81" i="4"/>
  <c r="G1467" i="4"/>
  <c r="G59" i="4"/>
  <c r="G1474" i="4"/>
  <c r="A157" i="4"/>
  <c r="A282" i="4"/>
  <c r="A470" i="4"/>
  <c r="A598" i="4"/>
  <c r="A674" i="4"/>
  <c r="A737" i="4"/>
  <c r="A801" i="4"/>
  <c r="A858" i="4"/>
  <c r="A895" i="4"/>
  <c r="A927" i="4"/>
  <c r="A959" i="4"/>
  <c r="A990" i="4"/>
  <c r="A1020" i="4"/>
  <c r="A1052" i="4"/>
  <c r="A1081" i="4"/>
  <c r="A1109" i="4"/>
  <c r="A1139" i="4"/>
  <c r="A1169" i="4"/>
  <c r="A1201" i="4"/>
  <c r="A1228" i="4"/>
  <c r="A1258" i="4"/>
  <c r="A1284" i="4"/>
  <c r="A1312" i="4"/>
  <c r="A1341" i="4"/>
  <c r="A1373" i="4"/>
  <c r="A1405" i="4"/>
  <c r="A1426" i="4"/>
  <c r="A1445" i="4"/>
  <c r="A70" i="4"/>
  <c r="A96" i="4"/>
  <c r="G145" i="4"/>
  <c r="G166" i="4"/>
  <c r="G187" i="4"/>
  <c r="G203" i="4"/>
  <c r="G218" i="4"/>
  <c r="G234" i="4"/>
  <c r="G250" i="4"/>
  <c r="G266" i="4"/>
  <c r="G280" i="4"/>
  <c r="G296" i="4"/>
  <c r="G312" i="4"/>
  <c r="G327" i="4"/>
  <c r="G342" i="4"/>
  <c r="G358" i="4"/>
  <c r="G374" i="4"/>
  <c r="G390" i="4"/>
  <c r="G406" i="4"/>
  <c r="G421" i="4"/>
  <c r="G436" i="4"/>
  <c r="G452" i="4"/>
  <c r="G468" i="4"/>
  <c r="G484" i="4"/>
  <c r="G500" i="4"/>
  <c r="G516" i="4"/>
  <c r="G532" i="4"/>
  <c r="G548" i="4"/>
  <c r="G564" i="4"/>
  <c r="G572" i="4"/>
  <c r="G588" i="4"/>
  <c r="G604" i="4"/>
  <c r="G617" i="4"/>
  <c r="G631" i="4"/>
  <c r="G647" i="4"/>
  <c r="G661" i="4"/>
  <c r="G675" i="4"/>
  <c r="G684" i="4"/>
  <c r="G695" i="4"/>
  <c r="G706" i="4"/>
  <c r="G716" i="4"/>
  <c r="G727" i="4"/>
  <c r="G738" i="4"/>
  <c r="G748" i="4"/>
  <c r="G759" i="4"/>
  <c r="G770" i="4"/>
  <c r="G779" i="4"/>
  <c r="G787" i="4"/>
  <c r="G795" i="4"/>
  <c r="G803" i="4"/>
  <c r="G32" i="4"/>
  <c r="G817" i="4"/>
  <c r="G825" i="4"/>
  <c r="G833" i="4"/>
  <c r="G841" i="4"/>
  <c r="G849" i="4"/>
  <c r="G853" i="4"/>
  <c r="G861" i="4"/>
  <c r="G869" i="4"/>
  <c r="G877" i="4"/>
  <c r="G885" i="4"/>
  <c r="G893" i="4"/>
  <c r="G900" i="4"/>
  <c r="G908" i="4"/>
  <c r="G916" i="4"/>
  <c r="G924" i="4"/>
  <c r="G932" i="4"/>
  <c r="G940" i="4"/>
  <c r="G948" i="4"/>
  <c r="G956" i="4"/>
  <c r="G964" i="4"/>
  <c r="G972" i="4"/>
  <c r="G979" i="4"/>
  <c r="G987" i="4"/>
  <c r="G995" i="4"/>
  <c r="G1003" i="4"/>
  <c r="G1010" i="4"/>
  <c r="G1013" i="4"/>
  <c r="G1021" i="4"/>
  <c r="G1029" i="4"/>
  <c r="G1033" i="4"/>
  <c r="G1041" i="4"/>
  <c r="G1049" i="4"/>
  <c r="G1057" i="4"/>
  <c r="G1064" i="4"/>
  <c r="G1068" i="4"/>
  <c r="G1075" i="4"/>
  <c r="G1082" i="4"/>
  <c r="G1088" i="4"/>
  <c r="G1096" i="4"/>
  <c r="G1108" i="4"/>
  <c r="G1113" i="4"/>
  <c r="G1121" i="4"/>
  <c r="G1129" i="4"/>
  <c r="G1136" i="4"/>
  <c r="G1143" i="4"/>
  <c r="G1151" i="4"/>
  <c r="G1159" i="4"/>
  <c r="G1166" i="4"/>
  <c r="G1170" i="4"/>
  <c r="G1178" i="4"/>
  <c r="G1186" i="4"/>
  <c r="G1194" i="4"/>
  <c r="G1202" i="4"/>
  <c r="G1206" i="4"/>
  <c r="G1218" i="4"/>
  <c r="G1225" i="4"/>
  <c r="G1236" i="4"/>
  <c r="G1244" i="4"/>
  <c r="G1252" i="4"/>
  <c r="G49" i="4"/>
  <c r="G1265" i="4"/>
  <c r="G1269" i="4"/>
  <c r="G1277" i="4"/>
  <c r="G1285" i="4"/>
  <c r="G1291" i="4"/>
  <c r="G1298" i="4"/>
  <c r="G1306" i="4"/>
  <c r="G1313" i="4"/>
  <c r="G1320" i="4"/>
  <c r="G1328" i="4"/>
  <c r="G1339" i="4"/>
  <c r="G1346" i="4"/>
  <c r="G1354" i="4"/>
  <c r="G1362" i="4"/>
  <c r="G1366" i="4"/>
  <c r="G1374" i="4"/>
  <c r="G1382" i="4"/>
  <c r="G1390" i="4"/>
  <c r="G1402" i="4"/>
  <c r="G1409" i="4"/>
  <c r="G14" i="4"/>
  <c r="A178" i="4"/>
  <c r="A427" i="4"/>
  <c r="A653" i="4"/>
  <c r="A780" i="4"/>
  <c r="A885" i="4"/>
  <c r="A948" i="4"/>
  <c r="A1010" i="4"/>
  <c r="A1071" i="4"/>
  <c r="A1129" i="4"/>
  <c r="A1190" i="4"/>
  <c r="A1248" i="4"/>
  <c r="A1302" i="4"/>
  <c r="A1362" i="4"/>
  <c r="A1420" i="4"/>
  <c r="A20" i="4"/>
  <c r="A1476" i="4"/>
  <c r="G181" i="4"/>
  <c r="G213" i="4"/>
  <c r="G245" i="4"/>
  <c r="G276" i="4"/>
  <c r="G307" i="4"/>
  <c r="G338" i="4"/>
  <c r="G369" i="4"/>
  <c r="G401" i="4"/>
  <c r="G431" i="4"/>
  <c r="G463" i="4"/>
  <c r="G495" i="4"/>
  <c r="G527" i="4"/>
  <c r="G559" i="4"/>
  <c r="G591" i="4"/>
  <c r="G620" i="4"/>
  <c r="G650" i="4"/>
  <c r="G676" i="4"/>
  <c r="G696" i="4"/>
  <c r="G718" i="4"/>
  <c r="G739" i="4"/>
  <c r="G760" i="4"/>
  <c r="G780" i="4"/>
  <c r="G796" i="4"/>
  <c r="G810" i="4"/>
  <c r="G826" i="4"/>
  <c r="G842" i="4"/>
  <c r="G858" i="4"/>
  <c r="G874" i="4"/>
  <c r="G890" i="4"/>
  <c r="G905" i="4"/>
  <c r="G921" i="4"/>
  <c r="G937" i="4"/>
  <c r="G953" i="4"/>
  <c r="G969" i="4"/>
  <c r="G984" i="4"/>
  <c r="G1000" i="4"/>
  <c r="G1014" i="4"/>
  <c r="G1030" i="4"/>
  <c r="G1046" i="4"/>
  <c r="G1062" i="4"/>
  <c r="G1076" i="4"/>
  <c r="G1089" i="4"/>
  <c r="G1105" i="4"/>
  <c r="G1118" i="4"/>
  <c r="G25" i="4"/>
  <c r="G1148" i="4"/>
  <c r="G1163" i="4"/>
  <c r="G1179" i="4"/>
  <c r="G1195" i="4"/>
  <c r="G1207" i="4"/>
  <c r="G1223" i="4"/>
  <c r="G1237" i="4"/>
  <c r="G129" i="4"/>
  <c r="G1266" i="4"/>
  <c r="G1278" i="4"/>
  <c r="G1292" i="4"/>
  <c r="G1307" i="4"/>
  <c r="G1321" i="4"/>
  <c r="G1337" i="4"/>
  <c r="G1351" i="4"/>
  <c r="G1367" i="4"/>
  <c r="G1383" i="4"/>
  <c r="G1399" i="4"/>
  <c r="G1413" i="4"/>
  <c r="G52" i="4"/>
  <c r="G36" i="4"/>
  <c r="G124" i="4"/>
  <c r="G105" i="4"/>
  <c r="G82" i="4"/>
  <c r="G1444" i="4"/>
  <c r="G42" i="4"/>
  <c r="G108" i="4"/>
  <c r="G74" i="4"/>
  <c r="G109" i="4"/>
  <c r="G1460" i="4"/>
  <c r="G89" i="4"/>
  <c r="G83" i="4"/>
  <c r="G90" i="4"/>
  <c r="G104" i="4"/>
  <c r="G1470" i="4"/>
  <c r="G1477" i="4"/>
  <c r="A241" i="4"/>
  <c r="A491" i="4"/>
  <c r="A684" i="4"/>
  <c r="A810" i="4"/>
  <c r="A900" i="4"/>
  <c r="A964" i="4"/>
  <c r="A1025" i="4"/>
  <c r="A1084" i="4"/>
  <c r="A1143" i="4"/>
  <c r="A28" i="4"/>
  <c r="A49" i="4"/>
  <c r="A1317" i="4"/>
  <c r="A1378" i="4"/>
  <c r="A128" i="4"/>
  <c r="A115" i="4"/>
  <c r="G149" i="4"/>
  <c r="G190" i="4"/>
  <c r="G221" i="4"/>
  <c r="G253" i="4"/>
  <c r="G283" i="4"/>
  <c r="G314" i="4"/>
  <c r="G345" i="4"/>
  <c r="G377" i="4"/>
  <c r="G409" i="4"/>
  <c r="G439" i="4"/>
  <c r="G471" i="4"/>
  <c r="G503" i="4"/>
  <c r="G535" i="4"/>
  <c r="G567" i="4"/>
  <c r="G599" i="4"/>
  <c r="G626" i="4"/>
  <c r="G656" i="4"/>
  <c r="G107" i="4"/>
  <c r="G702" i="4"/>
  <c r="G723" i="4"/>
  <c r="G744" i="4"/>
  <c r="G766" i="4"/>
  <c r="G784" i="4"/>
  <c r="G800" i="4"/>
  <c r="G814" i="4"/>
  <c r="G830" i="4"/>
  <c r="G846" i="4"/>
  <c r="G862" i="4"/>
  <c r="G878" i="4"/>
  <c r="G7" i="4"/>
  <c r="G909" i="4"/>
  <c r="G925" i="4"/>
  <c r="G941" i="4"/>
  <c r="G957" i="4"/>
  <c r="G973" i="4"/>
  <c r="G988" i="4"/>
  <c r="G77" i="4"/>
  <c r="G1018" i="4"/>
  <c r="G1034" i="4"/>
  <c r="G1050" i="4"/>
  <c r="G1065" i="4"/>
  <c r="G1080" i="4"/>
  <c r="G1093" i="4"/>
  <c r="G38" i="4"/>
  <c r="G1122" i="4"/>
  <c r="G1137" i="4"/>
  <c r="G1152" i="4"/>
  <c r="G1167" i="4"/>
  <c r="G1183" i="4"/>
  <c r="G1199" i="4"/>
  <c r="G1211" i="4"/>
  <c r="G1226" i="4"/>
  <c r="G1241" i="4"/>
  <c r="G1256" i="4"/>
  <c r="G112" i="4"/>
  <c r="G1282" i="4"/>
  <c r="G34" i="4"/>
  <c r="G1310" i="4"/>
  <c r="G1325" i="4"/>
  <c r="G123" i="4"/>
  <c r="G1355" i="4"/>
  <c r="G1371" i="4"/>
  <c r="G1387" i="4"/>
  <c r="G1403" i="4"/>
  <c r="G1416" i="4"/>
  <c r="G95" i="4"/>
  <c r="G1427" i="4"/>
  <c r="G21" i="4"/>
  <c r="G1435" i="4"/>
  <c r="G1442" i="4"/>
  <c r="G12" i="4"/>
  <c r="G79" i="4"/>
  <c r="G1456" i="4"/>
  <c r="G1459" i="4"/>
  <c r="G132" i="4"/>
  <c r="G22" i="4"/>
  <c r="G13" i="4"/>
  <c r="G72" i="4"/>
  <c r="G58" i="4"/>
  <c r="G1466" i="4"/>
  <c r="G1472" i="4"/>
  <c r="A303" i="4"/>
  <c r="A555" i="4"/>
  <c r="A716" i="4"/>
  <c r="A842" i="4"/>
  <c r="A916" i="4"/>
  <c r="A979" i="4"/>
  <c r="A1041" i="4"/>
  <c r="A1100" i="4"/>
  <c r="A1159" i="4"/>
  <c r="A1218" i="4"/>
  <c r="A1273" i="4"/>
  <c r="A1332" i="4"/>
  <c r="A1394" i="4"/>
  <c r="A1439" i="4"/>
  <c r="A120" i="4"/>
  <c r="G160" i="4"/>
  <c r="G198" i="4"/>
  <c r="G229" i="4"/>
  <c r="G261" i="4"/>
  <c r="G291" i="4"/>
  <c r="G322" i="4"/>
  <c r="G353" i="4"/>
  <c r="G385" i="4"/>
  <c r="G417" i="4"/>
  <c r="G447" i="4"/>
  <c r="G479" i="4"/>
  <c r="G511" i="4"/>
  <c r="G543" i="4"/>
  <c r="G575" i="4"/>
  <c r="G607" i="4"/>
  <c r="G634" i="4"/>
  <c r="A365" i="4"/>
  <c r="A932" i="4"/>
  <c r="A1174" i="4"/>
  <c r="A1409" i="4"/>
  <c r="G205" i="4"/>
  <c r="G330" i="4"/>
  <c r="G455" i="4"/>
  <c r="G583" i="4"/>
  <c r="G671" i="4"/>
  <c r="G712" i="4"/>
  <c r="G755" i="4"/>
  <c r="G792" i="4"/>
  <c r="G822" i="4"/>
  <c r="G854" i="4"/>
  <c r="G886" i="4"/>
  <c r="G917" i="4"/>
  <c r="G949" i="4"/>
  <c r="G980" i="4"/>
  <c r="G1011" i="4"/>
  <c r="G1042" i="4"/>
  <c r="G1072" i="4"/>
  <c r="G1101" i="4"/>
  <c r="G1130" i="4"/>
  <c r="G61" i="4"/>
  <c r="G1191" i="4"/>
  <c r="G1219" i="4"/>
  <c r="G1249" i="4"/>
  <c r="G1274" i="4"/>
  <c r="G1303" i="4"/>
  <c r="G1333" i="4"/>
  <c r="G1363" i="4"/>
  <c r="G1395" i="4"/>
  <c r="G1420" i="4"/>
  <c r="G128" i="4"/>
  <c r="G1439" i="4"/>
  <c r="G1448" i="4"/>
  <c r="G20" i="4"/>
  <c r="G115" i="4"/>
  <c r="G120" i="4"/>
  <c r="G118" i="4"/>
  <c r="G1476" i="4"/>
  <c r="A616" i="4"/>
  <c r="A995" i="4"/>
  <c r="A1232" i="4"/>
  <c r="A1448" i="4"/>
  <c r="G237" i="4"/>
  <c r="G361" i="4"/>
  <c r="G487" i="4"/>
  <c r="G127" i="4"/>
  <c r="G686" i="4"/>
  <c r="G728" i="4"/>
  <c r="G771" i="4"/>
  <c r="G804" i="4"/>
  <c r="G834" i="4"/>
  <c r="G866" i="4"/>
  <c r="G897" i="4"/>
  <c r="G929" i="4"/>
  <c r="G961" i="4"/>
  <c r="G992" i="4"/>
  <c r="G1022" i="4"/>
  <c r="G1054" i="4"/>
  <c r="G1083" i="4"/>
  <c r="G1110" i="4"/>
  <c r="G1140" i="4"/>
  <c r="G1171" i="4"/>
  <c r="G1203" i="4"/>
  <c r="G135" i="4"/>
  <c r="G1260" i="4"/>
  <c r="G1286" i="4"/>
  <c r="G1314" i="4"/>
  <c r="G1343" i="4"/>
  <c r="G1375" i="4"/>
  <c r="G130" i="4"/>
  <c r="G1422" i="4"/>
  <c r="G1429" i="4"/>
  <c r="G11" i="4"/>
  <c r="G1451" i="4"/>
  <c r="G86" i="4"/>
  <c r="G48" i="4"/>
  <c r="G54" i="4"/>
  <c r="G60" i="4"/>
  <c r="A748" i="4"/>
  <c r="A1057" i="4"/>
  <c r="A30" i="4"/>
  <c r="A118" i="4"/>
  <c r="G268" i="4"/>
  <c r="G393" i="4"/>
  <c r="G519" i="4"/>
  <c r="G642" i="4"/>
  <c r="G691" i="4"/>
  <c r="G734" i="4"/>
  <c r="G776" i="4"/>
  <c r="G808" i="4"/>
  <c r="G838" i="4"/>
  <c r="G870" i="4"/>
  <c r="G901" i="4"/>
  <c r="G933" i="4"/>
  <c r="G965" i="4"/>
  <c r="G996" i="4"/>
  <c r="G1026" i="4"/>
  <c r="G1058" i="4"/>
  <c r="G1085" i="4"/>
  <c r="G1114" i="4"/>
  <c r="G1144" i="4"/>
  <c r="G1175" i="4"/>
  <c r="G41" i="4"/>
  <c r="G1233" i="4"/>
  <c r="G1262" i="4"/>
  <c r="G1288" i="4"/>
  <c r="G35" i="4"/>
  <c r="G1347" i="4"/>
  <c r="G1379" i="4"/>
  <c r="G1410" i="4"/>
  <c r="G68" i="4"/>
  <c r="G1432" i="4"/>
  <c r="G1443" i="4"/>
  <c r="G1454" i="4"/>
  <c r="G53" i="4"/>
  <c r="G57" i="4"/>
  <c r="G98" i="4"/>
  <c r="G1469" i="4"/>
  <c r="A865" i="4"/>
  <c r="A1113" i="4"/>
  <c r="A1346" i="4"/>
  <c r="G170" i="4"/>
  <c r="G299" i="4"/>
  <c r="G424" i="4"/>
  <c r="G551" i="4"/>
  <c r="G664" i="4"/>
  <c r="G707" i="4"/>
  <c r="G750" i="4"/>
  <c r="G788" i="4"/>
  <c r="G818" i="4"/>
  <c r="G850" i="4"/>
  <c r="G882" i="4"/>
  <c r="G913" i="4"/>
  <c r="G945" i="4"/>
  <c r="G111" i="4"/>
  <c r="G1007" i="4"/>
  <c r="G1038" i="4"/>
  <c r="G1069" i="4"/>
  <c r="G1097" i="4"/>
  <c r="G1126" i="4"/>
  <c r="G1156" i="4"/>
  <c r="G1187" i="4"/>
  <c r="G1215" i="4"/>
  <c r="G1245" i="4"/>
  <c r="G1270" i="4"/>
  <c r="G1299" i="4"/>
  <c r="G1329" i="4"/>
  <c r="G1359" i="4"/>
  <c r="G1391" i="4"/>
  <c r="G1418" i="4"/>
  <c r="G63" i="4"/>
  <c r="G1436" i="4"/>
  <c r="G1446" i="4"/>
  <c r="G1457" i="4"/>
  <c r="G56" i="4"/>
  <c r="G71" i="4"/>
  <c r="G65" i="4"/>
  <c r="G1473"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<sst xmlns="http://schemas.openxmlformats.org/spreadsheetml/2006/main" count="22362" uniqueCount="3999">
  <si>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</si>
  <si>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</si>
  <si>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</si>
  <si>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</si>
  <si>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</si>
  <si>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</si>
  <si>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</si>
  <si>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</si>
  <si>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</si>
  <si>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</si>
  <si>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</si>
  <si>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</si>
  <si>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</si>
  <si>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</si>
  <si>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</si>
  <si>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</si>
  <si>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</si>
  <si>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</si>
  <si>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</si>
  <si>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</si>
  <si>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</si>
  <si>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</si>
  <si>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</si>
  <si>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</si>
  <si>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</si>
  <si>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</si>
  <si>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</si>
  <si>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</si>
  <si>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</si>
  <si>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</si>
  <si>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</si>
  <si>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</si>
  <si>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</si>
  <si>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</si>
  <si>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</si>
  <si>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</si>
  <si>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</si>
  <si>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</si>
  <si>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</si>
  <si>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</si>
  <si>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</si>
  <si>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</si>
  <si>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</si>
  <si>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</si>
  <si>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</si>
  <si>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</si>
  <si>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</si>
  <si>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</si>
  <si>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</si>
  <si>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</si>
  <si>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</si>
  <si>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</si>
  <si>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</si>
  <si>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</si>
  <si>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</si>
  <si>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</si>
  <si>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</si>
  <si>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</si>
  <si>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</si>
  <si>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</si>
  <si>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</si>
  <si>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</si>
  <si>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</si>
  <si>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</si>
  <si>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</si>
  <si>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</si>
  <si>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</si>
  <si>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</si>
  <si>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</si>
  <si>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</si>
  <si>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</si>
  <si>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</si>
  <si>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</si>
  <si>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</si>
  <si>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</si>
  <si>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</si>
  <si>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</si>
  <si>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</si>
  <si>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</si>
  <si>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</si>
  <si>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</si>
  <si>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</si>
  <si>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</si>
  <si>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</si>
  <si>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</si>
  <si>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</si>
  <si>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</si>
  <si>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</si>
  <si>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</si>
  <si>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</si>
  <si>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</si>
  <si>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</si>
  <si>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</si>
  <si>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</si>
  <si>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</si>
  <si>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</si>
  <si>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</si>
  <si>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</si>
  <si>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</si>
  <si>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</si>
  <si>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</si>
  <si>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</si>
  <si>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</si>
  <si>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</si>
  <si>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</si>
  <si>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</si>
  <si>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</si>
  <si>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</si>
  <si>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</si>
  <si>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</si>
  <si>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</si>
  <si>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</si>
  <si>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</si>
  <si>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</si>
  <si>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</si>
  <si>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</si>
  <si>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</si>
  <si>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</si>
  <si>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</si>
  <si>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</si>
  <si>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</si>
  <si>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</si>
  <si>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</si>
  <si>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</si>
  <si>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</si>
  <si>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</si>
  <si>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</si>
  <si>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</si>
  <si>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</si>
  <si>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</si>
  <si>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</si>
  <si>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</si>
  <si>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</si>
  <si>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</si>
  <si>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</si>
  <si>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</si>
  <si>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</si>
  <si>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</si>
  <si>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</si>
  <si>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</si>
  <si>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</si>
  <si>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</si>
  <si>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</si>
  <si>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</si>
  <si>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</si>
  <si>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</si>
  <si>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</si>
  <si>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</si>
  <si>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</si>
  <si>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</si>
  <si>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</si>
  <si>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</si>
  <si>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</si>
  <si>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</si>
  <si>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</si>
  <si>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</si>
  <si>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</si>
  <si>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</si>
  <si>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</si>
  <si>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</si>
  <si>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</si>
  <si>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</si>
  <si>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</si>
  <si>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</si>
  <si>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</si>
  <si>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</si>
  <si>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</si>
  <si>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</si>
  <si>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</si>
  <si>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</si>
  <si>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</si>
  <si>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</si>
  <si>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</si>
  <si>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</si>
  <si>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</si>
  <si>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</si>
  <si>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</si>
  <si>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</si>
  <si>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</si>
  <si>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</si>
  <si>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</si>
  <si>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</si>
  <si>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</si>
  <si>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</si>
  <si>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</si>
  <si>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</si>
  <si>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</si>
  <si>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</si>
  <si>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</si>
  <si>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</si>
  <si>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</si>
  <si>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</si>
  <si>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</si>
  <si>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</si>
  <si>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</si>
  <si>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</si>
  <si>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</si>
  <si>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</si>
  <si>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</si>
  <si>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</si>
  <si>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</si>
  <si>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</si>
  <si>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</si>
  <si>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</si>
  <si>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</si>
  <si>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</si>
  <si>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</si>
  <si>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</si>
  <si>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</si>
  <si>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</si>
  <si>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</si>
  <si>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</si>
  <si>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</si>
  <si>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</si>
  <si>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</si>
  <si>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</si>
  <si>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</si>
  <si>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</si>
  <si>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</si>
  <si>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</si>
  <si>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</si>
  <si>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</si>
  <si>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</si>
  <si>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</si>
  <si>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</si>
  <si>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</si>
  <si>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</si>
  <si>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</si>
  <si>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</si>
  <si>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</si>
  <si>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</si>
  <si>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</si>
  <si>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</si>
  <si>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</si>
  <si>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</si>
  <si>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</si>
  <si>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</si>
  <si>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</si>
  <si>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</si>
  <si>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</si>
  <si>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</si>
  <si>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</si>
  <si>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</si>
  <si>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</si>
  <si>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</si>
  <si>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</si>
  <si>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</si>
  <si>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</si>
  <si>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</si>
  <si>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</si>
  <si>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</si>
  <si>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</si>
  <si>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</si>
  <si>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</si>
  <si>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</si>
  <si>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</si>
  <si>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</si>
  <si>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</si>
  <si>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</si>
  <si>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</si>
  <si>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</si>
  <si>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</si>
  <si>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</si>
  <si>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</si>
  <si>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</si>
  <si>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</si>
  <si>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</si>
  <si>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</si>
  <si>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</si>
  <si>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</si>
  <si>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</si>
  <si>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</si>
  <si>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</si>
  <si>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</si>
  <si>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</si>
  <si>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</si>
  <si>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</si>
  <si>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</si>
  <si>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</si>
  <si>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</si>
  <si>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</si>
  <si>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</si>
  <si>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</si>
  <si>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</si>
  <si>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</si>
  <si>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</si>
  <si>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</si>
  <si>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</si>
  <si>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</si>
  <si>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</si>
  <si>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</si>
  <si>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</si>
  <si>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</si>
  <si>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</si>
  <si>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</si>
  <si>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</si>
  <si>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</si>
  <si>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</si>
  <si>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</si>
  <si>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</si>
  <si>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</si>
  <si>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</si>
  <si>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</si>
  <si>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</si>
  <si>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</si>
  <si>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</si>
  <si>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</si>
  <si>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</si>
  <si>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</si>
  <si>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</si>
  <si>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</si>
  <si>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</si>
  <si>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</si>
  <si>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</si>
  <si>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</si>
  <si>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</si>
  <si>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</si>
  <si>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</si>
  <si>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</si>
  <si>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</si>
  <si>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</si>
  <si>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</si>
  <si>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</si>
  <si>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</si>
  <si>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</si>
  <si>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</si>
  <si>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</si>
  <si>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</si>
  <si>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</si>
  <si>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</si>
  <si>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</si>
  <si>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</si>
  <si>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</si>
  <si>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</si>
  <si>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</si>
  <si>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</si>
  <si>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</si>
  <si>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</si>
  <si>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</si>
  <si>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</si>
  <si>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</si>
  <si>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</si>
  <si>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</si>
  <si>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</si>
  <si>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</si>
  <si>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</si>
  <si>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</si>
  <si>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</si>
  <si>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</si>
  <si>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</si>
  <si>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</si>
  <si>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</si>
  <si>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</si>
  <si>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</si>
  <si>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</si>
  <si>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</si>
  <si>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</si>
  <si>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</si>
  <si>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</si>
  <si>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</si>
  <si>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</si>
  <si>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</si>
  <si>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</si>
  <si>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</si>
  <si>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</si>
  <si>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</si>
  <si>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</si>
  <si>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</si>
  <si>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</si>
  <si>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</si>
  <si>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</si>
  <si>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</si>
  <si>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</si>
  <si>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</si>
  <si>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</si>
  <si>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</si>
  <si>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</si>
  <si>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</si>
  <si>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</si>
  <si>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</si>
  <si>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</si>
  <si>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</si>
  <si>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</si>
  <si>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</si>
  <si>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</si>
  <si>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</si>
  <si>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</si>
  <si>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</si>
  <si>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</si>
  <si>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</si>
  <si>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</si>
  <si>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</si>
  <si>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</si>
  <si>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</si>
  <si>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</si>
  <si>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</si>
  <si>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</si>
  <si>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</si>
  <si>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</si>
  <si>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</si>
  <si>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</si>
  <si>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</si>
  <si>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</si>
  <si>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</si>
  <si>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</si>
  <si>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</si>
  <si>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</si>
  <si>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</si>
  <si>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</si>
  <si>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</si>
  <si>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</si>
  <si>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</si>
  <si>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</si>
  <si>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</si>
  <si>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</si>
  <si>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</si>
  <si>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</si>
  <si>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</si>
  <si>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</si>
  <si>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</si>
  <si>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</si>
  <si>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</si>
  <si>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</si>
  <si>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</si>
  <si>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</si>
  <si>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</si>
  <si>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</si>
  <si>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</si>
  <si>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</si>
  <si>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</si>
  <si>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</si>
  <si>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</si>
  <si>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</si>
  <si>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</si>
  <si>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</si>
  <si>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</si>
  <si>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</si>
  <si>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</si>
  <si>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</si>
  <si>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</si>
  <si>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</si>
  <si>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</si>
  <si>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</si>
  <si>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</si>
  <si>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</si>
  <si>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</si>
  <si>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</si>
  <si>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</si>
  <si>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</si>
  <si>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</si>
  <si>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</si>
  <si>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</si>
  <si>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</si>
  <si>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</si>
  <si>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</si>
  <si>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</si>
  <si>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</si>
  <si>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</si>
  <si>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</si>
  <si>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</si>
  <si>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</si>
  <si>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</si>
  <si>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</si>
  <si>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</si>
  <si>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</si>
  <si>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</si>
  <si>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</si>
  <si>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</si>
  <si>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</si>
  <si>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</si>
  <si>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</si>
  <si>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</si>
  <si>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</si>
  <si>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</si>
  <si>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</si>
  <si>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</si>
  <si>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</si>
  <si>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</si>
  <si>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</si>
  <si>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</si>
  <si>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</si>
  <si>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</si>
  <si>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</si>
  <si>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</si>
  <si>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</si>
  <si>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</si>
  <si>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</si>
  <si>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</si>
  <si>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</si>
  <si>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</si>
  <si>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</si>
  <si>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</si>
  <si>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</si>
  <si>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</si>
  <si>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</si>
  <si>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</si>
  <si>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</si>
  <si>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</si>
  <si>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</si>
  <si>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</si>
  <si>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</si>
  <si>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</si>
  <si>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</si>
  <si>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</si>
  <si>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</si>
  <si>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</si>
  <si>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</si>
  <si>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</si>
  <si>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</si>
  <si>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</si>
  <si>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</si>
  <si>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</si>
  <si>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</si>
  <si>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</si>
  <si>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</si>
  <si>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</si>
  <si>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</si>
  <si>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</si>
  <si>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</si>
  <si>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</si>
  <si>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</si>
  <si>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</si>
  <si>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</si>
  <si>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</si>
  <si>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</si>
  <si>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</si>
  <si>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</si>
  <si>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</si>
  <si>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</si>
  <si>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</si>
  <si>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</si>
  <si>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</si>
  <si>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</si>
  <si>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</si>
  <si>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</si>
  <si>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</si>
  <si>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</si>
  <si>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</si>
  <si>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</si>
  <si>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</si>
  <si>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</si>
  <si>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</si>
  <si>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</si>
  <si>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</si>
  <si>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</si>
  <si>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</si>
  <si>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</si>
  <si>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</si>
  <si>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</si>
  <si>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</si>
  <si>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</si>
  <si>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</si>
  <si>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</si>
  <si>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</si>
  <si>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</si>
  <si>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</si>
  <si>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</si>
  <si>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</si>
  <si>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</si>
  <si>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</si>
  <si>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</si>
  <si>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</si>
  <si>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</si>
  <si>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</si>
  <si>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</si>
  <si>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</si>
  <si>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</si>
  <si>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</si>
  <si>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</si>
  <si>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</si>
  <si>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</si>
  <si>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</si>
  <si>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</si>
  <si>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</si>
  <si>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</si>
  <si>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</si>
  <si>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</si>
  <si>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</si>
  <si>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</si>
  <si>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</si>
  <si>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</si>
  <si>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</si>
  <si>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</si>
  <si>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</si>
  <si>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</si>
  <si>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</si>
  <si>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</si>
  <si>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</si>
  <si>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</si>
  <si>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</si>
  <si>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</si>
  <si>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</si>
  <si>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</si>
  <si>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</si>
  <si>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</si>
  <si>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</si>
  <si>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</si>
  <si>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</si>
  <si>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</si>
  <si>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</si>
  <si>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</si>
  <si>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</si>
  <si>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</si>
  <si>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</si>
  <si>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</si>
  <si>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</si>
  <si>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</si>
  <si>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</si>
  <si>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</si>
  <si>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</si>
  <si>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</si>
  <si>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</si>
  <si>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</si>
  <si>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</si>
  <si>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</si>
  <si>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</si>
  <si>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</si>
  <si>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</si>
  <si>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</si>
  <si>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</si>
  <si>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</si>
  <si>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</si>
  <si>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</si>
  <si>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</si>
  <si>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</si>
  <si>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</si>
  <si>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</si>
  <si>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</si>
  <si>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</si>
  <si>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</si>
  <si>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</si>
  <si>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</si>
  <si>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</si>
  <si>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</si>
  <si>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</si>
  <si>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</si>
  <si>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</si>
  <si>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</si>
  <si>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</si>
  <si>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</si>
  <si>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</si>
  <si>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</si>
  <si>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</si>
  <si>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</si>
  <si>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</si>
  <si>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</si>
  <si>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</si>
  <si>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</si>
  <si>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</si>
  <si>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</si>
  <si>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</si>
  <si>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</si>
  <si>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</si>
  <si>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</si>
  <si>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</si>
  <si>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</si>
  <si>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</si>
  <si>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</si>
  <si>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</si>
  <si>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</si>
  <si>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</si>
  <si>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</si>
  <si>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</si>
  <si>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</si>
  <si>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</si>
  <si>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</si>
  <si>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</si>
  <si>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</si>
  <si>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</si>
  <si>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</si>
  <si>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</si>
  <si>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</si>
  <si>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</si>
  <si>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</si>
  <si>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</si>
  <si>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</si>
  <si>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</si>
  <si>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</si>
  <si>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</si>
  <si>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</si>
  <si>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</si>
  <si>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</si>
  <si>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</si>
  <si>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</si>
  <si>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</si>
  <si>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</si>
  <si>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</si>
  <si>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</si>
  <si>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</si>
  <si>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</si>
  <si>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</si>
  <si>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</si>
  <si>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</si>
  <si>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</si>
  <si>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</si>
  <si>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</si>
  <si>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</si>
  <si>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</si>
  <si>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</si>
  <si>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</si>
  <si>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</si>
  <si>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</si>
  <si>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</si>
  <si>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</si>
  <si>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</si>
  <si>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</si>
  <si>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</si>
  <si>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</si>
  <si>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</si>
  <si>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</si>
  <si>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</si>
  <si>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</si>
  <si>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</si>
  <si>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</si>
  <si>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</si>
  <si>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</si>
  <si>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</si>
  <si>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</si>
  <si>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</si>
  <si>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</si>
  <si>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</si>
  <si>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</si>
  <si>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</si>
  <si>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</si>
  <si>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</si>
  <si>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</si>
  <si>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</si>
  <si>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</si>
  <si>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</si>
  <si>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</si>
  <si>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</si>
  <si>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</si>
  <si>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</si>
  <si>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</si>
  <si>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</si>
  <si>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</si>
  <si>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</si>
  <si>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</si>
  <si>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</si>
  <si>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</si>
  <si>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</si>
  <si>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</si>
  <si>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</si>
  <si>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</si>
  <si>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</si>
  <si>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</si>
  <si>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</si>
  <si>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</si>
  <si>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</si>
  <si>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</si>
  <si>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</si>
  <si>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</si>
  <si>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</si>
  <si>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</si>
  <si>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</si>
  <si>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</si>
  <si>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</si>
  <si>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</si>
  <si>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</si>
  <si>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</si>
  <si>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</si>
  <si>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</si>
  <si>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</si>
  <si>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</si>
  <si>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</si>
  <si>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</si>
  <si>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</si>
  <si>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</si>
  <si>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</si>
  <si>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</si>
  <si>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</si>
  <si>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</si>
  <si>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</si>
  <si>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</si>
  <si>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</si>
  <si>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</si>
  <si>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</si>
  <si>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</si>
  <si>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</si>
  <si>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</si>
  <si>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</si>
  <si>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</si>
  <si>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</si>
  <si>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</si>
  <si>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</si>
  <si>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</si>
  <si>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</si>
  <si>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</si>
  <si>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</si>
  <si>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</si>
  <si>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</si>
  <si>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</si>
  <si>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</si>
  <si>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</si>
  <si>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</si>
  <si>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</si>
  <si>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</si>
  <si>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</si>
  <si>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</si>
  <si>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</si>
  <si>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</si>
  <si>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</si>
  <si>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</si>
  <si>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</si>
  <si>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</si>
  <si>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</si>
  <si>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</si>
  <si>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</si>
  <si>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</si>
  <si>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</si>
  <si>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</si>
  <si>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</si>
  <si>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</si>
  <si>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</si>
  <si>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</si>
  <si>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</si>
  <si>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</si>
  <si>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</si>
  <si>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</si>
  <si>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</si>
  <si>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</si>
  <si>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</si>
  <si>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</si>
  <si>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</si>
  <si>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</si>
  <si>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</si>
  <si>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</si>
  <si>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</si>
  <si>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</si>
  <si>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</si>
  <si>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</si>
  <si>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</si>
  <si>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</si>
  <si>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</si>
  <si>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</si>
  <si>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</si>
  <si>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</si>
  <si>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</si>
  <si>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</si>
  <si>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</si>
  <si>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</si>
  <si>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</si>
  <si>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</si>
  <si>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</si>
  <si>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</si>
  <si>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</si>
  <si>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</si>
  <si>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</si>
  <si>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</si>
  <si>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</si>
  <si>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</si>
  <si>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</si>
  <si>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</si>
  <si>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</si>
  <si>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</si>
  <si>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</si>
  <si>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</si>
  <si>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</si>
  <si>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</si>
  <si>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</si>
  <si>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</si>
  <si>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</si>
  <si>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</si>
  <si>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</si>
  <si>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</si>
  <si>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</si>
  <si>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</si>
  <si>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</si>
  <si>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</si>
  <si>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</si>
  <si>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</si>
  <si>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</si>
  <si>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</si>
  <si>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</si>
  <si>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</si>
  <si>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</si>
  <si>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</si>
  <si>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</si>
  <si>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</si>
  <si>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</si>
  <si>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</si>
  <si>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</si>
  <si>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</si>
  <si>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</si>
  <si>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</si>
  <si>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</si>
  <si>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</si>
  <si>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</si>
  <si>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</si>
  <si>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</si>
  <si>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</si>
  <si>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</si>
  <si>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</si>
  <si>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</si>
  <si>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</si>
  <si>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</si>
  <si>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</si>
  <si>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</si>
  <si>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</si>
  <si>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</si>
  <si>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</si>
  <si>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</si>
  <si>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</si>
  <si>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</si>
  <si>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</si>
  <si>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</si>
  <si>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</si>
  <si>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</si>
  <si>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</si>
  <si>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</si>
  <si>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</si>
  <si>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</si>
  <si>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</si>
  <si>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</si>
  <si>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</si>
  <si>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</si>
  <si>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</si>
  <si>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</si>
  <si>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</si>
  <si>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</si>
  <si>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</si>
  <si>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</si>
  <si>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</si>
  <si>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</si>
  <si>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</si>
  <si>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</si>
  <si>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</si>
  <si>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</si>
  <si>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</si>
  <si>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</si>
  <si>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</si>
  <si>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</si>
  <si>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</si>
  <si>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</si>
  <si>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</si>
  <si>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</si>
  <si>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</si>
  <si>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</si>
  <si>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</si>
  <si>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</si>
  <si>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</si>
  <si>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</si>
  <si>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</si>
  <si>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</si>
  <si>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</si>
  <si>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</si>
  <si>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</si>
  <si>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</si>
  <si>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</si>
  <si>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</si>
  <si>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</si>
  <si>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</si>
  <si>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</si>
  <si>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</si>
  <si>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</si>
  <si>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</si>
  <si>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</si>
  <si>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</si>
  <si>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</si>
  <si>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</si>
  <si>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</si>
  <si>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</si>
  <si>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</si>
  <si>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</si>
  <si>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</si>
  <si>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</si>
  <si>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</si>
  <si>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</si>
  <si>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</si>
  <si>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</si>
  <si>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</si>
  <si>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</si>
  <si>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</si>
  <si>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</si>
  <si>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</si>
  <si>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</si>
  <si>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</si>
  <si>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</si>
  <si>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</si>
  <si>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</si>
  <si>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</si>
  <si>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</si>
  <si>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</si>
  <si>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</si>
  <si>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</si>
  <si>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</si>
  <si>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</si>
  <si>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</si>
  <si>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</si>
  <si>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</si>
  <si>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</si>
  <si>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</si>
  <si>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</si>
  <si>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</si>
  <si>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</si>
  <si>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</si>
  <si>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</si>
  <si>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</si>
  <si>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</si>
  <si>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</si>
  <si>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</si>
  <si>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</si>
  <si>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</si>
  <si>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</si>
  <si>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</si>
  <si>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</si>
  <si>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</si>
  <si>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</si>
  <si>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</si>
  <si>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</si>
  <si>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</si>
  <si>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</si>
  <si>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</si>
  <si>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</si>
  <si>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</si>
  <si>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</si>
  <si>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</si>
  <si>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</si>
  <si>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</si>
  <si>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</si>
  <si>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</si>
  <si>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</si>
  <si>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</si>
  <si>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</si>
  <si>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</si>
  <si>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</si>
  <si>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</si>
  <si>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</si>
  <si>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</si>
  <si>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</si>
  <si>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</si>
  <si>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</si>
  <si>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</si>
  <si>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</si>
  <si>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</si>
  <si>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</si>
  <si>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</si>
  <si>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</si>
  <si>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</si>
  <si>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</si>
  <si>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</si>
  <si>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</si>
  <si>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</si>
  <si>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</si>
  <si>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</si>
  <si>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</si>
  <si>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</si>
  <si>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</si>
  <si>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</si>
  <si>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</si>
  <si>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</si>
  <si>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</si>
  <si>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</si>
  <si>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</si>
  <si>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</si>
  <si>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</si>
  <si>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</si>
  <si>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</si>
  <si>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</si>
  <si>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</si>
  <si>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</si>
  <si>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</si>
  <si>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</si>
  <si>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</si>
  <si>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</si>
  <si>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</si>
  <si>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</si>
  <si>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</si>
  <si>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</si>
  <si>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</si>
  <si>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</si>
  <si>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</si>
  <si>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</si>
  <si>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</si>
  <si>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</si>
  <si>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</si>
  <si>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</si>
  <si>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</si>
  <si>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</si>
  <si>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</si>
  <si>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</si>
  <si>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</si>
  <si>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</si>
  <si>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</si>
  <si>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</si>
  <si>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</si>
  <si>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</si>
  <si>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</si>
  <si>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</si>
  <si>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</si>
  <si>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</si>
  <si>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</si>
  <si>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</si>
  <si>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</si>
  <si>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</si>
  <si>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</si>
  <si>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</si>
  <si>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</si>
  <si>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</si>
  <si>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</si>
  <si>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</si>
  <si>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</si>
  <si>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</si>
  <si>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</si>
  <si>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</si>
  <si>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</si>
  <si>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</si>
  <si>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</si>
  <si>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</si>
  <si>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</si>
  <si>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</si>
  <si>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</si>
  <si>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</si>
  <si>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</si>
  <si>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</si>
  <si>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</si>
  <si>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</si>
  <si>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</si>
  <si>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</si>
  <si>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</si>
  <si>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</si>
  <si>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</si>
  <si>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</si>
  <si>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</si>
  <si>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</si>
  <si>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</si>
  <si>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</si>
  <si>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</si>
  <si>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</si>
  <si>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</si>
  <si>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</si>
  <si>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</si>
  <si>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</si>
  <si>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</si>
  <si>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</si>
  <si>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</si>
  <si>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</si>
  <si>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</si>
  <si>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</si>
  <si>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</si>
  <si>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</si>
  <si>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</si>
  <si>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</si>
  <si>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</si>
  <si>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</si>
  <si>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</si>
  <si>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</si>
  <si>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</si>
  <si>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</si>
  <si>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</si>
  <si>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</si>
  <si>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</si>
  <si>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</si>
  <si>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</si>
  <si>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</si>
  <si>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</si>
  <si>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</si>
  <si>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</si>
  <si>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</si>
  <si>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</si>
  <si>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</si>
  <si>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</si>
  <si>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</si>
  <si>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</si>
  <si>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</si>
  <si>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</si>
  <si>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</si>
  <si>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</si>
  <si>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</si>
  <si>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</si>
  <si>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</si>
  <si>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</si>
  <si>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</si>
  <si>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</si>
  <si>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</si>
  <si>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</si>
  <si>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</si>
  <si>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</si>
  <si>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</si>
  <si>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</si>
  <si>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</si>
  <si>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</si>
  <si>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</si>
  <si>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</si>
  <si>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</si>
  <si>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</si>
  <si>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</si>
  <si>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</si>
  <si>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</si>
  <si>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</si>
  <si>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</si>
  <si>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</si>
  <si>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</si>
  <si>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</si>
  <si>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</si>
  <si>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</si>
  <si>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</si>
  <si>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</si>
  <si>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</si>
  <si>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</si>
  <si>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</si>
  <si>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</si>
  <si>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</si>
  <si>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</si>
  <si>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</si>
  <si>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</si>
  <si>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</si>
  <si>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</si>
  <si>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</si>
  <si>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</si>
  <si>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</si>
  <si>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</si>
  <si>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</si>
  <si>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</si>
  <si>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</si>
  <si>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</si>
  <si>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</si>
  <si>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</si>
  <si>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</si>
  <si>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</si>
  <si>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</si>
  <si>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</si>
  <si>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</si>
  <si>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</si>
  <si>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</si>
  <si>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</si>
  <si>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</si>
  <si>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</si>
  <si>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</si>
  <si>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</si>
  <si>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</si>
  <si>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</si>
  <si>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</si>
  <si>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</si>
  <si>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</si>
  <si>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</si>
  <si>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</si>
  <si>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</si>
  <si>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</si>
  <si>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</si>
  <si>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</si>
  <si>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</si>
  <si>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</si>
  <si>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</si>
  <si>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</si>
  <si>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</si>
  <si>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</si>
  <si>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</si>
  <si>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</si>
  <si>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</si>
  <si>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</si>
  <si>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</si>
  <si>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</si>
  <si>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</si>
  <si>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</si>
  <si>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</si>
  <si>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</si>
  <si>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</si>
  <si>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</si>
  <si>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</si>
  <si>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</si>
  <si>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</si>
  <si>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</si>
  <si>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</si>
  <si>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</si>
  <si>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</si>
  <si>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</si>
  <si>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</si>
  <si>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</si>
  <si>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</si>
  <si>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</si>
  <si>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</si>
  <si>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</si>
  <si>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</si>
  <si>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</si>
  <si>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</si>
  <si>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</si>
  <si>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</si>
  <si>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</si>
  <si>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</si>
  <si>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</si>
  <si>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</si>
  <si>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</si>
  <si>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</si>
  <si>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</si>
  <si>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</si>
  <si>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</si>
  <si>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</si>
  <si>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</si>
  <si>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</si>
  <si>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</si>
  <si>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</si>
  <si>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</si>
  <si>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</si>
  <si>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</si>
  <si>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</si>
  <si>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</si>
  <si>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</si>
  <si>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</si>
  <si>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</si>
  <si>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</si>
  <si>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</si>
  <si>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</si>
  <si>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</si>
  <si>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</si>
  <si>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</si>
  <si>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</si>
  <si>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</si>
  <si>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</si>
  <si>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</si>
  <si>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</si>
  <si>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</si>
  <si>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</si>
  <si>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</si>
  <si>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</si>
  <si>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</si>
  <si>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</si>
  <si>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</si>
  <si>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</si>
  <si>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</si>
  <si>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</si>
  <si>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</si>
  <si>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</si>
  <si>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</si>
  <si>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</si>
  <si>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</si>
  <si>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</si>
  <si>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</si>
  <si>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</si>
  <si>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</si>
  <si>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</si>
  <si>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</si>
  <si>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</si>
  <si>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</si>
  <si>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</si>
  <si>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</si>
  <si>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</si>
  <si>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</si>
  <si>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</si>
  <si>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</si>
  <si>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</si>
  <si>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</si>
  <si>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</si>
  <si>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</si>
  <si>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</si>
  <si>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</si>
  <si>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</si>
  <si>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</si>
  <si>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</si>
  <si>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</si>
  <si>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</si>
  <si>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</si>
  <si>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</si>
  <si>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</si>
  <si>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</si>
  <si>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</si>
  <si>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</si>
  <si>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</si>
  <si>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</si>
  <si>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</si>
  <si>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</si>
  <si>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</si>
  <si>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</si>
  <si>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</si>
  <si>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</si>
  <si>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</si>
  <si>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</si>
  <si>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</si>
  <si>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</si>
  <si>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</si>
  <si>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</si>
  <si>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</si>
  <si>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</si>
  <si>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</si>
  <si>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</si>
  <si>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</si>
  <si>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</si>
  <si>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</si>
  <si>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</si>
  <si>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</si>
  <si>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</si>
  <si>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</si>
  <si>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</si>
  <si>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</si>
  <si>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</si>
  <si>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</si>
  <si>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</si>
  <si>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</si>
  <si>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</si>
  <si>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</si>
  <si>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</si>
  <si>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</si>
  <si>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</si>
  <si>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</si>
  <si>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</si>
  <si>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</si>
  <si>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</si>
  <si>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</si>
  <si>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</si>
  <si>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</si>
  <si>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</si>
  <si>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</si>
  <si>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</si>
  <si>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</si>
  <si>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</si>
  <si>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</si>
  <si>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</si>
  <si>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</si>
  <si>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</si>
  <si>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</si>
  <si>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</si>
  <si>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</si>
  <si>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</si>
  <si>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</si>
  <si>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</si>
  <si>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</si>
  <si>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</si>
  <si>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</si>
  <si>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</si>
  <si>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</si>
  <si>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</si>
  <si>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</si>
  <si>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</si>
  <si>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</si>
  <si>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</si>
  <si>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</si>
  <si>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</si>
  <si>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</si>
  <si>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</si>
  <si>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</si>
  <si>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</si>
  <si>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</si>
  <si>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</si>
  <si>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</si>
  <si>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</si>
  <si>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</si>
  <si>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</si>
  <si>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</si>
  <si>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</si>
  <si>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</si>
  <si>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</si>
  <si>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</si>
  <si>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</si>
  <si>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</si>
  <si>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</si>
  <si>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</si>
  <si>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</si>
  <si>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</si>
  <si>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</si>
  <si>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</si>
  <si>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</si>
  <si>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</si>
  <si>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</si>
  <si>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</si>
  <si>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</si>
  <si>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</si>
  <si>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</si>
  <si>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</si>
  <si>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</si>
  <si>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</si>
  <si>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</si>
  <si>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</si>
  <si>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</si>
  <si>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</si>
  <si>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</si>
  <si>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</si>
  <si>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</si>
  <si>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</si>
  <si>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</si>
  <si>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</si>
  <si>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</si>
  <si>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</si>
  <si>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</si>
  <si>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</si>
  <si>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</si>
  <si>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</si>
  <si>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</si>
  <si>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</si>
  <si>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</si>
  <si>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</si>
  <si>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</si>
  <si>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</si>
  <si>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</si>
  <si>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</si>
  <si>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</si>
  <si>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</si>
  <si>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</si>
  <si>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</si>
  <si>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</si>
  <si>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</si>
  <si>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</si>
  <si>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</si>
  <si>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</si>
  <si>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</si>
  <si>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</si>
  <si>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</si>
  <si>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</si>
  <si>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</si>
  <si>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</si>
  <si>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</si>
  <si>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</si>
  <si>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</si>
  <si>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</si>
  <si>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</si>
  <si>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</si>
  <si>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</si>
  <si>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</si>
  <si>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</si>
  <si>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</si>
  <si>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</si>
  <si>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</si>
  <si>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</si>
  <si>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</si>
  <si>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</si>
  <si>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</si>
  <si>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</si>
  <si>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</si>
  <si>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</si>
  <si>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</si>
  <si>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</si>
  <si>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</si>
  <si>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</si>
  <si>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</si>
  <si>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</si>
  <si>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</si>
  <si>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</si>
  <si>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</si>
  <si>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</si>
  <si>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</si>
  <si>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</si>
  <si>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</si>
  <si>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</si>
  <si>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</si>
  <si>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</si>
  <si>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</si>
  <si>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</si>
  <si>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</si>
  <si>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</si>
  <si>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</si>
  <si>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</si>
  <si>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</si>
  <si>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</si>
  <si>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</si>
  <si>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</si>
  <si>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</si>
  <si>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</si>
  <si>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</si>
  <si>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</si>
  <si>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</si>
  <si>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</si>
  <si>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</si>
  <si>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</si>
  <si>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</si>
  <si>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</si>
  <si>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</si>
  <si>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</si>
  <si>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</si>
  <si>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</si>
  <si>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</si>
  <si>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</si>
  <si>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</si>
  <si>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</si>
  <si>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</si>
  <si>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</si>
  <si>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</si>
  <si>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</si>
  <si>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</si>
  <si>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</si>
  <si>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</si>
  <si>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</si>
  <si>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</si>
  <si>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</si>
  <si>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</si>
  <si>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</si>
  <si>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</si>
  <si>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</si>
  <si>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</si>
  <si>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</si>
  <si>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</si>
  <si>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</si>
  <si>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</si>
  <si>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</si>
  <si>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</si>
  <si>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</si>
  <si>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</si>
  <si>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</si>
  <si>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</si>
  <si>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</si>
  <si>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</si>
  <si>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</si>
  <si>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</si>
  <si>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</si>
  <si>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</si>
  <si>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</si>
  <si>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</si>
  <si>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</si>
  <si>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</si>
  <si>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</si>
  <si>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</si>
  <si>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</si>
  <si>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</si>
  <si>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</si>
  <si>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</si>
  <si>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</si>
  <si>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</si>
  <si>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</si>
  <si>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</si>
  <si>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</si>
  <si>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</si>
  <si>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</si>
  <si>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</si>
  <si>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</si>
  <si>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</si>
  <si>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</si>
  <si>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</si>
  <si>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</si>
  <si>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</si>
  <si>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</si>
  <si>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</si>
  <si>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</si>
  <si>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</si>
  <si>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</si>
  <si>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</si>
  <si>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</si>
  <si>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</si>
  <si>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</si>
  <si>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</si>
  <si>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</si>
  <si>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</si>
  <si>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</si>
  <si>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</si>
  <si>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</si>
  <si>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</si>
  <si>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</si>
  <si>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</si>
  <si>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</si>
  <si>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</si>
  <si>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</si>
  <si>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</si>
  <si>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</si>
  <si>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</si>
  <si>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</si>
  <si>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</si>
  <si>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</si>
  <si>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</si>
  <si>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</si>
  <si>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</si>
  <si>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</si>
  <si>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</si>
  <si>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</si>
  <si>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</si>
  <si>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</si>
  <si>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</si>
  <si>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</si>
  <si>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</si>
  <si>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</si>
  <si>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</si>
  <si>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</si>
  <si>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</si>
  <si>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</si>
  <si>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</si>
  <si>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</si>
  <si>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</si>
  <si>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</si>
  <si>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</si>
  <si>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</si>
  <si>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</si>
  <si>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</si>
  <si>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</si>
  <si>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</si>
  <si>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</si>
  <si>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</si>
  <si>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</si>
  <si>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</si>
  <si>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</si>
  <si>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</si>
  <si>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</si>
  <si>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</si>
  <si>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</si>
  <si>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</si>
  <si>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</si>
  <si>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</si>
  <si>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</si>
  <si>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</si>
  <si>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</si>
  <si>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</si>
  <si>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</si>
  <si>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</si>
  <si>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</si>
  <si>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</si>
  <si>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</si>
  <si>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</si>
  <si>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</si>
  <si>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</si>
  <si>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</si>
  <si>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</si>
  <si>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</si>
  <si>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</si>
  <si>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</si>
  <si>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</si>
  <si>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</si>
  <si>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</si>
  <si>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</si>
  <si>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</si>
  <si>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</si>
  <si>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</si>
  <si>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</si>
  <si>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</si>
  <si>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</si>
  <si>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</si>
  <si>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</si>
  <si>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</si>
  <si>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</si>
  <si>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</si>
  <si>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</si>
  <si>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</si>
  <si>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</si>
  <si>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</si>
  <si>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</si>
  <si>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</si>
  <si>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</si>
  <si>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</si>
  <si>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</si>
  <si>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</si>
  <si>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</si>
  <si>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</si>
  <si>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</si>
  <si>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</si>
  <si>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</si>
  <si>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</si>
  <si>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</si>
  <si>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</si>
  <si>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</si>
  <si>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</si>
  <si>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</si>
  <si>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</si>
  <si>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</si>
  <si>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</si>
  <si>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</si>
  <si>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</si>
  <si>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</si>
  <si>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</si>
  <si>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</si>
  <si>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</si>
  <si>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</si>
  <si>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</si>
  <si>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</si>
  <si>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</si>
  <si>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</si>
  <si>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</si>
  <si>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</si>
  <si>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</si>
  <si>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</si>
  <si>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</si>
  <si>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</si>
  <si>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</si>
  <si>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</si>
  <si>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</si>
  <si>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</si>
  <si>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</si>
  <si>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</si>
  <si>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</si>
  <si>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</si>
  <si>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</si>
  <si>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</si>
  <si>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</si>
  <si>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</si>
  <si>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</si>
  <si>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</si>
  <si>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</si>
  <si>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</si>
  <si>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</si>
  <si>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</si>
  <si>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</si>
  <si>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</si>
  <si>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</si>
  <si>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</si>
  <si>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</si>
  <si>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</si>
  <si>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</si>
  <si>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</si>
  <si>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</si>
  <si>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</si>
  <si>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</si>
  <si>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</si>
  <si>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</si>
  <si>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</si>
  <si>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</si>
  <si>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</si>
  <si>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</si>
  <si>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</si>
  <si>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</si>
  <si>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</si>
  <si>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</si>
  <si>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</si>
  <si>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</si>
  <si>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</si>
  <si>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</si>
  <si>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</si>
  <si>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</si>
  <si>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</si>
  <si>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</si>
  <si>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</si>
  <si>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</si>
  <si>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</si>
  <si>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</si>
  <si>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</si>
  <si>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</si>
  <si>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</si>
  <si>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</si>
  <si>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</si>
  <si>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</si>
  <si>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</si>
  <si>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</si>
  <si>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</si>
  <si>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</si>
  <si>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</si>
  <si>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</si>
  <si>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</si>
  <si>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</si>
  <si>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</si>
  <si>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</si>
  <si>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</si>
  <si>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</si>
  <si>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</si>
  <si>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</si>
  <si>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</si>
  <si>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</si>
  <si>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</si>
  <si>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</si>
  <si>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</si>
  <si>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</si>
  <si>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</si>
  <si>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</si>
  <si>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</si>
  <si>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</si>
  <si>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</si>
  <si>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</si>
  <si>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</si>
  <si>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</si>
  <si>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</si>
  <si>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</si>
  <si>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</si>
  <si>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</si>
  <si>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</si>
  <si>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</si>
  <si>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</si>
  <si>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</si>
  <si>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</si>
  <si>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</si>
  <si>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</si>
  <si>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</si>
  <si>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</si>
  <si>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</si>
  <si>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</si>
  <si>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</si>
  <si>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</si>
  <si>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</si>
  <si>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</si>
  <si>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</si>
  <si>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</si>
  <si>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</si>
  <si>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</si>
  <si>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</si>
  <si>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</si>
  <si>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</si>
  <si>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</si>
  <si>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</si>
  <si>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</si>
  <si>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</si>
  <si>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</si>
  <si>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</si>
  <si>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</si>
  <si>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</si>
  <si>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</si>
  <si>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</si>
  <si>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</si>
  <si>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</si>
  <si>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</si>
  <si>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</si>
  <si>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</si>
  <si>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</si>
  <si>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</si>
  <si>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</si>
  <si>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</si>
  <si>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</si>
  <si>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</si>
  <si>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</si>
  <si>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</si>
  <si>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</si>
  <si>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</si>
  <si>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</si>
  <si>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</si>
  <si>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</si>
  <si>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</si>
  <si>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</si>
  <si>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</si>
  <si>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</si>
  <si>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</si>
  <si>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</si>
  <si>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</si>
  <si>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</si>
  <si>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</si>
  <si>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</si>
  <si>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</si>
  <si>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</si>
  <si>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</si>
  <si>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</si>
  <si>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</si>
  <si>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</si>
  <si>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</si>
  <si>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</si>
  <si>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</si>
  <si>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</si>
  <si>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</si>
  <si>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</si>
  <si>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</si>
  <si>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</si>
  <si>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</si>
  <si>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</si>
  <si>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</si>
  <si>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</si>
  <si>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</si>
  <si>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</si>
  <si>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</si>
  <si>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</si>
  <si>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</si>
  <si>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</si>
  <si>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</si>
  <si>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</si>
  <si>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</si>
  <si>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</si>
  <si>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</si>
  <si>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</si>
  <si>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</si>
  <si>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</si>
  <si>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</si>
  <si>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</si>
  <si>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</si>
  <si>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</si>
  <si>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</si>
  <si>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</si>
  <si>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</si>
  <si>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</si>
  <si>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</si>
  <si>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</si>
  <si>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</si>
  <si>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</si>
  <si>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</si>
  <si>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</si>
  <si>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</si>
  <si>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</si>
  <si>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</si>
  <si>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</si>
  <si>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</si>
  <si>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</si>
  <si>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</si>
  <si>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</si>
  <si>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</si>
  <si>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</si>
  <si>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</si>
  <si>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</si>
  <si>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</si>
  <si>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</si>
  <si>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</si>
  <si>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</si>
  <si>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</si>
  <si>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</si>
  <si>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</si>
  <si>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</si>
  <si>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</si>
  <si>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</si>
  <si>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</si>
  <si>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</si>
  <si>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</si>
  <si>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</si>
  <si>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</si>
  <si>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</si>
  <si>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</si>
  <si>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</si>
  <si>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</si>
  <si>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</si>
  <si>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</si>
  <si>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</si>
  <si>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</si>
  <si>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</si>
  <si>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</si>
  <si>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</si>
  <si>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</si>
  <si>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</si>
  <si>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</si>
  <si>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</si>
  <si>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</si>
  <si>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</si>
  <si>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</si>
  <si>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</si>
  <si>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</si>
  <si>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</si>
  <si>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</si>
  <si>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</si>
  <si>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</si>
  <si>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</si>
  <si>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</si>
  <si>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</si>
  <si>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</si>
  <si>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</si>
  <si>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</si>
  <si>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</si>
  <si>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</si>
  <si>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</si>
  <si>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</si>
  <si>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</si>
  <si>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</si>
  <si>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</si>
  <si>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</si>
  <si>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</si>
  <si>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</si>
  <si>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</si>
  <si>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</si>
  <si>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</si>
  <si>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</si>
  <si>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</si>
  <si>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</si>
  <si>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</si>
  <si>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</si>
  <si>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</si>
  <si>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</si>
  <si>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</si>
  <si>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</si>
  <si>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</si>
  <si>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</si>
  <si>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</si>
  <si>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</si>
  <si>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</si>
  <si>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</si>
  <si>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</si>
  <si>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</si>
  <si>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</si>
  <si>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</si>
  <si>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</si>
  <si>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</si>
  <si>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</si>
  <si>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</si>
  <si>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</si>
  <si>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</si>
  <si>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</si>
  <si>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</si>
  <si>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</si>
  <si>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</si>
  <si>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</si>
  <si>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</si>
  <si>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</si>
  <si>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</si>
  <si>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</si>
  <si>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</si>
  <si>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</si>
  <si>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</si>
  <si>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</si>
  <si>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</si>
  <si>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</si>
  <si>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</si>
  <si>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</si>
  <si>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</si>
  <si>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</si>
  <si>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</si>
  <si>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</si>
  <si>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</si>
  <si>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</si>
  <si>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</si>
  <si>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</si>
  <si>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</si>
  <si>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</si>
  <si>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</si>
  <si>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</si>
  <si>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</si>
  <si>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</si>
  <si>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</si>
  <si>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</si>
  <si>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</si>
  <si>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</si>
  <si>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</si>
  <si>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</si>
  <si>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</si>
  <si>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</si>
  <si>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</si>
  <si>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</si>
  <si>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</si>
  <si>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</si>
  <si>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</si>
  <si>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</si>
  <si>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</si>
  <si>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</si>
  <si>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</si>
  <si>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</si>
  <si>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</si>
  <si>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</si>
  <si>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</si>
  <si>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</si>
  <si>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</si>
  <si>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</si>
  <si>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</si>
  <si>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</si>
  <si>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</si>
  <si>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</si>
  <si>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</si>
  <si>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</si>
  <si>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</si>
  <si>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</si>
  <si>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</si>
  <si>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</si>
  <si>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</si>
  <si>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</si>
  <si>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</si>
  <si>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</si>
  <si>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</si>
  <si>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</si>
  <si>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</si>
  <si>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</si>
  <si>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</si>
  <si>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</si>
  <si>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</si>
  <si>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</si>
  <si>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</si>
  <si>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</si>
  <si>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</si>
  <si>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</si>
  <si>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</si>
  <si>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</si>
  <si>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</si>
  <si>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</si>
  <si>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</si>
  <si>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</si>
  <si>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</si>
  <si>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</si>
  <si>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</si>
  <si>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</si>
  <si>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</si>
  <si>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</si>
  <si>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</si>
  <si>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</si>
  <si>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</si>
  <si>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</si>
  <si>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</si>
  <si>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</si>
  <si>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</si>
  <si>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</si>
  <si>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</si>
  <si>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</si>
  <si>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</si>
  <si>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</si>
  <si>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</si>
  <si>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</si>
  <si>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</si>
  <si>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</si>
  <si>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</si>
  <si>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</si>
  <si>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</si>
  <si>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</si>
  <si>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</si>
  <si>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</si>
  <si>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</si>
  <si>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</si>
  <si>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</si>
  <si>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</si>
  <si>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</si>
  <si>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</si>
  <si>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</si>
  <si>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</si>
  <si>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</si>
  <si>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</si>
  <si>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</si>
  <si>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</si>
  <si>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</si>
  <si>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</si>
  <si>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</si>
  <si>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</si>
  <si>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</si>
  <si>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</si>
  <si>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</si>
  <si>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</si>
  <si>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</si>
  <si>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</si>
  <si>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</si>
  <si>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</si>
  <si>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</si>
  <si>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</si>
  <si>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</si>
  <si>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</si>
  <si>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</si>
  <si>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</si>
  <si>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</si>
  <si>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</si>
  <si>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</si>
  <si>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</si>
  <si>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</si>
  <si>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</si>
  <si>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</si>
  <si>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</si>
  <si>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</si>
  <si>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</si>
  <si>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</si>
  <si>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</si>
  <si>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</si>
  <si>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</si>
  <si>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</si>
  <si>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</si>
  <si>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</si>
  <si>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</si>
  <si>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</si>
  <si>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</si>
  <si>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</si>
  <si>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</si>
  <si>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</si>
  <si>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</si>
  <si>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</si>
  <si>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</si>
  <si>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</si>
  <si>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</si>
  <si>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</si>
  <si>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</si>
  <si>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</si>
  <si>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</si>
  <si>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</si>
  <si>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</si>
  <si>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</si>
  <si>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</si>
  <si>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</si>
  <si>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</si>
  <si>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</si>
  <si>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</si>
  <si>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</si>
  <si>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</si>
  <si>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</si>
  <si>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</si>
  <si>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</si>
  <si>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</si>
  <si>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</si>
  <si>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</si>
  <si>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</si>
  <si>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</si>
  <si>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</si>
  <si>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</si>
  <si>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</si>
  <si>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</si>
  <si>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</si>
  <si>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</si>
  <si>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</si>
  <si>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</si>
  <si>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</si>
  <si>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</si>
  <si>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</si>
  <si>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</si>
  <si>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</si>
  <si>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</si>
  <si>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</si>
  <si>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</si>
  <si>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</si>
  <si>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</si>
  <si>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</si>
  <si>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</si>
  <si>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</si>
  <si>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</si>
  <si>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</si>
  <si>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</si>
  <si>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</si>
  <si>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</si>
  <si>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</si>
  <si>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</si>
  <si>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</si>
  <si>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</si>
  <si>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</si>
  <si>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</si>
  <si>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</si>
  <si>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</si>
  <si>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</si>
  <si>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</si>
  <si>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</si>
  <si>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</si>
  <si>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</si>
  <si>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</si>
  <si>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</si>
  <si>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</si>
  <si>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</si>
  <si>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</si>
  <si>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</si>
  <si>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</si>
  <si>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</si>
  <si>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</si>
  <si>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</si>
  <si>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</si>
  <si>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</si>
  <si>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</si>
  <si>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</si>
  <si>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</si>
  <si>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</si>
  <si>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</si>
  <si>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</si>
  <si>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</si>
  <si>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</si>
  <si>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</si>
  <si>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</si>
  <si>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</si>
  <si>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</si>
  <si>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</si>
  <si>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</si>
  <si>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</si>
  <si>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</si>
  <si>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</si>
  <si>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</si>
  <si>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</si>
  <si>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</si>
  <si>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</si>
  <si>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</si>
  <si>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</si>
  <si>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</si>
  <si>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</si>
  <si>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</si>
  <si>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</si>
  <si>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</si>
  <si>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</si>
  <si>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</si>
  <si>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</si>
  <si>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</si>
  <si>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</si>
  <si>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</si>
  <si>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</si>
  <si>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</si>
  <si>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</si>
  <si>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</si>
  <si>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</si>
  <si>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</si>
  <si>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</si>
  <si>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</si>
  <si>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</si>
  <si>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</si>
  <si>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</si>
  <si>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</si>
  <si>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</si>
  <si>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</si>
  <si>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</si>
  <si>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</si>
  <si>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</si>
  <si>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</si>
  <si>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</si>
  <si>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</si>
  <si>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</si>
  <si>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</si>
  <si>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</si>
  <si>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</si>
  <si>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</si>
  <si>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</si>
  <si>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</si>
  <si>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</si>
  <si>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</si>
  <si>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</si>
  <si>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</si>
  <si>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</si>
  <si>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</si>
  <si>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</si>
  <si>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</si>
  <si>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</si>
  <si>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</si>
  <si>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</si>
  <si>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</si>
  <si>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</si>
  <si>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</si>
  <si>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</si>
  <si>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</si>
  <si>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</si>
  <si>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</si>
  <si>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</si>
  <si>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</si>
  <si>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</si>
  <si>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</si>
  <si>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</si>
  <si>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</si>
  <si>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</si>
  <si>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</si>
  <si>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</si>
  <si>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</si>
  <si>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732963</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</si>
  <si>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</si>
  <si>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</si>
  <si>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</si>
  <si>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</si>
  <si>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</si>
  <si>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</si>
  <si>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</si>
  <si>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</si>
  <si>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</si>
  <si>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</si>
  <si>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</si>
  <si>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</si>
  <si>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</si>
  <si>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</si>
  <si>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</si>
  <si>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</si>
  <si>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</si>
  <si>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</si>
  <si>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</si>
  <si>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</si>
  <si>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</si>
  <si>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</si>
  <si>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</si>
  <si>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</si>
  <si>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</si>
  <si>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</si>
  <si>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</si>
  <si>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</si>
  <si>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</si>
  <si>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</si>
  <si>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</si>
  <si>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</si>
  <si>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</si>
  <si>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</si>
  <si>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</si>
  <si>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</si>
  <si>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</si>
  <si>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</si>
  <si>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</si>
  <si>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</si>
  <si>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</si>
  <si>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</si>
  <si>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</si>
  <si>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</si>
  <si>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</si>
  <si>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</si>
  <si>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</si>
  <si>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</si>
  <si>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</si>
  <si>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</si>
  <si>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</si>
  <si>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</si>
  <si>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</si>
  <si>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</si>
  <si>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</si>
  <si>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</si>
  <si>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</si>
  <si>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</si>
  <si>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</si>
  <si>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</si>
  <si>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</si>
  <si>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</si>
  <si>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</si>
  <si>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</si>
  <si>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</si>
  <si>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</si>
  <si>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</si>
  <si>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</si>
  <si>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</si>
  <si>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</si>
  <si>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</si>
  <si>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</si>
  <si>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</si>
  <si>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</si>
  <si>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</si>
  <si>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</si>
  <si>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</si>
  <si>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</si>
  <si>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</si>
  <si>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</si>
  <si>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</si>
  <si>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</si>
  <si>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</si>
  <si>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</si>
  <si>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</si>
  <si>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</si>
  <si>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</si>
  <si>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</si>
  <si>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</si>
  <si>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</si>
  <si>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</si>
  <si>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</si>
  <si>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</si>
  <si>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</si>
  <si>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</si>
  <si>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</si>
  <si>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</si>
  <si>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</si>
  <si>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</si>
  <si>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</si>
  <si>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</si>
  <si>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</si>
  <si>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</si>
  <si>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</si>
  <si>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</si>
  <si>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</si>
  <si>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</si>
  <si>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</si>
  <si>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</si>
  <si>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</si>
  <si>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</si>
  <si>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</si>
  <si>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</si>
  <si>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</si>
  <si>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</si>
  <si>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</si>
  <si>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</si>
  <si>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</si>
  <si>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</si>
  <si>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</si>
  <si>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</si>
  <si>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</si>
  <si>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</si>
  <si>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</si>
  <si>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</si>
  <si>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</si>
  <si>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</si>
  <si>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</si>
  <si>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</si>
  <si>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</si>
  <si>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</si>
  <si>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</si>
  <si>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</si>
  <si>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</si>
  <si>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</si>
  <si>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</si>
  <si>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</si>
  <si>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</si>
  <si>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</si>
  <si>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</si>
  <si>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</si>
  <si>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</si>
  <si>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</si>
  <si>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</si>
  <si>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</si>
  <si>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</si>
  <si>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</si>
  <si>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</si>
  <si>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</si>
  <si>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</si>
  <si>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</si>
  <si>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</si>
  <si>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</si>
  <si>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</si>
  <si>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</si>
  <si>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</si>
  <si>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</si>
  <si>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</si>
  <si>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</si>
  <si>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</si>
  <si>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</si>
  <si>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</si>
  <si>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</si>
  <si>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</si>
  <si>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</si>
  <si>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</si>
  <si>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</si>
  <si>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</si>
  <si>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</si>
  <si>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</si>
  <si>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</si>
  <si>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</si>
  <si>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</si>
  <si>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</si>
  <si>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</si>
  <si>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</si>
  <si>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</si>
  <si>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</si>
  <si>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</si>
  <si>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</si>
  <si>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</si>
  <si>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</si>
  <si>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</si>
  <si>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</si>
  <si>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</si>
  <si>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</si>
  <si>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</si>
  <si>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</si>
  <si>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</si>
  <si>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</si>
  <si>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</si>
  <si>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</si>
  <si>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</si>
  <si>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</si>
  <si>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</si>
  <si>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</si>
  <si>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</si>
  <si>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</si>
  <si>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</si>
  <si>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</si>
  <si>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</si>
  <si>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</si>
  <si>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</si>
  <si>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</si>
  <si>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</si>
  <si>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</si>
  <si>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</si>
  <si>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</si>
  <si>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</si>
  <si>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</si>
  <si>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</si>
  <si>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</si>
  <si>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</si>
  <si>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</si>
  <si>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</si>
  <si>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</si>
  <si>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</si>
  <si>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</si>
  <si>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</si>
  <si>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</si>
  <si>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</si>
  <si>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</si>
  <si>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</si>
  <si>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</si>
  <si>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</si>
  <si>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</si>
  <si>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</si>
  <si>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</si>
  <si>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</si>
  <si>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</si>
  <si>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</si>
  <si>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</si>
  <si>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</si>
  <si>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</si>
  <si>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</si>
  <si>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</si>
  <si>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</si>
  <si>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</si>
  <si>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</si>
  <si>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</si>
  <si>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</si>
  <si>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</si>
  <si>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</si>
  <si>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</si>
  <si>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</si>
  <si>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</si>
  <si>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</si>
  <si>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</si>
  <si>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</si>
  <si>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</si>
  <si>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</si>
  <si>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</si>
  <si>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</si>
  <si>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</si>
  <si>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</si>
  <si>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</si>
  <si>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</si>
  <si>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</si>
  <si>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</si>
  <si>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</si>
  <si>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</si>
  <si>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</si>
  <si>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</si>
  <si>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</si>
  <si>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</si>
  <si>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</si>
  <si>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</si>
  <si>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</si>
  <si>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</si>
  <si>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</si>
  <si>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</si>
  <si>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</si>
  <si>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</si>
  <si>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</si>
  <si>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</si>
  <si>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</si>
  <si>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</si>
  <si>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</si>
  <si>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</si>
  <si>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</si>
  <si>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</si>
  <si>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</si>
  <si>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</si>
  <si>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</si>
  <si>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</si>
  <si>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</si>
  <si>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</si>
  <si>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</si>
  <si>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</si>
  <si>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</si>
  <si>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</si>
  <si>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</si>
  <si>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</si>
  <si>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</si>
  <si>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</si>
  <si>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</si>
  <si>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</si>
  <si>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</si>
  <si>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</si>
  <si>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</si>
  <si>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</si>
  <si>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</si>
  <si>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</si>
  <si>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</si>
  <si>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</si>
  <si>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</si>
  <si>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</si>
  <si>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</si>
  <si>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</si>
  <si>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</si>
  <si>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</si>
  <si>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</si>
  <si>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</si>
  <si>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</si>
  <si>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</si>
  <si>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</si>
  <si>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</si>
  <si>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</si>
  <si>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</si>
  <si>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</si>
  <si>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</si>
  <si>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</si>
  <si>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</si>
  <si>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</si>
  <si>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</si>
  <si>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</si>
  <si>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</si>
  <si>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</si>
  <si>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</si>
  <si>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</si>
  <si>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</si>
  <si>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</si>
  <si>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</si>
  <si>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</si>
  <si>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</si>
  <si>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</si>
  <si>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</si>
  <si>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</si>
  <si>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</si>
  <si>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</si>
  <si>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</si>
  <si>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</si>
  <si>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</si>
  <si>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</si>
  <si>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</si>
  <si>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</si>
  <si>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</si>
  <si>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</si>
  <si>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</si>
  <si>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</si>
  <si>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</si>
  <si>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</si>
  <si>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</si>
  <si>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</si>
  <si>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</si>
  <si>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744778</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</si>
  <si>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</si>
  <si>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</si>
  <si>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</si>
  <si>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</si>
  <si>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</si>
  <si>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</si>
  <si>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</si>
  <si>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</si>
  <si>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</si>
  <si>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</si>
  <si>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</si>
  <si>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</si>
  <si>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</si>
  <si>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</si>
  <si>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</si>
  <si>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</si>
  <si>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</si>
  <si>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</si>
  <si>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</si>
  <si>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</si>
  <si>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</si>
  <si>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</si>
  <si>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</si>
  <si>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</si>
  <si>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</si>
  <si>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</si>
  <si>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</si>
  <si>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</si>
  <si>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</si>
  <si>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</si>
  <si>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</si>
  <si>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</si>
  <si>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</si>
  <si>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</si>
  <si>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</si>
  <si>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</si>
  <si>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</si>
  <si>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</si>
  <si>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</si>
  <si>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</si>
  <si>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</si>
  <si>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</si>
  <si>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</si>
  <si>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</si>
  <si>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</si>
  <si>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</si>
  <si>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</si>
  <si>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</si>
  <si>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</si>
  <si>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</si>
  <si>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</si>
  <si>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</si>
  <si>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</si>
  <si>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</si>
  <si>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</si>
  <si>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</si>
  <si>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</si>
  <si>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</si>
  <si>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</si>
  <si>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</si>
  <si>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</si>
  <si>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</si>
  <si>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</si>
  <si>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</si>
  <si>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</si>
  <si>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</si>
  <si>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</si>
  <si>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</si>
  <si>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</si>
  <si>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</si>
  <si>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</si>
  <si>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</si>
  <si>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</si>
  <si>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</si>
  <si>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</si>
  <si>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</si>
  <si>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</si>
  <si>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</si>
  <si>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</si>
  <si>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</si>
  <si>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</si>
  <si>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</si>
  <si>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</si>
  <si>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</si>
  <si>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</si>
  <si>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</si>
  <si>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</si>
  <si>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</si>
  <si>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</si>
  <si>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</si>
  <si>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</si>
  <si>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</si>
  <si>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</si>
  <si>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</si>
  <si>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</si>
  <si>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</si>
  <si>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</si>
  <si>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</si>
  <si>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</si>
  <si>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</si>
  <si>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</si>
  <si>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</si>
  <si>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</si>
  <si>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</si>
  <si>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</si>
  <si>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</si>
  <si>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</si>
  <si>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</si>
  <si>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</si>
  <si>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</si>
  <si>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</si>
  <si>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</si>
  <si>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</si>
  <si>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</si>
  <si>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</si>
  <si>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</si>
  <si>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</si>
  <si>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</si>
  <si>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</si>
  <si>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</si>
  <si>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</si>
  <si>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</si>
  <si>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</si>
  <si>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</si>
  <si>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</si>
  <si>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</si>
  <si>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</si>
  <si>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</si>
  <si>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</si>
  <si>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</si>
  <si>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</si>
  <si>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</si>
  <si>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</si>
  <si>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</si>
  <si>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</si>
  <si>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</si>
  <si>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</si>
  <si>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</si>
  <si>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</si>
  <si>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</si>
  <si>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</si>
  <si>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</si>
  <si>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</si>
  <si>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</si>
  <si>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</si>
  <si>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</si>
  <si>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</si>
  <si>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</si>
  <si>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</si>
  <si>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</si>
  <si>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</si>
  <si>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</si>
  <si>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</si>
  <si>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</si>
  <si>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</si>
  <si>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</si>
  <si>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</si>
  <si>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</si>
  <si>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</si>
  <si>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</si>
  <si>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</si>
  <si>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</si>
  <si>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</si>
  <si>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</si>
  <si>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</si>
  <si>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</si>
  <si>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</si>
  <si>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</si>
  <si>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</si>
  <si>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</si>
  <si>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</si>
  <si>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</si>
  <si>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</si>
  <si>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</si>
  <si>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</si>
  <si>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</si>
  <si>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</si>
  <si>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</si>
  <si>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</si>
  <si>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</si>
  <si>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</si>
  <si>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</si>
  <si>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</si>
  <si>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</si>
  <si>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</si>
  <si>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</si>
  <si>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</si>
  <si>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</si>
  <si>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</si>
  <si>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</si>
  <si>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</si>
  <si>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</si>
  <si>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</si>
  <si>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</si>
  <si>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</si>
  <si>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</si>
  <si>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</si>
  <si>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</si>
  <si>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</si>
  <si>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</si>
  <si>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</si>
  <si>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</si>
  <si>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</si>
  <si>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</si>
  <si>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</si>
  <si>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</si>
  <si>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</si>
  <si>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</si>
  <si>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</si>
  <si>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</si>
  <si>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</si>
  <si>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</si>
  <si>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</si>
  <si>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</si>
  <si>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</si>
  <si>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</si>
  <si>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</si>
  <si>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</si>
  <si>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</si>
  <si>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</si>
  <si>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</si>
  <si>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</si>
  <si>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</si>
  <si>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</si>
  <si>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</si>
  <si>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</si>
  <si>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</si>
  <si>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</si>
  <si>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</si>
  <si>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</si>
  <si>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</si>
  <si>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</si>
  <si>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</si>
  <si>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</si>
  <si>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</si>
  <si>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</si>
  <si>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</si>
  <si>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</si>
  <si>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</si>
  <si>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</si>
  <si>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</si>
  <si>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</si>
  <si>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</si>
  <si>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</si>
  <si>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</si>
  <si>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</si>
  <si>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</si>
  <si>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</si>
  <si>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</si>
  <si>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</si>
  <si>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</si>
  <si>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</si>
  <si>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</si>
  <si>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</si>
  <si>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</si>
  <si>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</si>
  <si>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</si>
  <si>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</si>
  <si>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</si>
  <si>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</si>
  <si>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</si>
  <si>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</si>
  <si>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</si>
  <si>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</si>
  <si>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</si>
  <si>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</si>
  <si>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</si>
  <si>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</si>
  <si>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</si>
  <si>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</si>
  <si>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</si>
  <si>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</si>
  <si>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</si>
  <si>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</si>
  <si>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</si>
  <si>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</si>
  <si>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</si>
  <si>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</si>
  <si>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</si>
  <si>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</si>
  <si>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</si>
  <si>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</si>
  <si>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</si>
  <si>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</si>
  <si>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</si>
  <si>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</si>
  <si>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</si>
  <si>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</si>
  <si>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</si>
  <si>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</si>
  <si>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</si>
  <si>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</si>
  <si>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</si>
  <si>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</si>
  <si>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</si>
  <si>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</si>
  <si>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</si>
  <si>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</si>
  <si>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</si>
  <si>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</si>
  <si>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</si>
  <si>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</si>
  <si>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</si>
  <si>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</si>
  <si>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</si>
  <si>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</si>
  <si>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</si>
  <si>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</si>
  <si>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</si>
  <si>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</si>
  <si>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</si>
  <si>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</si>
  <si>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</si>
  <si>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</si>
  <si>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</si>
  <si>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</si>
  <si>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</si>
  <si>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</si>
  <si>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</si>
  <si>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</si>
  <si>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</si>
  <si>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</si>
  <si>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</si>
  <si>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</si>
  <si>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</si>
  <si>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</si>
  <si>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</si>
  <si>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</si>
  <si>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</si>
  <si>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</si>
  <si>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</si>
  <si>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</si>
  <si>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</si>
  <si>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</si>
  <si>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</si>
  <si>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</si>
  <si>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</si>
  <si>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</si>
  <si>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</si>
  <si>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</si>
  <si>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</si>
  <si>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</si>
  <si>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</si>
  <si>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</si>
  <si>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</si>
  <si>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</si>
  <si>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</si>
  <si>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</si>
  <si>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</si>
  <si>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</si>
  <si>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</si>
  <si>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</si>
  <si>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</si>
  <si>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</si>
  <si>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</si>
  <si>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</si>
  <si>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</si>
  <si>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</si>
  <si>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</si>
  <si>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</si>
  <si>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</si>
  <si>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</si>
  <si>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</si>
  <si>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</si>
  <si>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</si>
  <si>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</si>
  <si>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</si>
  <si>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</si>
  <si>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</si>
  <si>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</si>
  <si>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</si>
  <si>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</si>
  <si>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</si>
  <si>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</si>
  <si>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</si>
  <si>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</si>
  <si>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</si>
  <si>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</si>
  <si>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</si>
  <si>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</si>
  <si>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</si>
  <si>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</si>
  <si>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</si>
  <si>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</si>
  <si>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</si>
  <si>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</si>
  <si>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</si>
  <si>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</si>
  <si>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</si>
  <si>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</si>
  <si>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</si>
  <si>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</si>
  <si>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</si>
  <si>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</si>
  <si>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</si>
  <si>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</si>
  <si>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</si>
  <si>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</si>
  <si>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</si>
  <si>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</si>
  <si>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</si>
  <si>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</si>
  <si>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</si>
  <si>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</si>
  <si>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</si>
  <si>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</si>
  <si>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</si>
  <si>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</si>
  <si>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</si>
  <si>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</si>
  <si>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</si>
  <si>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</si>
  <si>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</si>
  <si>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</si>
  <si>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</si>
  <si>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</si>
  <si>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</si>
  <si>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</si>
  <si>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</si>
  <si>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</si>
  <si>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</si>
  <si>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</si>
  <si>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</si>
  <si>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</si>
  <si>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</si>
  <si>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</si>
  <si>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</si>
  <si>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</si>
  <si>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</si>
  <si>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</si>
  <si>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</si>
  <si>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</si>
  <si>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</si>
  <si>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</si>
  <si>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</si>
  <si>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</si>
  <si>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</si>
  <si>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</si>
  <si>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</si>
  <si>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</si>
  <si>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Table Control</t>
  </si>
  <si>
    <t>746999</t>
  </si>
  <si>
    <t>747301</t>
  </si>
  <si>
    <t>ECR - PACKER ENVELOPE GENERATIONS FOR EXISTING HF1 PRODUCTS.  TASK WILL INCLUDE ALL REQUIRED DOCUMENTS PLUS THE PUBLISHED ENVELOPE IN A PDF FORMAT.  PART II:
722HF1702611
722HF1703204
722HF1703232
722HF1703233
722HF1764500 - PERFORMANCE ENVELOPE CREATED RTA 627102
IGNORE ALL NEW VAM THREADS</t>
  </si>
  <si>
    <t>Statoil Stjerne M-13</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</si>
  <si>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</si>
  <si>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</si>
  <si>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</si>
  <si>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</si>
  <si>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</si>
  <si>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</si>
  <si>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</si>
  <si>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</si>
  <si>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</si>
  <si>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</si>
  <si>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</si>
  <si>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</si>
  <si>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747000</t>
  </si>
  <si>
    <t>elward.gardner@halliburton.com</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</si>
  <si>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</si>
  <si>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</si>
  <si>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</si>
  <si>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</si>
  <si>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</si>
  <si>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</si>
  <si>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</si>
  <si>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</si>
  <si>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</si>
  <si>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</si>
  <si>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</si>
  <si>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</si>
  <si>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</si>
  <si>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</si>
  <si>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</si>
  <si>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</si>
  <si>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</si>
  <si>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</si>
  <si>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</si>
  <si>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</si>
  <si>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</si>
  <si>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</si>
  <si>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</si>
  <si>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</si>
  <si>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</si>
  <si>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</si>
  <si>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</si>
  <si>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</si>
  <si>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</si>
  <si>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</si>
  <si>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</si>
  <si>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</si>
  <si>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</si>
  <si>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6 foot pup joint with Vam Top box (coupling) on one side and T3SB box on the other</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</si>
  <si>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</si>
  <si>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</si>
  <si>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</si>
  <si>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</si>
  <si>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</si>
  <si>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</si>
  <si>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</si>
  <si>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</si>
  <si>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</si>
  <si>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</si>
  <si>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</si>
  <si>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</si>
  <si>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</si>
  <si>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</si>
  <si>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</si>
  <si>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</si>
  <si>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</si>
  <si>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</si>
  <si>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</si>
  <si>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</si>
  <si>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</si>
  <si>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</si>
  <si>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</si>
  <si>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</si>
  <si>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</si>
  <si>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</si>
  <si>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</si>
  <si>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</si>
  <si>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</si>
  <si>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</si>
  <si>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</si>
  <si>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</si>
  <si>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</si>
  <si>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</si>
  <si>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</si>
  <si>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</si>
  <si>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</si>
  <si>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</si>
  <si>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</si>
  <si>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</si>
  <si>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</si>
  <si>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</si>
  <si>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</si>
  <si>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</si>
  <si>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</si>
  <si>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</si>
  <si>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</si>
  <si>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</si>
  <si>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</si>
  <si>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</si>
  <si>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</si>
  <si>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</si>
  <si>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</si>
  <si>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</si>
  <si>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</si>
  <si>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</si>
  <si>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</si>
  <si>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</si>
  <si>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</si>
  <si>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</si>
  <si>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</si>
  <si>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</si>
  <si>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</si>
  <si>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</si>
  <si>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</si>
  <si>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</si>
  <si>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</si>
  <si>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</si>
  <si>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</si>
  <si>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</si>
  <si>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</si>
  <si>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</si>
  <si>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</si>
  <si>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</si>
  <si>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</si>
  <si>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</si>
  <si>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</si>
  <si>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</si>
  <si>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</si>
  <si>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</si>
  <si>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</si>
  <si>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</si>
  <si>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</si>
  <si>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</si>
  <si>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</si>
  <si>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</si>
  <si>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</si>
  <si>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</si>
  <si>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</si>
  <si>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</si>
  <si>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</si>
  <si>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</si>
  <si>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</si>
  <si>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</si>
  <si>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</si>
  <si>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</si>
  <si>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</si>
  <si>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</si>
  <si>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</si>
  <si>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</si>
  <si>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</si>
  <si>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</si>
  <si>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</si>
  <si>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</si>
  <si>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</si>
  <si>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</si>
  <si>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</si>
  <si>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</si>
  <si>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</si>
  <si>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</si>
  <si>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</si>
  <si>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</si>
  <si>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</si>
  <si>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</si>
  <si>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</si>
  <si>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</si>
  <si>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</si>
  <si>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</si>
  <si>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</si>
  <si>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</si>
  <si>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</si>
  <si>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</si>
  <si>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</si>
  <si>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</si>
  <si>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</si>
  <si>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</si>
  <si>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</si>
  <si>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</si>
  <si>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</si>
  <si>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</si>
  <si>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</si>
  <si>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</si>
  <si>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</si>
  <si>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</si>
  <si>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</si>
  <si>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</si>
  <si>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</si>
  <si>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</si>
  <si>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</si>
  <si>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</si>
  <si>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</si>
  <si>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753074</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</si>
  <si>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</si>
  <si>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</si>
  <si>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</si>
  <si>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</si>
  <si>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</si>
  <si>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</si>
  <si>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</si>
  <si>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</si>
  <si>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</si>
  <si>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</si>
  <si>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</si>
  <si>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</si>
  <si>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</si>
  <si>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</si>
  <si>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</si>
  <si>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</si>
  <si>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</si>
  <si>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</si>
  <si>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</si>
  <si>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</si>
  <si>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</si>
  <si>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</si>
  <si>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</si>
  <si>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</si>
  <si>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</si>
  <si>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</si>
  <si>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</si>
  <si>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</si>
  <si>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</si>
  <si>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</si>
  <si>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</si>
  <si>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</si>
  <si>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</si>
  <si>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</si>
  <si>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</si>
  <si>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</si>
  <si>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</si>
  <si>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</si>
  <si>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</si>
  <si>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</si>
  <si>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</si>
  <si>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</si>
  <si>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</si>
  <si>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</si>
  <si>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</si>
  <si>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</si>
  <si>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</si>
  <si>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</si>
  <si>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</si>
  <si>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</si>
  <si>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</si>
  <si>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</si>
  <si>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</si>
  <si>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</si>
  <si>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</si>
  <si>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</si>
  <si>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</si>
  <si>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</si>
  <si>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</si>
  <si>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</si>
  <si>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</si>
  <si>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</si>
  <si>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</si>
  <si>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</si>
  <si>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</si>
  <si>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</si>
  <si>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</si>
  <si>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</si>
  <si>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</si>
  <si>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</si>
  <si>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</si>
  <si>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</si>
  <si>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</si>
  <si>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</si>
  <si>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</si>
  <si>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</si>
  <si>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</si>
  <si>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</si>
  <si>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</si>
  <si>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</si>
  <si>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</si>
  <si>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</si>
  <si>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</si>
  <si>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</si>
  <si>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</si>
  <si>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</si>
  <si>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</si>
  <si>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</si>
  <si>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</si>
  <si>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</si>
  <si>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</si>
  <si>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</si>
  <si>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</si>
  <si>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</si>
  <si>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</si>
  <si>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</si>
  <si>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</si>
  <si>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</si>
  <si>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</si>
  <si>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</si>
  <si>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</si>
  <si>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</si>
  <si>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</si>
  <si>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</si>
  <si>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</si>
  <si>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</si>
  <si>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</si>
  <si>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</si>
  <si>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</si>
  <si>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</si>
  <si>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</si>
  <si>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</si>
  <si>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</si>
  <si>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</si>
  <si>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</si>
  <si>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</si>
  <si>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</si>
  <si>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</si>
  <si>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r>
      <rPr>
        <sz val="10"/>
        <color theme="1"/>
        <rFont val="Arial"/>
        <family val="2"/>
      </rPr>
      <t xml:space="preserve">Wildcards * and ? May be used
</t>
    </r>
    <r>
      <rPr>
        <sz val="11"/>
        <color theme="1"/>
        <rFont val="Arial"/>
        <family val="2"/>
      </rPr>
      <t xml:space="preserve">
Type to filter by name:</t>
    </r>
  </si>
  <si>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</si>
  <si>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</si>
  <si>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</si>
  <si>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</si>
  <si>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</si>
  <si>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</si>
  <si>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</si>
  <si>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</si>
  <si>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</si>
  <si>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</si>
  <si>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</si>
  <si>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</si>
  <si>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</si>
  <si>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</si>
  <si>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</si>
  <si>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</si>
  <si>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</si>
  <si>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</si>
  <si>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</si>
  <si>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</si>
  <si>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</si>
  <si>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</si>
  <si>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</si>
  <si>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</si>
  <si>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</si>
  <si>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</si>
  <si>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</si>
  <si>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</si>
  <si>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</si>
  <si>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</si>
  <si>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</si>
  <si>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</si>
  <si>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</si>
  <si>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</si>
  <si>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</si>
  <si>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</si>
  <si>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</si>
  <si>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</si>
  <si>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</si>
  <si>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</si>
  <si>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</si>
  <si>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</si>
  <si>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</si>
  <si>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</si>
  <si>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</si>
  <si>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</si>
  <si>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</si>
  <si>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</si>
  <si>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</si>
  <si>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</si>
  <si>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</si>
  <si>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</si>
  <si>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</si>
  <si>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</si>
  <si>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</si>
  <si>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</si>
  <si>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</si>
  <si>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</si>
  <si>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</si>
  <si>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</si>
  <si>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</si>
  <si>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</si>
  <si>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</si>
  <si>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</si>
  <si>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</si>
  <si>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</si>
  <si>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</si>
  <si>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</si>
  <si>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</si>
  <si>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</si>
  <si>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</si>
  <si>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</si>
  <si>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</si>
  <si>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</si>
  <si>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</si>
  <si>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</si>
  <si>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</si>
  <si>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</si>
  <si>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</si>
  <si>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</si>
  <si>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</si>
  <si>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</si>
  <si>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</si>
  <si>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</si>
  <si>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</si>
  <si>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</si>
  <si>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</si>
  <si>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</si>
  <si>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</si>
  <si>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</si>
  <si>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</si>
  <si>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</si>
  <si>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</si>
  <si>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</si>
  <si>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</si>
  <si>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</si>
  <si>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</si>
  <si>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</si>
  <si>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</si>
  <si>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4.2.0.1</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</si>
  <si>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</si>
  <si>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</si>
  <si>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</si>
  <si>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</si>
  <si>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</si>
  <si>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</si>
  <si>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SPLT=168  Emailed submitter for requirements document.  2/13/12 DM</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</si>
  <si>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</si>
  <si>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</si>
  <si>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</si>
  <si>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</si>
  <si>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</si>
  <si>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</si>
  <si>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</si>
  <si>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</si>
  <si>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</si>
  <si>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</si>
  <si>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</si>
  <si>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</si>
  <si>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</si>
  <si>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</si>
  <si>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</si>
  <si>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</si>
  <si>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26: SPLT=84 Assigned to Mark G, Change class to C, changed request design complete date to 2/21/2012- 1/3/2012 RB</t>
  </si>
  <si>
    <t>758581</t>
  </si>
  <si>
    <t>I need a design circle for 5.5IN 26PPF Inconel 718 125Ksi MY VAM Top KP Gauge Mandrel made to suit a fully redundant ROC 175 25Ksi Gauge. Bypass slots to allow 3/8IN encapsulated control line to bypass on either side of the mandrel.</t>
  </si>
  <si>
    <t>10: SPLT=N/A</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</si>
  <si>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</si>
  <si>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</si>
  <si>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</si>
  <si>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</si>
  <si>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</si>
  <si>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</si>
  <si>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</si>
  <si>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</si>
  <si>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SPLT=168 Emailed submitter for requirements document.  2/13/12 DM  Emailed submitter again for requirements document.  2/21/12 DM. Requirements document attached with previous well schematic 2/22/12</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</si>
  <si>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</si>
  <si>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</si>
  <si>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</si>
  <si>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</si>
  <si>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</si>
  <si>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</si>
  <si>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</si>
  <si>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</si>
  <si>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</si>
  <si>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</si>
  <si>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</si>
  <si>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</si>
  <si>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</si>
  <si>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</si>
  <si>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</si>
  <si>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</si>
  <si>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</si>
  <si>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</si>
  <si>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</si>
  <si>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</si>
  <si>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</si>
  <si>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</si>
  <si>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</si>
  <si>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</si>
  <si>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</si>
  <si>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</si>
  <si>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</si>
  <si>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</si>
  <si>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758969</t>
  </si>
  <si>
    <t>ExxonMobil Kizomba</t>
  </si>
  <si>
    <t>CREATE COIL TUBING PART AND APPLY KZ1 QUALITY PART (SAP MN 693001)
TSG NOTES 022212 SAP MN 693001 BACKFILLED; RECD FOR PROCESSING; QUALITY PROVIDED TDR FOR MARKUP (GMC) END</t>
  </si>
  <si>
    <t>ELWARD GARDNER</t>
  </si>
  <si>
    <t>elward.garnder@halliburton.com</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</si>
  <si>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</si>
  <si>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758938</t>
  </si>
  <si>
    <t>OBSOLETE SAP MN 598451 AND SUPERSEDE WITH SAP MN 102012914 PER RAMEEN.
TSG NOTES 02-21-2012 TO TSG FOR PROCESSING; EMAIL SENT TO P. THOMMES IN NORWAY TO ASK TO HAVE STOCK MOVED TO 102012914 FROM 598451 J. CALLAWAY END</t>
  </si>
  <si>
    <t>RAMEEN.BAKHTIARY@HALLIBURTON.COM</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</si>
  <si>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</si>
  <si>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</si>
  <si>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</si>
  <si>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</si>
  <si>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</si>
  <si>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</si>
  <si>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758966</t>
  </si>
  <si>
    <t>CREATE COIL TUBING PART AND APPLY KZ1 QUALITY PART (SAP MN 693000)
TSG NOTES 022212 SAP MN 693000 BACKFILLED; RECD FOR PROCESSING; QUALITY PROVIDED TDR FOR MARKUP (GMC) END</t>
  </si>
  <si>
    <t>7: SPLT=N/A</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</si>
  <si>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</si>
  <si>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</si>
  <si>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</si>
  <si>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</si>
  <si>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</si>
  <si>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</si>
  <si>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</si>
  <si>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</si>
  <si>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</si>
  <si>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</si>
  <si>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</si>
  <si>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</si>
  <si>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</si>
  <si>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14.3: splt=N/A</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</si>
  <si>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</si>
  <si>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</si>
  <si>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</si>
  <si>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</si>
  <si>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</si>
  <si>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</si>
  <si>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REVISE ENGINEERING DRAWINGS/DOCUMENTS WITH ENGINEERING CONTROLLED AND UNRELEASED INFORMATION:
ENGR DWG 305638-00-01; DOCUMENT 306042-00-00; DOCUMENT 306144-00-00; ENGR DWG 306148-00-00
PER ATTACHED EMAIL FROM HOLLY MARBACK 06/11/11</t>
  </si>
  <si>
    <t>760914</t>
  </si>
  <si>
    <t>REVISE ENGINEERING DRAWINGS/DOCUMENTS WITH ENGINEERING CONTROLLED AND UNRELEASED INFORMATION:
ENGR DWG 313569-00-01; ENG DWG 313571-00-01; ENGR DWG 313583-00-01
PER ATTACHED EMAIL FROM HOLLY MARBACK 06/11/11</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</si>
  <si>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t>
  </si>
  <si>
    <t>10: SPLT=126 Email to submitter re: requirements document and quality requirements. 2/8/12 DM; Follow up on requirements and quality 2/13/12 DM Emailed follow up to submitter.  2/15/12 DM</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</si>
  <si>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</si>
  <si>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</si>
  <si>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</si>
  <si>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</si>
  <si>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</si>
  <si>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</si>
  <si>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</si>
  <si>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CREATE DOCUMENTATION RELATED TO PSA ASSEMBLY THAT DID NOT CARRY OVER CORRECTLY DURING INTEGRATION. UPDATE PSA AND VMA ASSEMBLIES WITH THE RIGHT REFERENCE DOCUMENTATION.</t>
  </si>
  <si>
    <t>758948</t>
  </si>
  <si>
    <t>CREATE COIL TUBING PART AND APPLY KZ1 QUALITY PART (SAP MN 692997)
TSG NOTES 022212 SAP MN 692997 BACKFILLED; RECD FOR PROCESSING; QUALITY PROVIDED TDR FOR MARKUP (GMC) END</t>
  </si>
  <si>
    <t>8: SPLT=N/A</t>
  </si>
  <si>
    <t>758964</t>
  </si>
  <si>
    <t>CREATE COIL TUBING PART AND APPLY KZ1 QUALITY PART (SAP MN 692998)
TSG NOTES 022212 SAP MN 692998 BACKFILLED; RECD FOR PROCESSING; QUALITY PROVIDED TDR FOR MARKUP (GMC) END</t>
  </si>
  <si>
    <t>11: SPLT=N/A</t>
  </si>
  <si>
    <t>758965</t>
  </si>
  <si>
    <t>CREATE COIL TUBING PART AND APPLY KZ1 QUALITY PART (SAP MN 692999)
TSG NOTES 022212 SAP MN 692999 BACKFILLED; RECD FOR PROCESSING; QUALITY PROVIDED TDR FOR MARKUP (GMC) END</t>
  </si>
  <si>
    <t>9: SPLT=N/A</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</si>
  <si>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</si>
  <si>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</si>
  <si>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</si>
  <si>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</si>
  <si>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</si>
  <si>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</si>
  <si>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</si>
  <si>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</si>
  <si>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</si>
  <si>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SPLT=168 Emailed field for requirement documents.  2/13/12 DM  Emailed submitter again for requirements document.  2/21/12 DM</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</si>
  <si>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</si>
  <si>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</si>
  <si>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</si>
  <si>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</si>
  <si>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</si>
  <si>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</si>
  <si>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</si>
  <si>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</si>
  <si>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</si>
  <si>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</si>
  <si>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</si>
  <si>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</si>
  <si>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</si>
  <si>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</si>
  <si>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</si>
  <si>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</si>
  <si>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</si>
  <si>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</si>
  <si>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</si>
  <si>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</si>
  <si>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</si>
  <si>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</si>
  <si>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</si>
  <si>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</si>
  <si>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</si>
  <si>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</si>
  <si>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</si>
  <si>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</si>
  <si>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</si>
  <si>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</si>
  <si>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</si>
  <si>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</si>
  <si>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</si>
  <si>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</si>
  <si>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</si>
  <si>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</si>
  <si>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</si>
  <si>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</si>
  <si>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</si>
  <si>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</si>
  <si>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</si>
  <si>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</si>
  <si>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</si>
  <si>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</si>
  <si>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</si>
  <si>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758519</t>
  </si>
  <si>
    <t>Bapetco</t>
  </si>
  <si>
    <t>Same As: 71SSS1; SFTY SYS STD RTA DESIGN REQ
Except: Review technical clarification sent in by customer today for project no. 600025t102, tender no. 97/1/05914MS, quote no. 21674299.  due date for answers is Feb 23.
Project Name: 
Special Quality Plan Required?: No
Material: 
Technical Support Deliverables:
Preliminary Design Specifications
Reference Assembly Drawing
2012-02-20, TS: refer to RTA 742477. Ted and Robert T. to review.
2012-02-24, TS: Robert T. to Review answers questions today from Bapetco and send.
TSG NOTES 022812 RCVD. FILE FOR PROCESSING. (KEN) 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</si>
  <si>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</si>
  <si>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</si>
  <si>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</si>
  <si>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</si>
  <si>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UPDATE DRAWING W.302169-00-00 PER CWI STANDARDS. UPDATE ALL CORRESPONDING PARTS WITH W. PREFIX
TSG NOTES 022412 RCVD. FILE FOR PROCESSING. (KEN) END</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</si>
  <si>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</si>
  <si>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</si>
  <si>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</si>
  <si>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</si>
  <si>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</si>
  <si>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</si>
  <si>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</si>
  <si>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</si>
  <si>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</si>
  <si>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</si>
  <si>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</si>
  <si>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</si>
  <si>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Design Circle - 4.5IN 17ppf 125 ksi Triple ROC-175 Gauge
I need a design circle for 4.5IN 17PPF Inconel 718 125Ksi MY VAM Top Triple Gauge Mandrel with ROC 175 25Ksi triple gauge assembly. Bypass slots to accommodate 35mm on either side.</t>
  </si>
  <si>
    <t>9: SPLT=N/A  2/27/2012 DM, Contact Wolfy to clarify gauge requirements</t>
  </si>
  <si>
    <t>759002</t>
  </si>
  <si>
    <t>CPI NO. 300214197 RELATED-ECR:  
1.  REVISE DWG 092363-03-01 WITH NEW 1 NPT NOZZLE REFERENCE OR COMMODITY NUMBERS PLUS REVISE ALL APPLICABLE SAP NUMBERS WITH CHANGES. 
2.  GENERATE NEW DWG (D NUMBER -01,...) AND SAP NUMBERS FOR 1 NPT NOZZLE WITH TABLE FOR DIFFERENT SIZES SIMILAR TO DWG 316311-00-01</t>
  </si>
  <si>
    <t>omotayo.ewumi@Halliburton.com</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</si>
  <si>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</si>
  <si>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</si>
  <si>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</si>
  <si>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</si>
  <si>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</si>
  <si>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</si>
  <si>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</si>
  <si>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</si>
  <si>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</si>
  <si>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</si>
  <si>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</si>
  <si>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</si>
  <si>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</si>
  <si>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15: SPLT=112  Emailed submitter re: standard lead time.  2/20/12 DM  Recd response from customer and adjusted AIS date. Email attached.  2/21/12 DM</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</si>
  <si>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</si>
  <si>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</si>
  <si>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</si>
  <si>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</si>
  <si>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</si>
  <si>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</si>
  <si>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W.302276-00-01 PER CWI STANDARDS. UPDATE ALL CORRESPONDING PARTS WITH W. PREFIX.
TSG NOTES 02-24-2012 TO TSG FOR PROCESSING. WAS/IS/DWG TO QUALITY FOR REVIEW/APPROVAL. J. CALLAWAY END</t>
  </si>
  <si>
    <t>UPDATE DRAWING W.302548-00-00 PER CWI STANDARDS. UPDATE ALL CORRESPONDING PARTS WITH W. PREFIX
TSG NOTES 022812 RECD FOR PROCESSING (GMC) END</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</si>
  <si>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
2011-12-05 WM: Procurement terms and conditions are being negotiated with the vendor.  Detail drawings of mechanical assembly is in progress.
2011-12-12 WM: PO has been issued for third party hydrophone.  The circuit diagram will be updated with the tristate buffer for sharing a single pin with firing circuit and communication.
2011-12-19 WM: The schematic is in the final review stage.  The layout will be completed and boards will be placed on order. 2011-12-19 AB
2012-01-03 WM: The crystals for PCB assembly are on order.  Third party hydrophones are on order testing will commence later this week.  Engineering detailed drawings are being processed through Beacon.
2012-01-10 WM: The HTI (third party) hydrophones have been received and tested.  The results are being analyzed.  The response has been observed to be considerably better than Proto 01 hydrophones from Quartzdyne.  A memo will be circulated to the stakeholders this week.  The PCB assemblies will be ordered with one-two week turnaround.  2012-01-10 AB
2012-01-24 WM: 30KPSI Kemlon connectors are on order.  The firmware will be tested on Rev B board by this week.  A PO will be issued to Hydrophone vendor with delivery date at end of March.  A mechanical engineering design review will be completed. 2012-01-24 AB
2012-01-31 WM: A design review was completed with PLM and mechanical engineering detailed design has been started.  The hydrophone design is being modified for vibration considerations.  The PO will be placed after the design is accepted by the vendor.  UART and EEPROM functionality have been tested. 2012-01-31 AB
2012-02-07 WM: Detail design has been completed with part numbers to be loaded to CWI.  The firmware testing is underway.  The procurement of materials will be started.  2012-02-07 AB
2012-02-14 WM: QD is working on the quote for the downhole tool.  The depassivation routine in firmware is being evaluated.  The PO has been issued for 30K hydrophone.  Trial well date has been set to July 2012.  2012-02-14 AB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</si>
  <si>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</si>
  <si>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</si>
  <si>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</si>
  <si>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The reference Gauge Mandrel is the SAP: 102124903, RTA changes as follows:
(a)	Change material to 13Cr 80K
(c)	Final assembly needs be under the 8.379in casing drift.  
This mandrel will be run inside the 9 5/8in 53.5lb casing.</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</si>
  <si>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</si>
  <si>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</si>
  <si>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</si>
  <si>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</si>
  <si>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</si>
  <si>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</si>
  <si>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</si>
  <si>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</si>
  <si>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</si>
  <si>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</si>
  <si>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</si>
  <si>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</si>
  <si>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30: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</si>
  <si>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31: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</si>
  <si>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</si>
  <si>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</si>
  <si>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21: SPLT=126 Pushed AIS and TRDD per P James.  9/20/11 DM  Changed AIS date per PMT mtg.  1/13/12 DM  Chgd to Code 1 because once design is released it will be used on the next well.  1/24/12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</si>
  <si>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</si>
  <si>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</si>
  <si>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</si>
  <si>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</si>
  <si>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</si>
  <si>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</si>
  <si>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</si>
  <si>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</si>
  <si>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</si>
  <si>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</si>
  <si>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</si>
  <si>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32: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</si>
  <si>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</si>
  <si>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</si>
  <si>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</si>
  <si>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</si>
  <si>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</si>
  <si>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</si>
  <si>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Same As: 235AC2965501-SB2; CLP,TPR LOCK,9655,13CR,5 1/2-23.00 -SB2
Except: 1. Modify for 7 inch tubing to fit in 10 3/4 inch 65,7 lb/ft casing.
2. 2 wedges 4 x 1/4 + bump 8mm
3. 1 wedge 2 x 3/8 + bump 11mm
Tech Start Date is in the past
Project Name: Visund South V3
Special Quality Plan Required?: Yes
Quality Plan Identifier: SB2
Material: (9) 13 CR 105 MY 35 HRC (ES-MA-585)
Mating Infomation:
TSG NOTES 022212 RECD FOR PROCESSING; PROVIDED QUALITY WITH DRAWING FOR MARKUP; 022712 RECD MARKUP FROM QUALITY; RTA SENT FOR REVIEW AND APPROVAL (GMC) END</t>
  </si>
  <si>
    <t>3: SPLT=140 Emailed submitter regarding 5/12/12 delivery date per PMT. Waiting for confirmation from field to change AIS date.  1/19/12 DM Confirmation from field to push AIS date-email attached. 1/20/12 DM  Emailed submitter re: no bumper bar to anchor flatpack.  1/25/12 DM  Emailed submitter re: no response to flatpack question.  2/14/12 DM Field responded and advised to go ahead with design without bumper bars. Email attached.  2/15/12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</si>
  <si>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(GMC) END</t>
  </si>
  <si>
    <t>18: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</si>
  <si>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(GMC) END</t>
  </si>
  <si>
    <t>16: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</si>
  <si>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New ROC Mdrl 2 b used on Visund v4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t>
  </si>
  <si>
    <t>7: SPLT=126  2/27/2012 DM, Using design on Visund V4</t>
  </si>
  <si>
    <t>23: SPLT=126  Changed AIS date per Shell rig schedule and confirmation of G Breerwood. Confirmation email attched.  1/19/12 DM</t>
  </si>
  <si>
    <t>Same As: 216HAP1035U3O00SB2; VLV INTEGD HS ACCUPULSE,3-1/2 -SB2
Except: 
All flow wetted parts to be made of Inc.718.
Rest ?? 13Cr.
TSG NOTES: TO TSG FOR PROCESSING. DWGS TO QUALITY FOR MARKUP 02-28-2012 JCC END</t>
  </si>
  <si>
    <t>12: @@ SPLT=168 Emailed submitter regarding 9/1/12 delivery date per PMT. Waiting for confirmation from field to change AIS date.  1/19/12 DM</t>
  </si>
  <si>
    <t>12: SPLT=126 Changed AIS date per Shell rig schedule and confirmation of G Breerwood.  Confirmation email attached.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</si>
  <si>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</si>
  <si>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</si>
  <si>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32: SPLT=168  Cancelling per submitter customer wants HS instead of HVC valves. Completed most of design so will go ahead and complete. 1/27/12 DM  Emailed submitter re: AIS date...well completing end of Oct,2012. 2/21/12 DM</t>
  </si>
  <si>
    <t>Same As: 722HF1106504; PKR,HF1,1065,TBG SET,KO PLUG,25CR
Except: 
1. Material to be 13Cr
2. Quality plan to be SB2
TSG NOTES TO TSG FOR PROCESSING; DWGS TO QUALITY FOR MARKUP. MARKUPS BACK TO TSG. TO QUALITY FOR REVIEW AND APPROVAL 02-16-2012 J. CALLAWAY END</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</si>
  <si>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</si>
  <si>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</si>
  <si>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</si>
  <si>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Same as: 235SF0967018-SB2;  CLP,SPLC,9670,13CR,7-29.00 VAMTOP -SB2
Except: Change Material to 25Cr
TSG NOTES 021612 RECD FOR PROCESSING; QUALITY PROVIDED DRAWING FOR MARKUP; 022712 RECD MARKUPS FROM QUALITY; RTA SENT FOR REVIEW AND APPROVAL (GMC) END</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</si>
  <si>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</si>
  <si>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</si>
  <si>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</si>
  <si>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</si>
  <si>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</si>
  <si>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11: SPLT= 126 Emailed field re: AIS date and quality requirements.  1/26/12 DM  Email attached regarding AIS date from submitter.  1/26/12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</si>
  <si>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</si>
  <si>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</si>
  <si>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Revise Item 001, QTY 2 each of:
WELL HEAD CONTROL PANEL
CONSISTING OF THE FOLLOWING
Hydraulic Power Unit
Accumulator Rack
Ref 71ZZ3058
Control Module
Halliburton pilots High/low
Ref 71PP8KRATU
Six Well Module Frame
Pilots mounting Side Plates
Ref 71ZZ3059
Solar Power Unit
320 Watt Solar Panel
Ref 71SH7ABDDATU
Installation Kit
for 71SH7BDDATU
Ref 71SHC1ATU
Remote Shut in
Ref 71CA93ATU
Installation Kit
Ref 71PPK8XATU
All assembled in 316 SS cabinet
Note: IR349000 501 Wellhead Control, Monitoring and Shutdow 03/30/2008
As per Yolanda email and attached files received today.  No due date noted in this request from Aramco.
Project Name: 
Special Quality Plan Required?: No
Material: 
Technical Support Deliverables:
Preliminary Design Specifications
Reference Assembly Drawing
2012-02-01, TS Preliminary design review on Friday Feb 3.
2012-02-08, TS: Sent out for quote. Awaiting charge code to create data books.
2012-02-20, TS: Awaiting quotes.
2012-02-24, TS: Robert to add quotes to project data file and send to Ted for Approval.
TSG NOTES 022812 RCVD. FILE FOR PROCESSING. (KEN) END</t>
  </si>
  <si>
    <t>12: SPLT=N/A Dana to provide charge code to Robert T for Saudi.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</si>
  <si>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</si>
  <si>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</si>
  <si>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</si>
  <si>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</si>
  <si>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(KEN) END</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</si>
  <si>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</si>
  <si>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</si>
  <si>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</si>
  <si>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(TEC (Tubing Encapsulated Conductor,( Tube; 1/4 in. x 0.049 in. wall, Alloy 825 material), Encapsulated: Santoprene with 80MILS,  0.410 in. OD round- White in color, stamp length in meters on Santoprene, P-06 Filler, FEP, T-05 Fluropolymer Dielectric insulation, 16 gauge solid copper conductor, CP-1, Supplied on Torroidal metal spool, 60 inches maximum O.D., 36 inches wide, and shipped on a skid.  The spool shall able to accommodate a 3 inch shaft and have drilled 1-1/4 inch drive plate holes and a port opening as depicted in the attached skip well and drive-plate drawings.  This product is to be used on an the ExxonMobil Kizomba Project which is an HPP and shall meet the requirements of the Spring KZ1 Quality Plan and be identified as such. Reference RTA R-0000732754
TSG NOTES 022012 RECD FOR PROCESSING; PROVIDED QUALITY WITH TDR FOR MARKUP; 022712 RECD MARKUPS FROM QUALITY; RTA SENT FOR REVIEW AND APPROVAL; QUALITY ADVISED THAT A CUSTOMER SPEC WAS OUT FOR REVIEW AND APPROVAL AND THAT SPEC NEEDS TO BE ATTACHED TO THE MN (GMC) END</t>
  </si>
  <si>
    <t>1: SPLT=N/A  Emailed submitter re: insulation of TEC.  1/13/12 DM Submitter response regarding insulation in attached email.  2/15/12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</si>
  <si>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</si>
  <si>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17: SPLT=126</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</si>
  <si>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</si>
  <si>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</si>
  <si>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</si>
  <si>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</si>
  <si>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</si>
  <si>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21: SPLT=126</t>
  </si>
  <si>
    <t>19: SPLT=84</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</si>
  <si>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</si>
  <si>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</si>
  <si>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22: SPLT=126</t>
  </si>
  <si>
    <t>17: SPLT=98 @@</t>
  </si>
  <si>
    <t>756490</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</si>
  <si>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2012-02-20, WM: Dana to follow up with requirements document and Rameen to clarify RTA scope with Martin Staelens. Dana put into WIP</t>
  </si>
  <si>
    <t>13: SPLT=N/A  To be machined locally.  2/17/12 DM</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</si>
  <si>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</si>
  <si>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</si>
  <si>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</si>
  <si>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</si>
  <si>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</si>
  <si>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</si>
  <si>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20: SPLT=84</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</si>
  <si>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</si>
  <si>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</si>
  <si>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</si>
  <si>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28: SPLT=126</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</si>
  <si>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</si>
  <si>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</si>
  <si>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</si>
  <si>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24: SPLT=84  2/20/2012 DM: verify quality plan. No quality applied per P Allardyce.  2/20/12 DM</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</si>
  <si>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</si>
  <si>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</si>
  <si>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</si>
  <si>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</si>
  <si>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</si>
  <si>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27:  SPLT=126  2/27/2012 DM, Contact Wolfy to veryify and update RTA requirements regarding nipple profile in mandrel.</t>
  </si>
  <si>
    <t>758623</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</si>
  <si>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t>
  </si>
  <si>
    <t>14: SPLT=N/A Mandrel to be machined locally,  2/22 MS.</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</si>
  <si>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</si>
  <si>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</si>
  <si>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</si>
  <si>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</si>
  <si>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</si>
  <si>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29: SPLT=98 Changed to code 2 see attached email from submitter.  12/8/11 DM</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</si>
  <si>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</si>
  <si>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</si>
  <si>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</si>
  <si>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</si>
  <si>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</si>
  <si>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</si>
  <si>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Cong-Tam Nguyen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</si>
  <si>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</si>
  <si>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</si>
  <si>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</si>
  <si>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</si>
  <si>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</si>
  <si>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</si>
  <si>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</si>
  <si>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</si>
  <si>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29: SPLT=N/A</t>
  </si>
  <si>
    <t>756705</t>
  </si>
  <si>
    <t>Part Number creation for Control Line flatpack filled with red oil Alloy 825 material</t>
  </si>
  <si>
    <t>SPLT=N/A Attached requirements document.  2/22/22 DM</t>
  </si>
  <si>
    <t>SPLT=84 Emailed submitter for requirements document and code/quality.  1/16/12 DM  Attached req doc. Emailed submitter re: standard lead time. 2/21/12 DM</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</si>
  <si>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</si>
  <si>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</si>
  <si>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</si>
  <si>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</si>
  <si>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14.2: SPLT=112</t>
  </si>
  <si>
    <t>David Christie</t>
  </si>
  <si>
    <t>760822</t>
  </si>
  <si>
    <t>3 Line flatpack w/2 1/4 in 0.049 wt hydraulic lines and 1 1/4 TEC line.  See attached requirements document.</t>
  </si>
  <si>
    <t>760643</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</si>
  <si>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t>
  </si>
  <si>
    <t>14.1: SPLT=112</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</si>
  <si>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</si>
  <si>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</si>
  <si>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</si>
  <si>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</si>
  <si>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</si>
  <si>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</si>
  <si>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</si>
  <si>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</si>
  <si>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</si>
  <si>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759161</t>
  </si>
  <si>
    <t>Same As: 722HF1964780; PKR,SZ 9647,TY HF1,WITH KNOCK OUT PLUG R
Except: Packer envelope required
Tech Start Date is in the past
Project Name: Champion West
Special Quality Plan Required?: No
Material: 
Mating Infomation:</t>
  </si>
  <si>
    <t>SPLT=N/A Emailed submitter to clarify if packer envelope is all being requested.  2/27/12 DM Field confirmed packer envelope is all that is required. 2/28/12 DM</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</si>
  <si>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</si>
  <si>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</si>
  <si>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</si>
  <si>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SPLT=126 Emailed submitter re:standard lead and thread clarification.  2/27/12 DM</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</si>
  <si>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</si>
  <si>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</si>
  <si>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6 foot pup joint with Vam Top box (coupling) on one end and T3SB pin on the other.
Confirmed with Paul James that bottom connection thread is really T3SB 4.5 12.75ppf. (CMN 2/28/12)</t>
  </si>
  <si>
    <t>SPLT=84 Emailed submitter for requirements doc and code/quality clarification.  1/16/12 DM Attached req doc. Emailed submitter re: standard lead time. 2/21/12 DM</t>
  </si>
  <si>
    <t>759794</t>
  </si>
  <si>
    <t>Modify existing 4 pin WHO (9895-6004) to be used for fluid filled SmartPlex tri-wire spooler during installation.</t>
  </si>
  <si>
    <t>SPLT=98</t>
  </si>
  <si>
    <t>2/28/2012 Permanent Monitoring RTA Priorities List</t>
  </si>
  <si>
    <t>fc</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</si>
</sst>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0"/>
      <color theme="1"/>
      <name val="Arial"/>
      <family val="2"/>
    </font>
    <font>
      <sz val="11"/>
      <color theme="1"/>
      <name val="Arial"/>
      <family val="2"/>
    </font>
    <font>
      <sz val="10.5"/>
      <color theme="1"/>
      <name val="Arial"/>
      <family val="2"/>
    </font>
    <font>
      <sz val="10.5"/>
      <name val="Arial"/>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6">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thin">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s>
  <cellStyleXfs count="1">
    <xf numFmtId="0" fontId="0" fillId="0" borderId="0"/>
  </cellStyleXfs>
  <cellXfs count="132">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2"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22" xfId="0" applyFont="1" applyFill="1" applyBorder="1" applyAlignment="1">
      <alignment horizontal="center" vertical="center" wrapText="1"/>
    </xf>
    <xf numFmtId="0" fontId="8" fillId="0" borderId="22"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10" fillId="5" borderId="28"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3"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0" fillId="7" borderId="0" xfId="0" applyFont="1" applyFill="1" applyAlignment="1" applyProtection="1">
      <alignment horizontal="center" vertical="center"/>
      <protection locked="0"/>
    </xf>
    <xf numFmtId="0" fontId="14" fillId="7" borderId="0" xfId="0" applyFont="1" applyFill="1"/>
    <xf numFmtId="0" fontId="0" fillId="0" borderId="0" xfId="0" applyBorder="1" applyAlignment="1">
      <alignment horizontal="left" vertical="top" wrapText="1"/>
    </xf>
    <xf numFmtId="0" fontId="21" fillId="7" borderId="0" xfId="0" applyFont="1" applyFill="1"/>
    <xf numFmtId="0" fontId="20" fillId="7" borderId="0" xfId="0" applyFont="1" applyFill="1" applyAlignment="1">
      <alignment vertical="center"/>
    </xf>
    <xf numFmtId="0" fontId="20" fillId="7" borderId="0" xfId="0" applyFont="1" applyFill="1" applyAlignment="1">
      <alignment horizontal="center" vertical="center"/>
    </xf>
    <xf numFmtId="0" fontId="22" fillId="7" borderId="0" xfId="0" applyFont="1" applyFill="1"/>
    <xf numFmtId="0" fontId="23" fillId="7" borderId="0" xfId="0" applyFont="1" applyFill="1"/>
    <xf numFmtId="0" fontId="24" fillId="7" borderId="0" xfId="0" applyFont="1" applyFill="1"/>
    <xf numFmtId="0" fontId="25" fillId="7" borderId="0" xfId="0" applyFont="1" applyFill="1"/>
    <xf numFmtId="0" fontId="22" fillId="7" borderId="0" xfId="0" applyFont="1" applyFill="1" applyAlignment="1">
      <alignment horizontal="left" vertical="center"/>
    </xf>
    <xf numFmtId="0" fontId="23" fillId="7" borderId="0" xfId="0" applyFont="1" applyFill="1" applyAlignment="1">
      <alignment horizontal="left" vertical="center"/>
    </xf>
    <xf numFmtId="0" fontId="26" fillId="7" borderId="0" xfId="0" applyFont="1" applyFill="1"/>
    <xf numFmtId="0" fontId="0" fillId="7" borderId="0" xfId="0" applyFill="1"/>
    <xf numFmtId="0" fontId="27" fillId="7" borderId="0" xfId="0" applyFont="1" applyFill="1"/>
    <xf numFmtId="0" fontId="19" fillId="7" borderId="0" xfId="0" applyFont="1" applyFill="1"/>
    <xf numFmtId="0" fontId="29" fillId="0" borderId="0" xfId="0" applyFont="1" applyFill="1" applyAlignment="1">
      <alignment horizontal="center" vertical="center" wrapText="1"/>
    </xf>
    <xf numFmtId="0" fontId="0" fillId="0" borderId="0" xfId="0" applyFont="1" applyFill="1" applyBorder="1" applyAlignment="1" applyProtection="1">
      <alignment horizontal="center" vertical="center" wrapText="1"/>
    </xf>
    <xf numFmtId="0" fontId="0" fillId="0" borderId="0" xfId="0" applyFont="1" applyFill="1" applyBorder="1" applyAlignment="1">
      <alignment horizontal="center" vertical="top" wrapText="1"/>
    </xf>
    <xf numFmtId="0" fontId="0" fillId="0" borderId="0"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pplyProtection="1">
      <alignment horizontal="left" vertical="top" wrapText="1"/>
      <protection locked="0"/>
    </xf>
    <xf numFmtId="14" fontId="0" fillId="0" borderId="0" xfId="0" applyNumberFormat="1" applyFont="1" applyFill="1" applyBorder="1" applyAlignment="1" applyProtection="1">
      <alignment horizontal="center" vertical="top" wrapText="1"/>
      <protection locked="0"/>
    </xf>
    <xf numFmtId="1" fontId="0" fillId="0" borderId="0" xfId="0" applyNumberFormat="1" applyFont="1" applyFill="1" applyBorder="1" applyAlignment="1" applyProtection="1">
      <alignment horizontal="center" vertical="top" wrapText="1"/>
    </xf>
    <xf numFmtId="14" fontId="0" fillId="0" borderId="0" xfId="0" applyNumberFormat="1" applyFont="1" applyFill="1" applyBorder="1" applyAlignment="1" applyProtection="1">
      <alignment horizontal="center" vertical="top" wrapText="1"/>
    </xf>
    <xf numFmtId="49" fontId="0" fillId="0" borderId="0" xfId="0" applyNumberFormat="1" applyFont="1" applyFill="1" applyBorder="1" applyAlignment="1" applyProtection="1">
      <alignment horizontal="center" vertical="top" wrapText="1"/>
      <protection locked="0"/>
    </xf>
    <xf numFmtId="1" fontId="0" fillId="0" borderId="0" xfId="0" applyNumberFormat="1" applyFont="1" applyFill="1" applyBorder="1" applyAlignment="1" applyProtection="1">
      <alignment horizontal="center" vertical="top" wrapText="1"/>
      <protection locked="0"/>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 fontId="0" fillId="0" borderId="0" xfId="0" applyNumberFormat="1" applyFont="1" applyFill="1" applyBorder="1" applyAlignment="1">
      <alignment horizontal="center" vertical="top" wrapText="1"/>
    </xf>
    <xf numFmtId="49" fontId="0" fillId="0" borderId="0" xfId="0" applyNumberFormat="1" applyFont="1" applyFill="1" applyBorder="1" applyAlignment="1">
      <alignment horizontal="center" vertical="top" wrapText="1"/>
    </xf>
    <xf numFmtId="49" fontId="0" fillId="0" borderId="0" xfId="0" quotePrefix="1" applyNumberFormat="1" applyFont="1" applyFill="1" applyBorder="1" applyAlignment="1" applyProtection="1">
      <alignment horizontal="center" vertical="top" wrapText="1"/>
      <protection locked="0"/>
    </xf>
    <xf numFmtId="49" fontId="22" fillId="7" borderId="0" xfId="0" applyNumberFormat="1" applyFont="1" applyFill="1" applyAlignment="1">
      <alignment horizontal="left" vertical="center"/>
    </xf>
    <xf numFmtId="0" fontId="16" fillId="7" borderId="0" xfId="0" applyFont="1" applyFill="1" applyAlignment="1">
      <alignment horizontal="center" vertical="center"/>
    </xf>
    <xf numFmtId="0" fontId="20" fillId="7" borderId="0" xfId="0" applyFont="1" applyFill="1" applyAlignment="1">
      <alignment horizontal="center" vertical="center"/>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2" fillId="2" borderId="8"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13" fillId="0" borderId="0" xfId="0" applyFont="1" applyAlignment="1">
      <alignment horizontal="center" vertical="center" wrapText="1"/>
    </xf>
    <xf numFmtId="0" fontId="0" fillId="9" borderId="30" xfId="0" applyFont="1" applyFill="1" applyBorder="1" applyAlignment="1" applyProtection="1">
      <alignment horizontal="center" vertical="center" wrapText="1"/>
      <protection locked="0"/>
    </xf>
    <xf numFmtId="0" fontId="0" fillId="7" borderId="21" xfId="0" applyFont="1" applyFill="1" applyBorder="1" applyAlignment="1" applyProtection="1">
      <alignment horizontal="center" vertical="center"/>
    </xf>
    <xf numFmtId="0" fontId="0" fillId="7" borderId="35" xfId="0" applyFont="1" applyFill="1" applyBorder="1" applyAlignment="1" applyProtection="1">
      <alignment horizontal="center" vertical="center"/>
    </xf>
    <xf numFmtId="0" fontId="0" fillId="7" borderId="0" xfId="0" applyFont="1" applyFill="1" applyBorder="1" applyAlignment="1" applyProtection="1">
      <alignment horizontal="center" vertical="center"/>
    </xf>
    <xf numFmtId="0" fontId="0" fillId="7" borderId="30" xfId="0" applyFont="1" applyFill="1" applyBorder="1" applyAlignment="1" applyProtection="1">
      <alignment horizontal="center" vertical="center"/>
    </xf>
    <xf numFmtId="0" fontId="0" fillId="7" borderId="33" xfId="0" applyFont="1" applyFill="1" applyBorder="1" applyAlignment="1" applyProtection="1">
      <alignment horizontal="center" vertical="top"/>
    </xf>
    <xf numFmtId="0" fontId="0" fillId="7" borderId="34" xfId="0" applyFont="1" applyFill="1" applyBorder="1" applyAlignment="1" applyProtection="1">
      <alignment horizontal="center" vertical="top"/>
    </xf>
    <xf numFmtId="0" fontId="0" fillId="7" borderId="0" xfId="0" applyFont="1" applyFill="1" applyAlignment="1" applyProtection="1">
      <alignment horizontal="center" vertical="top"/>
      <protection locked="0"/>
    </xf>
    <xf numFmtId="0" fontId="0" fillId="7" borderId="33" xfId="0" applyFill="1" applyBorder="1" applyAlignment="1" applyProtection="1">
      <alignment horizontal="left" vertical="top"/>
    </xf>
    <xf numFmtId="0" fontId="0" fillId="7" borderId="34" xfId="0" applyFill="1" applyBorder="1" applyAlignment="1" applyProtection="1">
      <alignment horizontal="left" vertical="top"/>
    </xf>
    <xf numFmtId="0" fontId="18" fillId="7" borderId="34" xfId="0" applyFont="1" applyFill="1" applyBorder="1" applyAlignment="1" applyProtection="1">
      <alignment horizontal="left" vertical="top"/>
    </xf>
    <xf numFmtId="0" fontId="0" fillId="7" borderId="0" xfId="0" applyFill="1" applyAlignment="1" applyProtection="1">
      <alignment horizontal="center" vertical="top"/>
    </xf>
    <xf numFmtId="0" fontId="0" fillId="7" borderId="0" xfId="0" applyFill="1" applyAlignment="1" applyProtection="1">
      <alignment horizontal="center" vertical="top" wrapText="1"/>
    </xf>
    <xf numFmtId="0" fontId="18" fillId="7" borderId="0" xfId="0" applyFont="1" applyFill="1" applyAlignment="1" applyProtection="1">
      <alignment horizontal="center" vertical="top"/>
    </xf>
    <xf numFmtId="0" fontId="17" fillId="7" borderId="0" xfId="0" applyFont="1" applyFill="1" applyBorder="1" applyAlignment="1" applyProtection="1">
      <alignment horizontal="center" vertical="top"/>
      <protection locked="0"/>
    </xf>
    <xf numFmtId="0" fontId="11" fillId="7" borderId="0" xfId="0" applyFont="1" applyFill="1" applyBorder="1" applyAlignment="1" applyProtection="1">
      <alignment horizontal="center" vertical="top"/>
      <protection locked="0"/>
    </xf>
    <xf numFmtId="14" fontId="0" fillId="7" borderId="0" xfId="0" applyNumberFormat="1" applyFill="1" applyAlignment="1" applyProtection="1">
      <alignment horizontal="center" vertical="top"/>
    </xf>
    <xf numFmtId="14" fontId="0" fillId="7" borderId="0" xfId="0" applyNumberFormat="1" applyFill="1" applyBorder="1" applyAlignment="1" applyProtection="1">
      <alignment horizontal="center" vertical="top"/>
    </xf>
    <xf numFmtId="0" fontId="18" fillId="8" borderId="33" xfId="0" applyFont="1" applyFill="1" applyBorder="1" applyAlignment="1" applyProtection="1">
      <alignment horizontal="center" vertical="top"/>
    </xf>
    <xf numFmtId="14" fontId="18" fillId="7" borderId="0" xfId="0" applyNumberFormat="1" applyFont="1" applyFill="1" applyAlignment="1" applyProtection="1">
      <alignment horizontal="center" vertical="top"/>
    </xf>
    <xf numFmtId="0" fontId="2" fillId="7" borderId="0" xfId="0" applyFont="1" applyFill="1" applyAlignment="1" applyProtection="1">
      <alignment horizontal="center" vertical="top"/>
      <protection locked="0"/>
    </xf>
    <xf numFmtId="14" fontId="0" fillId="7" borderId="0" xfId="0" applyNumberFormat="1" applyFont="1" applyFill="1" applyAlignment="1" applyProtection="1">
      <alignment horizontal="center" vertical="top"/>
      <protection locked="0"/>
    </xf>
    <xf numFmtId="0" fontId="0" fillId="7" borderId="0" xfId="0" applyFont="1" applyFill="1" applyAlignment="1">
      <alignment horizontal="center" vertical="top"/>
    </xf>
    <xf numFmtId="0" fontId="30" fillId="7" borderId="0" xfId="0" applyFont="1" applyFill="1" applyAlignment="1" applyProtection="1">
      <alignment horizontal="center" vertical="top"/>
    </xf>
    <xf numFmtId="0" fontId="31" fillId="7" borderId="0" xfId="0" applyFont="1" applyFill="1" applyAlignment="1" applyProtection="1">
      <alignment horizontal="center" vertical="top"/>
    </xf>
    <xf numFmtId="0" fontId="30" fillId="7" borderId="0" xfId="0" applyFont="1" applyFill="1" applyAlignment="1" applyProtection="1">
      <alignment horizontal="center" vertical="top"/>
      <protection locked="0"/>
    </xf>
    <xf numFmtId="0" fontId="28" fillId="0" borderId="0" xfId="0" applyFont="1" applyFill="1" applyBorder="1" applyAlignment="1">
      <alignment horizontal="center" vertical="center" wrapText="1"/>
    </xf>
    <xf numFmtId="0" fontId="1" fillId="8" borderId="7" xfId="0" applyFont="1" applyFill="1" applyBorder="1" applyAlignment="1" applyProtection="1">
      <alignment horizontal="center" vertical="center"/>
    </xf>
    <xf numFmtId="0" fontId="1" fillId="8" borderId="31" xfId="0" applyFont="1" applyFill="1" applyBorder="1" applyAlignment="1" applyProtection="1">
      <alignment horizontal="center" vertical="center"/>
    </xf>
    <xf numFmtId="0" fontId="1" fillId="8" borderId="32" xfId="0" applyFont="1" applyFill="1" applyBorder="1" applyAlignment="1" applyProtection="1">
      <alignment horizontal="center" vertical="top"/>
    </xf>
    <xf numFmtId="0" fontId="30" fillId="7" borderId="0" xfId="0" applyFont="1" applyFill="1" applyAlignment="1" applyProtection="1">
      <alignment horizontal="left" vertical="top"/>
      <protection locked="0"/>
    </xf>
    <xf numFmtId="0" fontId="0" fillId="0" borderId="0" xfId="0" applyFont="1" applyAlignment="1">
      <alignment horizontal="center" vertical="center"/>
    </xf>
    <xf numFmtId="0" fontId="0" fillId="0" borderId="0" xfId="0" applyNumberFormat="1" applyFont="1" applyFill="1" applyBorder="1" applyAlignment="1" applyProtection="1">
      <alignment horizontal="center" vertical="center" wrapText="1"/>
    </xf>
  </cellXfs>
  <cellStyles count="1">
    <cellStyle name="Normal" xfId="0" builtinId="0"/>
  </cellStyles>
  <dxfs count="101">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outline="0">
        <left/>
        <right style="thin">
          <color indexed="64"/>
        </right>
        <top/>
        <bottom/>
      </border>
      <protection locked="0" hidden="0"/>
    </dxf>
    <dxf>
      <font>
        <strike val="0"/>
        <outline val="0"/>
        <shadow val="0"/>
        <u val="none"/>
        <vertAlign val="baseline"/>
        <sz val="11"/>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ill>
        <patternFill>
          <bgColor rgb="FFE4E4E4"/>
        </patternFill>
      </fill>
    </dxf>
    <dxf>
      <fill>
        <patternFill>
          <bgColor rgb="FFE4E4E4"/>
        </patternFill>
      </fill>
      <border>
        <vertical/>
        <horizontal style="thin">
          <color theme="0" tint="-0.499984740745262"/>
        </horizontal>
      </border>
    </dxf>
    <dxf>
      <font>
        <b/>
        <color theme="1"/>
      </font>
      <border>
        <top style="thin">
          <color theme="1"/>
        </top>
        <bottom/>
      </border>
    </dxf>
    <dxf>
      <font>
        <color theme="0"/>
      </font>
      <fill>
        <patternFill>
          <bgColor rgb="FF72A4EE"/>
        </patternFill>
      </fill>
      <border diagonalUp="0" diagonalDown="0">
        <left/>
        <right/>
        <top/>
        <bottom/>
        <vertical style="thin">
          <color theme="0"/>
        </vertical>
        <horizontal style="medium">
          <color theme="0"/>
        </horizontal>
      </border>
    </dxf>
    <dxf>
      <fill>
        <patternFill>
          <bgColor theme="0"/>
        </patternFill>
      </fill>
      <border diagonalUp="0" diagonalDown="0">
        <left/>
        <right/>
        <top/>
        <bottom/>
        <vertical/>
        <horizontal style="thin">
          <color theme="0" tint="-0.499984740745262"/>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color rgb="FFD04340"/>
      </font>
    </dxf>
    <dxf>
      <font>
        <b val="0"/>
        <i/>
        <color theme="0" tint="-0.49998474074526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5">
      <tableStyleElement type="wholeTable" dxfId="33"/>
      <tableStyleElement type="headerRow" dxfId="32"/>
      <tableStyleElement type="totalRow" dxfId="31"/>
      <tableStyleElement type="firstColumn" dxfId="30"/>
      <tableStyleElement type="firstRowStripe" dxfId="29"/>
    </tableStyle>
    <tableStyle name="TableStyleMedium16 2" pivot="0" count="7">
      <tableStyleElement type="wholeTable" dxfId="93"/>
      <tableStyleElement type="headerRow" dxfId="92"/>
      <tableStyleElement type="totalRow" dxfId="91"/>
      <tableStyleElement type="firstColumn" dxfId="90"/>
      <tableStyleElement type="lastColumn" dxfId="89"/>
      <tableStyleElement type="firstRowStripe" dxfId="88"/>
      <tableStyleElement type="firstColumnStripe" dxfId="87"/>
    </tableStyle>
    <tableStyle name="TableStyleMedium22 2" pivot="0" count="7">
      <tableStyleElement type="wholeTable" dxfId="86"/>
      <tableStyleElement type="headerRow" dxfId="85"/>
      <tableStyleElement type="totalRow" dxfId="84"/>
      <tableStyleElement type="firstColumn" dxfId="83"/>
      <tableStyleElement type="lastColumn" dxfId="82"/>
      <tableStyleElement type="firstRowStripe" dxfId="81"/>
      <tableStyleElement type="firstColumnStripe" dxfId="80"/>
    </tableStyle>
    <tableStyle name="TableStyleMedium23 2" pivot="0" count="8">
      <tableStyleElement type="wholeTable" dxfId="79"/>
      <tableStyleElement type="headerRow" dxfId="78"/>
      <tableStyleElement type="totalRow" dxfId="77"/>
      <tableStyleElement type="firstColumn" dxfId="76"/>
      <tableStyleElement type="lastColumn" dxfId="75"/>
      <tableStyleElement type="firstRowStripe" dxfId="74"/>
      <tableStyleElement type="firstColumnStripe" dxfId="73"/>
      <tableStyleElement type="secondColumnStripe" dxfId="72"/>
    </tableStyle>
  </tableStyles>
  <colors>
    <mruColors>
      <color rgb="FFE4E4E4"/>
      <color rgb="FFDCDCDC"/>
      <color rgb="FF72A4EE"/>
      <color rgb="FF397FE7"/>
      <color rgb="FFD58181"/>
      <color rgb="FFCAE8AA"/>
      <color rgb="FFB8E08C"/>
      <color rgb="FFCCFFCC"/>
      <color rgb="FFAFFF8F"/>
      <color rgb="FFB0FEB9"/>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oneCellAnchor>
    <xdr:from>
      <xdr:col>0</xdr:col>
      <xdr:colOff>452804</xdr:colOff>
      <xdr:row>0</xdr:row>
      <xdr:rowOff>0</xdr:rowOff>
    </xdr:from>
    <xdr:ext cx="5920080" cy="1150403"/>
    <xdr:grpSp>
      <xdr:nvGrpSpPr>
        <xdr:cNvPr id="2" name="Group 1"/>
        <xdr:cNvGrpSpPr>
          <a:grpSpLocks noChangeAspect="1"/>
        </xdr:cNvGrpSpPr>
      </xdr:nvGrpSpPr>
      <xdr:grpSpPr>
        <a:xfrm>
          <a:off x="4528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4</xdr:col>
          <xdr:colOff>0</xdr:colOff>
          <xdr:row>9</xdr:row>
          <xdr:rowOff>57150</xdr:rowOff>
        </xdr:from>
        <xdr:to>
          <xdr:col>6</xdr:col>
          <xdr:colOff>9525</xdr:colOff>
          <xdr:row>11</xdr:row>
          <xdr:rowOff>180975</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247650</xdr:rowOff>
        </xdr:from>
        <xdr:to>
          <xdr:col>3</xdr:col>
          <xdr:colOff>2400300</xdr:colOff>
          <xdr:row>1</xdr:row>
          <xdr:rowOff>571500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1</xdr:row>
          <xdr:rowOff>628650</xdr:rowOff>
        </xdr:from>
        <xdr:to>
          <xdr:col>3</xdr:col>
          <xdr:colOff>2400300</xdr:colOff>
          <xdr:row>2</xdr:row>
          <xdr:rowOff>133350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190500</xdr:rowOff>
        </xdr:from>
        <xdr:to>
          <xdr:col>3</xdr:col>
          <xdr:colOff>2400300</xdr:colOff>
          <xdr:row>2</xdr:row>
          <xdr:rowOff>514350</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xdr:row>
          <xdr:rowOff>581025</xdr:rowOff>
        </xdr:from>
        <xdr:to>
          <xdr:col>3</xdr:col>
          <xdr:colOff>2400300</xdr:colOff>
          <xdr:row>3</xdr:row>
          <xdr:rowOff>28575</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165100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733424</xdr:rowOff>
        </xdr:from>
        <xdr:to>
          <xdr:col>2</xdr:col>
          <xdr:colOff>1543050</xdr:colOff>
          <xdr:row>3</xdr:row>
          <xdr:rowOff>174624</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73025</xdr:colOff>
          <xdr:row>1</xdr:row>
          <xdr:rowOff>266700</xdr:rowOff>
        </xdr:from>
        <xdr:to>
          <xdr:col>2</xdr:col>
          <xdr:colOff>1787525</xdr:colOff>
          <xdr:row>1</xdr:row>
          <xdr:rowOff>647700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73025</xdr:colOff>
          <xdr:row>1</xdr:row>
          <xdr:rowOff>695325</xdr:rowOff>
        </xdr:from>
        <xdr:to>
          <xdr:col>2</xdr:col>
          <xdr:colOff>1787525</xdr:colOff>
          <xdr:row>2</xdr:row>
          <xdr:rowOff>257175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73025</xdr:colOff>
          <xdr:row>2</xdr:row>
          <xdr:rowOff>304800</xdr:rowOff>
        </xdr:from>
        <xdr:to>
          <xdr:col>2</xdr:col>
          <xdr:colOff>1787525</xdr:colOff>
          <xdr:row>2</xdr:row>
          <xdr:rowOff>685800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200025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352425</xdr:rowOff>
        </xdr:from>
        <xdr:to>
          <xdr:col>1</xdr:col>
          <xdr:colOff>654050</xdr:colOff>
          <xdr:row>2</xdr:row>
          <xdr:rowOff>669925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704850</xdr:rowOff>
        </xdr:from>
        <xdr:to>
          <xdr:col>1</xdr:col>
          <xdr:colOff>654050</xdr:colOff>
          <xdr:row>3</xdr:row>
          <xdr:rowOff>146050</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1</xdr:row>
          <xdr:rowOff>0</xdr:rowOff>
        </xdr:from>
        <xdr:to>
          <xdr:col>2</xdr:col>
          <xdr:colOff>1543050</xdr:colOff>
          <xdr:row>1</xdr:row>
          <xdr:rowOff>276225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247650</xdr:rowOff>
        </xdr:from>
        <xdr:to>
          <xdr:col>3</xdr:col>
          <xdr:colOff>2790825</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1</xdr:row>
          <xdr:rowOff>628650</xdr:rowOff>
        </xdr:from>
        <xdr:to>
          <xdr:col>3</xdr:col>
          <xdr:colOff>2790825</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190500</xdr:rowOff>
        </xdr:from>
        <xdr:to>
          <xdr:col>3</xdr:col>
          <xdr:colOff>2790825</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2476500</xdr:colOff>
          <xdr:row>2</xdr:row>
          <xdr:rowOff>581025</xdr:rowOff>
        </xdr:from>
        <xdr:to>
          <xdr:col>3</xdr:col>
          <xdr:colOff>2790825</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77" tableType="queryTable" totalsRowShown="0" headerRowDxfId="3" dataDxfId="2">
  <sortState ref="A6:AA1477">
    <sortCondition ref="A5:A1477"/>
  </sortState>
  <tableColumns count="27">
    <tableColumn id="17" uniqueName="17" name=" " queryTableFieldId="17" dataDxfId="0">
      <calculatedColumnFormula>IF(priority(Main[[#This Row],[Comments]])&lt;&gt;0, priority(Main[[#This Row],[Comments]]),"")</calculatedColumnFormula>
    </tableColumn>
    <tableColumn id="1" uniqueName="1" name="RTA" queryTableFieldId="1" dataDxfId="1"/>
    <tableColumn id="2" uniqueName="2" name="Customer" queryTableFieldId="2" dataDxfId="28"/>
    <tableColumn id="3" uniqueName="3" name="Description" queryTableFieldId="3" dataDxfId="27"/>
    <tableColumn id="4" uniqueName="4" name="Submitted" queryTableFieldId="4" dataDxfId="26"/>
    <tableColumn id="5" uniqueName="5" name="In Stock Date" queryTableFieldId="5" dataDxfId="25"/>
    <tableColumn id="19" uniqueName="19" name="Standard Production Lead Time" queryTableFieldId="19" dataDxfId="24">
      <calculatedColumnFormula>IF(stdProdLT(Main[[#This Row],[Comments]])=0.1,"N/A",IF(stdProdLT(Main[[#This Row],[Comments]])=0,"",stdProdLT(Main[[#This Row],[Comments]])))</calculatedColumnFormula>
    </tableColumn>
    <tableColumn id="18" uniqueName="18" name="Remaining Production Lead Time" queryTableFieldId="18" dataDxfId="23">
      <calculatedColumnFormula>IF(AND(Main[[#This Row],[In Stock Date]]&lt;&gt;"",Main[[#This Row],[Revised Due Date]]&lt;&gt;""),Main[[#This Row],[In Stock Date]]-Main[[#This Row],[Revised Due Date]],"")</calculatedColumnFormula>
    </tableColumn>
    <tableColumn id="6" uniqueName="6" name="Assigned To" queryTableFieldId="6" dataDxfId="22"/>
    <tableColumn id="7" uniqueName="7" name="Current Status" queryTableFieldId="7" dataDxfId="21"/>
    <tableColumn id="12" uniqueName="12" name="Class" queryTableFieldId="12" dataDxfId="20"/>
    <tableColumn id="9" uniqueName="9" name="Tech Start Date" queryTableFieldId="9" dataDxfId="19"/>
    <tableColumn id="22" uniqueName="22" name="Design" queryTableFieldId="23" dataDxfId="18">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7">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6">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5">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4"/>
    <tableColumn id="11" uniqueName="11" name="Revised Due Date" queryTableFieldId="11" dataDxfId="13"/>
    <tableColumn id="13" uniqueName="13" name="Type" queryTableFieldId="13" dataDxfId="12"/>
    <tableColumn id="14" uniqueName="14" name="Comments" queryTableFieldId="14" dataDxfId="11"/>
    <tableColumn id="15" uniqueName="15" name="State" queryTableFieldId="15" dataDxfId="10"/>
    <tableColumn id="8" uniqueName="8" name="Lab Office" queryTableFieldId="8" dataDxfId="9"/>
    <tableColumn id="16" uniqueName="16" name="Code" queryTableFieldId="16" dataDxfId="8"/>
    <tableColumn id="24" uniqueName="24" name="Submitted By" queryTableFieldId="29" dataDxfId="7"/>
    <tableColumn id="25" uniqueName="25" name="Requestor Email" queryTableFieldId="30" dataDxfId="6"/>
    <tableColumn id="27" uniqueName="27" name="Manager/Lead" queryTableFieldId="32" dataDxfId="5"/>
    <tableColumn id="26" uniqueName="26" name="Requestor Name" queryTableFieldId="33" dataDxfId="4"/>
  </tableColumns>
  <tableStyleInfo name="TableStyleLight1 2"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8" dataDxfId="67">
  <tableColumns count="1">
    <tableColumn id="1" uniqueName="1" name="Assigned To" queryTableFieldId="1" headerRowDxfId="66" dataDxfId="34"/>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65" dataDxfId="64">
  <tableColumns count="1">
    <tableColumn id="1" uniqueName="1" name="Assigned To" queryTableFieldId="1" headerRowDxfId="63" dataDxfId="35"/>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62" dataDxfId="61">
  <tableColumns count="1">
    <tableColumn id="1" uniqueName="1" name="Assigned To" queryTableFieldId="1" headerRowDxfId="60" dataDxfId="36"/>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59" dataDxfId="37"/>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58">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7" dataDxfId="56">
  <autoFilter ref="I28:I36"/>
  <sortState ref="I29:I36">
    <sortCondition ref="I2:I10"/>
  </sortState>
  <tableColumns count="1">
    <tableColumn id="1" uniqueName="1" name="State" queryTableFieldId="1" dataDxfId="38"/>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5">
  <autoFilter ref="J28:J35"/>
  <sortState ref="J29:J35">
    <sortCondition ref="J24:J31"/>
  </sortState>
  <tableColumns count="1">
    <tableColumn id="1" uniqueName="1" name="Code" queryTableFieldId="2" dataDxfId="39"/>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4" dataDxfId="53" tableBorderDxfId="52">
  <autoFilter ref="H28:H36"/>
  <tableColumns count="1">
    <tableColumn id="1" uniqueName="1" name="Type" queryTableFieldId="1" dataDxfId="40"/>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51">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50" dataDxfId="49">
  <tableColumns count="8">
    <tableColumn id="1" name="#" dataDxfId="48"/>
    <tableColumn id="2" name="RTA" dataDxfId="47"/>
    <tableColumn id="3" name="Customer" dataDxfId="46"/>
    <tableColumn id="4" name="Description" dataDxfId="45"/>
    <tableColumn id="5" name="Available In Stock" dataDxfId="44"/>
    <tableColumn id="11" name="Assigned To" dataDxfId="43"/>
    <tableColumn id="8" name="Status" dataDxfId="42"/>
    <tableColumn id="9" name="Tech Rev'd Due Date" dataDxfId="4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election activeCell="F22" sqref="F22"/>
    </sheetView>
  </sheetViews>
  <sheetFormatPr defaultRowHeight="15.95" customHeight="1"/>
  <cols>
    <col min="1" max="1" width="8.375" style="59" customWidth="1"/>
    <col min="2" max="2" width="8.375" style="60" customWidth="1"/>
    <col min="3" max="9" width="8.375" style="58" customWidth="1"/>
    <col min="10" max="10" width="9.75" style="58" customWidth="1"/>
    <col min="11" max="11" width="8.375" style="46" customWidth="1"/>
    <col min="12" max="16384" width="9" style="46"/>
  </cols>
  <sheetData>
    <row r="1" spans="1:11" ht="14.25">
      <c r="A1" s="46"/>
      <c r="B1" s="46"/>
      <c r="C1" s="46"/>
      <c r="D1" s="46"/>
      <c r="E1" s="46"/>
      <c r="F1" s="46"/>
      <c r="G1" s="46"/>
      <c r="H1" s="46"/>
      <c r="I1" s="46"/>
      <c r="J1" s="46"/>
    </row>
    <row r="2" spans="1:11" ht="14.25">
      <c r="A2" s="46"/>
      <c r="B2" s="78" t="s">
        <v>2067</v>
      </c>
      <c r="C2" s="78"/>
      <c r="D2" s="78"/>
      <c r="E2" s="78"/>
      <c r="F2" s="78"/>
      <c r="G2" s="78"/>
      <c r="H2" s="78"/>
      <c r="I2" s="78"/>
      <c r="J2" s="78"/>
    </row>
    <row r="3" spans="1:11" ht="14.25">
      <c r="A3" s="46"/>
      <c r="B3" s="78"/>
      <c r="C3" s="78"/>
      <c r="D3" s="78"/>
      <c r="E3" s="78"/>
      <c r="F3" s="78"/>
      <c r="G3" s="78"/>
      <c r="H3" s="78"/>
      <c r="I3" s="78"/>
      <c r="J3" s="78"/>
    </row>
    <row r="4" spans="1:11" ht="15" customHeight="1">
      <c r="A4" s="46"/>
      <c r="B4" s="78"/>
      <c r="C4" s="78"/>
      <c r="D4" s="78"/>
      <c r="E4" s="78"/>
      <c r="F4" s="78"/>
      <c r="G4" s="78"/>
      <c r="H4" s="78"/>
      <c r="I4" s="78"/>
      <c r="J4" s="78"/>
    </row>
    <row r="5" spans="1:11" ht="14.25" customHeight="1">
      <c r="A5" s="46"/>
      <c r="B5" s="78"/>
      <c r="C5" s="78"/>
      <c r="D5" s="78"/>
      <c r="E5" s="78"/>
      <c r="F5" s="78"/>
      <c r="G5" s="78"/>
      <c r="H5" s="78"/>
      <c r="I5" s="78"/>
      <c r="J5" s="78"/>
    </row>
    <row r="6" spans="1:11" ht="14.25" customHeight="1">
      <c r="A6" s="46"/>
      <c r="B6" s="78"/>
      <c r="C6" s="78"/>
      <c r="D6" s="78"/>
      <c r="E6" s="78"/>
      <c r="F6" s="78"/>
      <c r="G6" s="78"/>
      <c r="H6" s="78"/>
      <c r="I6" s="78"/>
      <c r="J6" s="78"/>
    </row>
    <row r="7" spans="1:11" ht="80.25" customHeight="1">
      <c r="A7" s="46"/>
      <c r="B7" s="79" t="s">
        <v>2041</v>
      </c>
      <c r="C7" s="79"/>
      <c r="D7" s="79"/>
      <c r="E7" s="79"/>
      <c r="F7" s="79"/>
      <c r="G7" s="79"/>
      <c r="H7" s="79"/>
      <c r="I7" s="79"/>
      <c r="J7" s="49"/>
      <c r="K7" s="49"/>
    </row>
    <row r="8" spans="1:11" ht="20.25" customHeight="1">
      <c r="A8" s="46"/>
      <c r="B8" s="50"/>
      <c r="C8" s="50"/>
      <c r="D8" s="50"/>
      <c r="E8" s="50"/>
      <c r="F8" s="50"/>
      <c r="G8" s="50"/>
      <c r="H8" s="50"/>
      <c r="I8" s="50"/>
      <c r="J8" s="49"/>
      <c r="K8" s="49"/>
    </row>
    <row r="9" spans="1:11" ht="15.95" customHeight="1">
      <c r="K9" s="48"/>
    </row>
    <row r="10" spans="1:11" s="52" customFormat="1" ht="15.95" customHeight="1">
      <c r="A10" s="59"/>
      <c r="B10" s="60"/>
      <c r="C10" s="58"/>
      <c r="D10" s="58"/>
      <c r="E10" s="58"/>
      <c r="F10" s="58"/>
      <c r="G10" s="58"/>
      <c r="H10" s="58"/>
      <c r="I10" s="58"/>
      <c r="J10" s="58"/>
      <c r="K10" s="51"/>
    </row>
    <row r="11" spans="1:11" s="54" customFormat="1" ht="15.95" customHeight="1">
      <c r="A11" s="59"/>
      <c r="B11" s="60"/>
      <c r="C11" s="58"/>
      <c r="D11" s="58"/>
      <c r="E11" s="58"/>
      <c r="F11" s="58"/>
      <c r="G11" s="58"/>
      <c r="H11" s="58"/>
      <c r="I11" s="58"/>
      <c r="J11" s="58"/>
      <c r="K11" s="53"/>
    </row>
    <row r="12" spans="1:11" s="52" customFormat="1" ht="15.95" customHeight="1">
      <c r="A12" s="59"/>
      <c r="B12" s="60"/>
      <c r="C12" s="58"/>
      <c r="D12" s="58"/>
      <c r="E12" s="58"/>
      <c r="F12" s="58"/>
      <c r="G12" s="58"/>
      <c r="H12" s="58"/>
      <c r="I12" s="58"/>
      <c r="J12" s="58"/>
      <c r="K12" s="51"/>
    </row>
    <row r="13" spans="1:11" s="52" customFormat="1" ht="15.95" customHeight="1">
      <c r="A13" s="59"/>
      <c r="B13" s="60"/>
      <c r="C13" s="58"/>
      <c r="D13" s="58"/>
      <c r="E13" s="58"/>
      <c r="F13" s="58"/>
      <c r="G13" s="58"/>
      <c r="H13" s="58"/>
      <c r="I13" s="58"/>
      <c r="J13" s="58"/>
      <c r="K13" s="51"/>
    </row>
    <row r="14" spans="1:11" s="56" customFormat="1" ht="15.95" customHeight="1">
      <c r="A14" s="59"/>
      <c r="B14" s="60"/>
      <c r="C14" s="58"/>
      <c r="D14" s="58"/>
      <c r="E14" s="58"/>
      <c r="F14" s="58"/>
      <c r="G14" s="58"/>
      <c r="H14" s="58"/>
      <c r="I14" s="58"/>
      <c r="J14" s="58"/>
      <c r="K14" s="55"/>
    </row>
    <row r="15" spans="1:11" s="56" customFormat="1" ht="15.95" customHeight="1">
      <c r="A15" s="59"/>
      <c r="B15" s="60"/>
      <c r="C15" s="58"/>
      <c r="D15" s="58"/>
      <c r="E15" s="58"/>
      <c r="F15" s="58"/>
      <c r="G15" s="58"/>
      <c r="H15" s="58"/>
      <c r="I15" s="58"/>
      <c r="J15" s="58"/>
      <c r="K15" s="55"/>
    </row>
    <row r="16" spans="1:11" s="56" customFormat="1" ht="15.95" customHeight="1">
      <c r="A16" s="59"/>
      <c r="B16" s="60"/>
      <c r="C16" s="58"/>
      <c r="D16" s="58"/>
      <c r="E16" s="58"/>
      <c r="F16" s="58"/>
      <c r="G16" s="58"/>
      <c r="H16" s="58"/>
      <c r="I16" s="58"/>
      <c r="J16" s="58"/>
      <c r="K16" s="55"/>
    </row>
    <row r="17" spans="1:27" s="52" customFormat="1" ht="15.95" customHeight="1">
      <c r="A17" s="59"/>
      <c r="B17" s="60"/>
      <c r="C17" s="58"/>
      <c r="D17" s="58"/>
      <c r="E17" s="58"/>
      <c r="F17" s="58"/>
      <c r="G17" s="58"/>
      <c r="H17" s="58"/>
      <c r="I17" s="58"/>
      <c r="J17" s="58"/>
      <c r="K17" s="57"/>
    </row>
    <row r="18" spans="1:27" s="52" customFormat="1" ht="15.95" customHeight="1">
      <c r="A18" s="59"/>
      <c r="B18" s="60"/>
      <c r="C18" s="58"/>
      <c r="D18" s="58"/>
      <c r="E18" s="58"/>
      <c r="F18" s="58"/>
      <c r="G18" s="58"/>
      <c r="H18" s="58"/>
      <c r="I18" s="58"/>
      <c r="J18" s="58"/>
    </row>
    <row r="19" spans="1:27" s="52" customFormat="1" ht="15.95" customHeight="1">
      <c r="A19" s="59"/>
      <c r="B19" s="60"/>
      <c r="C19" s="58"/>
      <c r="D19" s="58"/>
      <c r="E19" s="58"/>
      <c r="F19" s="58"/>
      <c r="G19" s="58"/>
      <c r="H19" s="58"/>
      <c r="I19" s="58"/>
      <c r="J19" s="58"/>
    </row>
    <row r="20" spans="1:27" s="52" customFormat="1" ht="15.95" customHeight="1">
      <c r="A20" s="59"/>
      <c r="B20" s="60"/>
      <c r="C20" s="58"/>
      <c r="D20" s="58"/>
      <c r="E20" s="58"/>
      <c r="F20" s="58"/>
      <c r="G20" s="58"/>
      <c r="H20" s="58"/>
      <c r="I20" s="58"/>
      <c r="J20" s="58"/>
    </row>
    <row r="21" spans="1:27" s="52" customFormat="1" ht="15.95" customHeight="1">
      <c r="A21" s="59"/>
      <c r="B21" s="60"/>
      <c r="C21" s="58"/>
      <c r="D21" s="58"/>
      <c r="E21" s="58"/>
      <c r="F21" s="58"/>
      <c r="G21" s="58"/>
      <c r="H21" s="58"/>
      <c r="I21" s="58"/>
      <c r="J21" s="58"/>
    </row>
    <row r="22" spans="1:27" s="52" customFormat="1" ht="15.95" customHeight="1">
      <c r="A22" s="59"/>
      <c r="B22" s="60"/>
      <c r="C22" s="58"/>
      <c r="D22" s="58"/>
      <c r="E22" s="58"/>
      <c r="F22" s="58"/>
      <c r="G22" s="58"/>
      <c r="H22" s="58"/>
      <c r="I22" s="58"/>
      <c r="J22" s="58"/>
    </row>
    <row r="23" spans="1:27" s="52" customFormat="1" ht="15.95" customHeight="1">
      <c r="A23" s="59"/>
      <c r="B23" s="60"/>
      <c r="C23" s="58"/>
      <c r="D23" s="58"/>
      <c r="E23" s="58"/>
      <c r="F23" s="58"/>
      <c r="G23" s="58"/>
      <c r="H23" s="58"/>
      <c r="I23" s="58"/>
      <c r="J23" s="58"/>
    </row>
    <row r="24" spans="1:27" s="52" customFormat="1" ht="15.95" customHeight="1">
      <c r="A24" s="59"/>
      <c r="B24" s="60"/>
      <c r="C24" s="58"/>
      <c r="D24" s="58"/>
      <c r="E24" s="58"/>
      <c r="F24" s="58"/>
      <c r="G24" s="58"/>
      <c r="H24" s="58"/>
      <c r="I24" s="58"/>
      <c r="J24" s="58"/>
    </row>
    <row r="25" spans="1:27" s="52" customFormat="1" ht="15.95" customHeight="1">
      <c r="A25" s="59"/>
      <c r="B25" s="60"/>
      <c r="C25" s="58"/>
      <c r="D25" s="58"/>
      <c r="E25" s="58"/>
      <c r="F25" s="58"/>
      <c r="G25" s="58"/>
      <c r="H25" s="58"/>
      <c r="I25" s="58"/>
      <c r="J25" s="58"/>
    </row>
    <row r="26" spans="1:27" s="52" customFormat="1" ht="15.95" customHeight="1">
      <c r="A26" s="59"/>
      <c r="B26" s="60"/>
      <c r="C26" s="58"/>
      <c r="D26" s="58"/>
      <c r="E26" s="58"/>
      <c r="F26" s="58"/>
      <c r="G26" s="58"/>
      <c r="H26" s="58"/>
      <c r="I26" s="58"/>
      <c r="J26" s="58"/>
    </row>
    <row r="27" spans="1:27" s="52" customFormat="1" ht="15.95" customHeight="1">
      <c r="A27" s="59"/>
      <c r="B27" s="60"/>
      <c r="C27" s="58"/>
      <c r="D27" s="58"/>
      <c r="E27" s="58"/>
      <c r="F27" s="58"/>
      <c r="G27" s="58"/>
      <c r="H27" s="58"/>
      <c r="I27" s="58"/>
      <c r="J27" s="58"/>
    </row>
    <row r="28" spans="1:27" s="52" customFormat="1" ht="15.95" customHeight="1">
      <c r="A28" s="59"/>
      <c r="B28" s="60"/>
      <c r="C28" s="58"/>
      <c r="D28" s="58"/>
      <c r="E28" s="58"/>
      <c r="F28" s="58"/>
      <c r="G28" s="58"/>
      <c r="H28" s="58"/>
      <c r="I28" s="58"/>
      <c r="J28" s="58"/>
    </row>
    <row r="29" spans="1:27" s="52" customFormat="1" ht="15.95" customHeight="1">
      <c r="A29" s="59"/>
      <c r="B29" s="60"/>
      <c r="C29" s="58"/>
      <c r="D29" s="58"/>
      <c r="E29" s="58"/>
      <c r="F29" s="58"/>
      <c r="G29" s="58"/>
      <c r="H29" s="58"/>
      <c r="I29" s="58"/>
      <c r="J29" s="58"/>
      <c r="R29" s="77"/>
      <c r="S29" s="77"/>
      <c r="T29" s="77"/>
      <c r="U29" s="77"/>
      <c r="V29" s="77"/>
      <c r="W29" s="77"/>
      <c r="X29" s="77"/>
      <c r="Y29" s="77"/>
      <c r="Z29" s="77"/>
      <c r="AA29" s="77"/>
    </row>
    <row r="30" spans="1:27" s="52" customFormat="1" ht="15.95" customHeight="1">
      <c r="A30" s="59"/>
      <c r="B30" s="60"/>
      <c r="C30" s="58"/>
      <c r="D30" s="58"/>
      <c r="E30" s="58"/>
      <c r="F30" s="58"/>
      <c r="G30" s="58"/>
      <c r="H30" s="58"/>
      <c r="I30" s="58"/>
      <c r="J30" s="58"/>
    </row>
    <row r="31" spans="1:27" s="52" customFormat="1" ht="15.95" customHeight="1">
      <c r="A31" s="59"/>
      <c r="B31" s="60"/>
      <c r="C31" s="58"/>
      <c r="D31" s="58"/>
      <c r="E31" s="58"/>
      <c r="F31" s="58"/>
      <c r="G31" s="58"/>
      <c r="H31" s="58"/>
      <c r="I31" s="58"/>
      <c r="J31" s="58"/>
    </row>
    <row r="32" spans="1:27" s="52" customFormat="1" ht="15.95" customHeight="1">
      <c r="A32" s="59"/>
      <c r="B32" s="60"/>
      <c r="C32" s="58"/>
      <c r="D32" s="58"/>
      <c r="E32" s="58"/>
      <c r="F32" s="58"/>
      <c r="G32" s="58"/>
      <c r="H32" s="58"/>
      <c r="I32" s="58"/>
      <c r="J32" s="58"/>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4</xdr:col>
                <xdr:colOff>0</xdr:colOff>
                <xdr:row>9</xdr:row>
                <xdr:rowOff>57150</xdr:rowOff>
              </from>
              <to>
                <xdr:col>6</xdr:col>
                <xdr:colOff>9525</xdr:colOff>
                <xdr:row>11</xdr:row>
                <xdr:rowOff>180975</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247650</xdr:colOff>
                <xdr:row>4</xdr:row>
                <xdr:rowOff>133350</xdr:rowOff>
              </from>
              <to>
                <xdr:col>9</xdr:col>
                <xdr:colOff>466725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sheetPr>
  <dimension ref="A1:AJ1477"/>
  <sheetViews>
    <sheetView showGridLines="0"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7.45" customHeight="1"/>
  <cols>
    <col min="1" max="1" width="6.75" style="45" customWidth="1"/>
    <col min="2" max="2" width="10.125" style="45" customWidth="1"/>
    <col min="3" max="3" width="24.875" style="106" customWidth="1"/>
    <col min="4" max="4" width="38.5" style="129" customWidth="1"/>
    <col min="5" max="5" width="11.375" style="106" hidden="1" customWidth="1"/>
    <col min="6" max="6" width="9.875" style="124" customWidth="1"/>
    <col min="7" max="8" width="9.125" style="124" customWidth="1"/>
    <col min="9" max="9" width="21.75" style="106" customWidth="1"/>
    <col min="10" max="10" width="19" style="106" customWidth="1"/>
    <col min="11" max="11" width="6.25" style="106" hidden="1" customWidth="1"/>
    <col min="12" max="12" width="10.5" style="120" hidden="1" customWidth="1"/>
    <col min="13" max="16" width="13.5" style="120" hidden="1" customWidth="1"/>
    <col min="17" max="17" width="12.5" style="121" hidden="1" customWidth="1"/>
    <col min="18" max="18" width="12.75" style="120" customWidth="1"/>
    <col min="19" max="19" width="17.375" style="106" hidden="1" customWidth="1"/>
    <col min="20" max="20" width="31" style="106" hidden="1" customWidth="1"/>
    <col min="21" max="21" width="13.375" style="106" hidden="1" customWidth="1"/>
    <col min="22" max="22" width="11.5" style="106" hidden="1" customWidth="1"/>
    <col min="23" max="23" width="6.375" style="106" hidden="1" customWidth="1"/>
    <col min="24" max="28" width="24.875" style="106" hidden="1" customWidth="1"/>
    <col min="29" max="29" width="13.875" style="106" hidden="1" customWidth="1"/>
    <col min="30" max="30" width="5.875" style="106" hidden="1" customWidth="1"/>
    <col min="31" max="31" width="7.75" style="106" hidden="1" customWidth="1"/>
    <col min="32" max="32" width="5.75" style="106" hidden="1" customWidth="1"/>
    <col min="33" max="33" width="22.375" style="106" hidden="1" customWidth="1"/>
    <col min="34" max="36" width="9" style="106" hidden="1" customWidth="1"/>
    <col min="37" max="16384" width="9" style="106"/>
  </cols>
  <sheetData>
    <row r="1" spans="1:35" s="110" customFormat="1" ht="18" customHeight="1">
      <c r="A1" s="126" t="s">
        <v>3177</v>
      </c>
      <c r="B1" s="127"/>
      <c r="C1" s="128" t="s">
        <v>2677</v>
      </c>
      <c r="D1" s="107"/>
      <c r="F1" s="122"/>
      <c r="G1" s="122"/>
      <c r="H1" s="122"/>
      <c r="L1" s="115"/>
      <c r="M1" s="115"/>
      <c r="N1" s="115"/>
      <c r="O1" s="115"/>
      <c r="P1" s="115"/>
      <c r="Q1" s="115"/>
    </row>
    <row r="2" spans="1:35" s="110" customFormat="1" ht="64.5" customHeight="1">
      <c r="A2" s="100"/>
      <c r="B2" s="101"/>
      <c r="C2" s="104"/>
      <c r="D2" s="108"/>
      <c r="F2" s="122"/>
      <c r="G2" s="122"/>
      <c r="H2" s="122"/>
      <c r="L2" s="115"/>
      <c r="M2" s="115"/>
      <c r="N2" s="115"/>
      <c r="O2" s="115"/>
      <c r="P2" s="115"/>
      <c r="Q2" s="115"/>
    </row>
    <row r="3" spans="1:35" s="110" customFormat="1" ht="69" customHeight="1">
      <c r="A3" s="102"/>
      <c r="B3" s="103"/>
      <c r="C3" s="105"/>
      <c r="D3" s="108"/>
      <c r="F3" s="122"/>
      <c r="G3" s="122"/>
      <c r="H3" s="122"/>
      <c r="I3" s="111" t="s">
        <v>3490</v>
      </c>
      <c r="L3" s="115"/>
      <c r="M3" s="116"/>
      <c r="N3" s="115"/>
      <c r="O3" s="115"/>
      <c r="P3" s="115"/>
      <c r="Q3" s="115"/>
    </row>
    <row r="4" spans="1:35" s="112" customFormat="1" ht="18" customHeight="1">
      <c r="A4" s="102"/>
      <c r="B4" s="103"/>
      <c r="C4" s="105"/>
      <c r="D4" s="109"/>
      <c r="F4" s="123"/>
      <c r="G4" s="123"/>
      <c r="H4" s="123"/>
      <c r="I4" s="117"/>
      <c r="L4" s="118"/>
      <c r="M4" s="118"/>
      <c r="N4" s="118"/>
      <c r="O4" s="118"/>
      <c r="P4" s="118"/>
      <c r="Q4" s="118"/>
    </row>
    <row r="5" spans="1:35" s="114" customFormat="1" ht="46.5" customHeight="1">
      <c r="A5" s="12" t="s">
        <v>86</v>
      </c>
      <c r="B5" s="130" t="s">
        <v>965</v>
      </c>
      <c r="C5" s="12" t="s">
        <v>1004</v>
      </c>
      <c r="D5" s="12" t="s">
        <v>0</v>
      </c>
      <c r="E5" s="12" t="s">
        <v>7</v>
      </c>
      <c r="F5" s="12" t="s">
        <v>1005</v>
      </c>
      <c r="G5" s="125" t="s">
        <v>1964</v>
      </c>
      <c r="H5" s="125" t="s">
        <v>1965</v>
      </c>
      <c r="I5" s="12" t="s">
        <v>1916</v>
      </c>
      <c r="J5" s="12" t="s">
        <v>1006</v>
      </c>
      <c r="K5" s="12" t="s">
        <v>968</v>
      </c>
      <c r="L5" s="12" t="s">
        <v>1007</v>
      </c>
      <c r="M5" s="62" t="s">
        <v>966</v>
      </c>
      <c r="N5" s="62" t="s">
        <v>967</v>
      </c>
      <c r="O5" s="62" t="s">
        <v>979</v>
      </c>
      <c r="P5" s="62" t="s">
        <v>980</v>
      </c>
      <c r="Q5" s="12" t="s">
        <v>1008</v>
      </c>
      <c r="R5" s="12" t="s">
        <v>1915</v>
      </c>
      <c r="S5" s="12" t="s">
        <v>969</v>
      </c>
      <c r="T5" s="12" t="s">
        <v>2</v>
      </c>
      <c r="U5" s="12" t="s">
        <v>3</v>
      </c>
      <c r="V5" s="12" t="s">
        <v>1</v>
      </c>
      <c r="W5" s="12" t="s">
        <v>1009</v>
      </c>
      <c r="X5" s="12" t="s">
        <v>2820</v>
      </c>
      <c r="Y5" s="12" t="s">
        <v>2932</v>
      </c>
      <c r="Z5" s="12" t="s">
        <v>3167</v>
      </c>
      <c r="AA5" s="12" t="s">
        <v>3383</v>
      </c>
      <c r="AB5" s="113"/>
      <c r="AC5" s="113"/>
      <c r="AD5" s="113"/>
      <c r="AE5" s="113"/>
      <c r="AF5" s="113"/>
      <c r="AG5" s="113"/>
      <c r="AH5" s="113"/>
      <c r="AI5" s="113"/>
    </row>
    <row r="6" spans="1:35" ht="17.45" customHeight="1">
      <c r="A6" s="131">
        <f>IF(priority(Main[[#This Row],[Comments]])&lt;&gt;0, priority(Main[[#This Row],[Comments]]),"")</f>
        <v>1</v>
      </c>
      <c r="B6" s="99" t="s">
        <v>1171</v>
      </c>
      <c r="C6" s="65" t="s">
        <v>137</v>
      </c>
      <c r="D6" s="66" t="s">
        <v>224</v>
      </c>
      <c r="E6" s="67"/>
      <c r="F6" s="67">
        <v>40770</v>
      </c>
      <c r="G6" s="64" t="str">
        <f>IF(stdProdLT(Main[[#This Row],[Comments]])=0.1,"N/A",IF(stdProdLT(Main[[#This Row],[Comments]])=0,"",stdProdLT(Main[[#This Row],[Comments]])))</f>
        <v/>
      </c>
      <c r="H6" s="68" t="str">
        <f>IF(AND(Main[[#This Row],[In Stock Date]]&lt;&gt;"",Main[[#This Row],[Revised Due Date]]&lt;&gt;""),Main[[#This Row],[In Stock Date]]-Main[[#This Row],[Revised Due Date]],"")</f>
        <v/>
      </c>
      <c r="I6" s="65" t="s">
        <v>4</v>
      </c>
      <c r="J6" s="65" t="s">
        <v>28</v>
      </c>
      <c r="K6" s="65" t="s">
        <v>1929</v>
      </c>
      <c r="L6" s="67"/>
      <c r="M6" s="69" t="str">
        <f>IF(Main[[#This Row],[Tech Start Date]]&lt;1/1/1990,"",IF(Main[[#This Row],[Class]]="C",WORKDAY(Main[[#This Row],[Tech Start Date]],9),IF(Main[[#This Row],[Class]]="B", WORKDAY(Main[[#This Row],[Tech Start Date]],6),IF(Main[[#This Row],[Class]]="A",WORKDAY(Main[[#This Row],[Tech Start Date]],2),""))))</f>
        <v/>
      </c>
      <c r="N6" s="69" t="str">
        <f>IF(Main[[#This Row],[Tech Start Date]]&lt;1/1/1990,"",IF(Main[[#This Row],[Class]]="C",WORKDAY(Main[[#This Row],[Tech Start Date]],19),IF(Main[[#This Row],[Class]]="B", WORKDAY(Main[[#This Row],[Tech Start Date]],12),IF(Main[[#This Row],[Class]]="A",WORKDAY(Main[[#This Row],[Tech Start Date]],4),""))))</f>
        <v/>
      </c>
      <c r="O6" s="69" t="str">
        <f>IF(Main[[#This Row],[Tech Start Date]]&lt;1/1/1990,"",IF(Main[[#This Row],[Class]]="C",WORKDAY(Main[[#This Row],[Tech Start Date]],23),IF(Main[[#This Row],[Class]]="B", WORKDAY(Main[[#This Row],[Tech Start Date]],15),IF(Main[[#This Row],[Class]]="A",WORKDAY(Main[[#This Row],[Tech Start Date]],5),""))))</f>
        <v/>
      </c>
      <c r="P6" s="69" t="str">
        <f>IF(Main[[#This Row],[Tech Start Date]]&lt;1/1/1990,"",IF(Main[[#This Row],[Class]]="C",WORKDAY(Main[[#This Row],[Tech Start Date]],28),IF(Main[[#This Row],[Class]]="B", WORKDAY(Main[[#This Row],[Tech Start Date]],19),IF(Main[[#This Row],[Class]]="A",WORKDAY(Main[[#This Row],[Tech Start Date]],9),""))))</f>
        <v/>
      </c>
      <c r="Q6" s="67">
        <v>40585</v>
      </c>
      <c r="R6" s="67"/>
      <c r="S6" s="65" t="s">
        <v>11</v>
      </c>
      <c r="T6" s="70" t="s">
        <v>225</v>
      </c>
      <c r="U6" s="65" t="s">
        <v>14</v>
      </c>
      <c r="V6" s="65" t="s">
        <v>1918</v>
      </c>
      <c r="W6" s="65" t="s">
        <v>1922</v>
      </c>
      <c r="X6" s="65" t="s">
        <v>2845</v>
      </c>
      <c r="Y6" s="65" t="s">
        <v>3014</v>
      </c>
      <c r="Z6" s="65" t="s">
        <v>129</v>
      </c>
      <c r="AA6" s="65" t="s">
        <v>2845</v>
      </c>
    </row>
    <row r="7" spans="1:35" ht="17.45" customHeight="1">
      <c r="A7" s="131">
        <f>IF(priority(Main[[#This Row],[Comments]])&lt;&gt;0, priority(Main[[#This Row],[Comments]]),"")</f>
        <v>1</v>
      </c>
      <c r="B7" s="99" t="s">
        <v>3225</v>
      </c>
      <c r="C7" s="65" t="s">
        <v>72</v>
      </c>
      <c r="D7" s="66" t="s">
        <v>240</v>
      </c>
      <c r="E7" s="67">
        <v>40461.111585648148</v>
      </c>
      <c r="F7" s="67"/>
      <c r="G7" s="64" t="str">
        <f>IF(stdProdLT(Main[[#This Row],[Comments]])=0.1,"N/A",IF(stdProdLT(Main[[#This Row],[Comments]])=0,"",stdProdLT(Main[[#This Row],[Comments]])))</f>
        <v/>
      </c>
      <c r="H7" s="68" t="str">
        <f>IF(AND(Main[[#This Row],[In Stock Date]]&lt;&gt;"",Main[[#This Row],[Revised Due Date]]&lt;&gt;""),Main[[#This Row],[In Stock Date]]-Main[[#This Row],[Revised Due Date]],"")</f>
        <v/>
      </c>
      <c r="I7" s="65" t="s">
        <v>74</v>
      </c>
      <c r="J7" s="65" t="s">
        <v>4</v>
      </c>
      <c r="K7" s="65" t="s">
        <v>1929</v>
      </c>
      <c r="L7" s="67"/>
      <c r="M7" s="69" t="str">
        <f>IF(Main[[#This Row],[Tech Start Date]]&lt;1/1/1990,"",IF(Main[[#This Row],[Class]]="C",WORKDAY(Main[[#This Row],[Tech Start Date]],9),IF(Main[[#This Row],[Class]]="B", WORKDAY(Main[[#This Row],[Tech Start Date]],6),IF(Main[[#This Row],[Class]]="A",WORKDAY(Main[[#This Row],[Tech Start Date]],2),""))))</f>
        <v/>
      </c>
      <c r="N7" s="69" t="str">
        <f>IF(Main[[#This Row],[Tech Start Date]]&lt;1/1/1990,"",IF(Main[[#This Row],[Class]]="C",WORKDAY(Main[[#This Row],[Tech Start Date]],19),IF(Main[[#This Row],[Class]]="B", WORKDAY(Main[[#This Row],[Tech Start Date]],12),IF(Main[[#This Row],[Class]]="A",WORKDAY(Main[[#This Row],[Tech Start Date]],4),""))))</f>
        <v/>
      </c>
      <c r="O7" s="69" t="str">
        <f>IF(Main[[#This Row],[Tech Start Date]]&lt;1/1/1990,"",IF(Main[[#This Row],[Class]]="C",WORKDAY(Main[[#This Row],[Tech Start Date]],23),IF(Main[[#This Row],[Class]]="B", WORKDAY(Main[[#This Row],[Tech Start Date]],15),IF(Main[[#This Row],[Class]]="A",WORKDAY(Main[[#This Row],[Tech Start Date]],5),""))))</f>
        <v/>
      </c>
      <c r="P7" s="69" t="str">
        <f>IF(Main[[#This Row],[Tech Start Date]]&lt;1/1/1990,"",IF(Main[[#This Row],[Class]]="C",WORKDAY(Main[[#This Row],[Tech Start Date]],28),IF(Main[[#This Row],[Class]]="B", WORKDAY(Main[[#This Row],[Tech Start Date]],19),IF(Main[[#This Row],[Class]]="A",WORKDAY(Main[[#This Row],[Tech Start Date]],9),""))))</f>
        <v/>
      </c>
      <c r="Q7" s="67"/>
      <c r="R7" s="67">
        <v>40836</v>
      </c>
      <c r="S7" s="65" t="s">
        <v>17</v>
      </c>
      <c r="T7" s="70" t="s">
        <v>241</v>
      </c>
      <c r="U7" s="65" t="s">
        <v>29</v>
      </c>
      <c r="V7" s="65" t="s">
        <v>1920</v>
      </c>
      <c r="W7" s="65" t="s">
        <v>1925</v>
      </c>
      <c r="X7" s="65" t="s">
        <v>2853</v>
      </c>
      <c r="Y7" s="65" t="s">
        <v>2984</v>
      </c>
      <c r="Z7" s="65" t="s">
        <v>415</v>
      </c>
      <c r="AA7" s="65" t="s">
        <v>2853</v>
      </c>
    </row>
    <row r="8" spans="1:35" ht="17.45" customHeight="1">
      <c r="A8" s="131">
        <f>IF(priority(Main[[#This Row],[Comments]])&lt;&gt;0, priority(Main[[#This Row],[Comments]]),"")</f>
        <v>1</v>
      </c>
      <c r="B8" s="99" t="s">
        <v>1047</v>
      </c>
      <c r="C8" s="65" t="s">
        <v>72</v>
      </c>
      <c r="D8" s="66" t="s">
        <v>73</v>
      </c>
      <c r="E8" s="67">
        <v>40461.12232638889</v>
      </c>
      <c r="F8" s="67"/>
      <c r="G8" s="64" t="str">
        <f>IF(stdProdLT(Main[[#This Row],[Comments]])=0.1,"N/A",IF(stdProdLT(Main[[#This Row],[Comments]])=0,"",stdProdLT(Main[[#This Row],[Comments]])))</f>
        <v/>
      </c>
      <c r="H8" s="68" t="str">
        <f>IF(AND(Main[[#This Row],[In Stock Date]]&lt;&gt;"",Main[[#This Row],[Revised Due Date]]&lt;&gt;""),Main[[#This Row],[In Stock Date]]-Main[[#This Row],[Revised Due Date]],"")</f>
        <v/>
      </c>
      <c r="I8" s="65" t="s">
        <v>74</v>
      </c>
      <c r="J8" s="65" t="s">
        <v>75</v>
      </c>
      <c r="K8" s="65" t="s">
        <v>1929</v>
      </c>
      <c r="L8" s="67"/>
      <c r="M8" s="69" t="str">
        <f>IF(Main[[#This Row],[Tech Start Date]]&lt;1/1/1990,"",IF(Main[[#This Row],[Class]]="C",WORKDAY(Main[[#This Row],[Tech Start Date]],9),IF(Main[[#This Row],[Class]]="B", WORKDAY(Main[[#This Row],[Tech Start Date]],6),IF(Main[[#This Row],[Class]]="A",WORKDAY(Main[[#This Row],[Tech Start Date]],2),""))))</f>
        <v/>
      </c>
      <c r="N8" s="69" t="str">
        <f>IF(Main[[#This Row],[Tech Start Date]]&lt;1/1/1990,"",IF(Main[[#This Row],[Class]]="C",WORKDAY(Main[[#This Row],[Tech Start Date]],19),IF(Main[[#This Row],[Class]]="B", WORKDAY(Main[[#This Row],[Tech Start Date]],12),IF(Main[[#This Row],[Class]]="A",WORKDAY(Main[[#This Row],[Tech Start Date]],4),""))))</f>
        <v/>
      </c>
      <c r="O8" s="69" t="str">
        <f>IF(Main[[#This Row],[Tech Start Date]]&lt;1/1/1990,"",IF(Main[[#This Row],[Class]]="C",WORKDAY(Main[[#This Row],[Tech Start Date]],23),IF(Main[[#This Row],[Class]]="B", WORKDAY(Main[[#This Row],[Tech Start Date]],15),IF(Main[[#This Row],[Class]]="A",WORKDAY(Main[[#This Row],[Tech Start Date]],5),""))))</f>
        <v/>
      </c>
      <c r="P8" s="69" t="str">
        <f>IF(Main[[#This Row],[Tech Start Date]]&lt;1/1/1990,"",IF(Main[[#This Row],[Class]]="C",WORKDAY(Main[[#This Row],[Tech Start Date]],28),IF(Main[[#This Row],[Class]]="B", WORKDAY(Main[[#This Row],[Tech Start Date]],19),IF(Main[[#This Row],[Class]]="A",WORKDAY(Main[[#This Row],[Tech Start Date]],9),""))))</f>
        <v/>
      </c>
      <c r="Q8" s="67"/>
      <c r="R8" s="67">
        <v>40849</v>
      </c>
      <c r="S8" s="65" t="s">
        <v>17</v>
      </c>
      <c r="T8" s="70" t="s">
        <v>76</v>
      </c>
      <c r="U8" s="65" t="s">
        <v>29</v>
      </c>
      <c r="V8" s="65" t="s">
        <v>1920</v>
      </c>
      <c r="W8" s="65" t="s">
        <v>1925</v>
      </c>
      <c r="X8" s="65" t="s">
        <v>2853</v>
      </c>
      <c r="Y8" s="65" t="s">
        <v>2984</v>
      </c>
      <c r="Z8" s="65" t="s">
        <v>415</v>
      </c>
      <c r="AA8" s="65" t="s">
        <v>2853</v>
      </c>
    </row>
    <row r="9" spans="1:35" ht="17.45" customHeight="1">
      <c r="A9" s="131">
        <f>IF(priority(Main[[#This Row],[Comments]])&lt;&gt;0, priority(Main[[#This Row],[Comments]]),"")</f>
        <v>1</v>
      </c>
      <c r="B9" s="99" t="s">
        <v>2685</v>
      </c>
      <c r="C9" s="65" t="s">
        <v>19</v>
      </c>
      <c r="D9" s="66" t="s">
        <v>2609</v>
      </c>
      <c r="E9" s="67">
        <v>40487.36078703704</v>
      </c>
      <c r="F9" s="67"/>
      <c r="G9" s="64" t="str">
        <f>IF(stdProdLT(Main[[#This Row],[Comments]])=0.1,"N/A",IF(stdProdLT(Main[[#This Row],[Comments]])=0,"",stdProdLT(Main[[#This Row],[Comments]])))</f>
        <v/>
      </c>
      <c r="H9" s="68" t="str">
        <f>IF(AND(Main[[#This Row],[In Stock Date]]&lt;&gt;"",Main[[#This Row],[Revised Due Date]]&lt;&gt;""),Main[[#This Row],[In Stock Date]]-Main[[#This Row],[Revised Due Date]],"")</f>
        <v/>
      </c>
      <c r="I9" s="65" t="s">
        <v>2021</v>
      </c>
      <c r="J9" s="65" t="s">
        <v>28</v>
      </c>
      <c r="K9" s="65" t="s">
        <v>1929</v>
      </c>
      <c r="L9" s="67"/>
      <c r="M9" s="69" t="str">
        <f>IF(Main[[#This Row],[Tech Start Date]]&lt;1/1/1990,"",IF(Main[[#This Row],[Class]]="C",WORKDAY(Main[[#This Row],[Tech Start Date]],9),IF(Main[[#This Row],[Class]]="B", WORKDAY(Main[[#This Row],[Tech Start Date]],6),IF(Main[[#This Row],[Class]]="A",WORKDAY(Main[[#This Row],[Tech Start Date]],2),""))))</f>
        <v/>
      </c>
      <c r="N9" s="69" t="str">
        <f>IF(Main[[#This Row],[Tech Start Date]]&lt;1/1/1990,"",IF(Main[[#This Row],[Class]]="C",WORKDAY(Main[[#This Row],[Tech Start Date]],19),IF(Main[[#This Row],[Class]]="B", WORKDAY(Main[[#This Row],[Tech Start Date]],12),IF(Main[[#This Row],[Class]]="A",WORKDAY(Main[[#This Row],[Tech Start Date]],4),""))))</f>
        <v/>
      </c>
      <c r="O9" s="69" t="str">
        <f>IF(Main[[#This Row],[Tech Start Date]]&lt;1/1/1990,"",IF(Main[[#This Row],[Class]]="C",WORKDAY(Main[[#This Row],[Tech Start Date]],23),IF(Main[[#This Row],[Class]]="B", WORKDAY(Main[[#This Row],[Tech Start Date]],15),IF(Main[[#This Row],[Class]]="A",WORKDAY(Main[[#This Row],[Tech Start Date]],5),""))))</f>
        <v/>
      </c>
      <c r="P9" s="69" t="str">
        <f>IF(Main[[#This Row],[Tech Start Date]]&lt;1/1/1990,"",IF(Main[[#This Row],[Class]]="C",WORKDAY(Main[[#This Row],[Tech Start Date]],28),IF(Main[[#This Row],[Class]]="B", WORKDAY(Main[[#This Row],[Tech Start Date]],19),IF(Main[[#This Row],[Class]]="A",WORKDAY(Main[[#This Row],[Tech Start Date]],9),""))))</f>
        <v/>
      </c>
      <c r="Q9" s="67">
        <v>40862</v>
      </c>
      <c r="R9" s="67">
        <v>40862</v>
      </c>
      <c r="S9" s="65" t="s">
        <v>17</v>
      </c>
      <c r="T9" s="70" t="s">
        <v>3660</v>
      </c>
      <c r="U9" s="65" t="s">
        <v>29</v>
      </c>
      <c r="V9" s="65" t="s">
        <v>1932</v>
      </c>
      <c r="W9" s="65" t="s">
        <v>1925</v>
      </c>
      <c r="X9" s="65" t="s">
        <v>129</v>
      </c>
      <c r="Y9" s="65" t="s">
        <v>2939</v>
      </c>
      <c r="Z9" s="65" t="s">
        <v>2214</v>
      </c>
      <c r="AA9" s="65" t="s">
        <v>129</v>
      </c>
    </row>
    <row r="10" spans="1:35" ht="17.45" customHeight="1">
      <c r="A10" s="131">
        <f>IF(priority(Main[[#This Row],[Comments]])&lt;&gt;0, priority(Main[[#This Row],[Comments]]),"")</f>
        <v>1</v>
      </c>
      <c r="B10" s="99" t="s">
        <v>1884</v>
      </c>
      <c r="C10" s="65" t="s">
        <v>933</v>
      </c>
      <c r="D10" s="66" t="s">
        <v>934</v>
      </c>
      <c r="E10" s="67"/>
      <c r="F10" s="67">
        <v>40787</v>
      </c>
      <c r="G10" s="64" t="str">
        <f>IF(stdProdLT(Main[[#This Row],[Comments]])=0.1,"N/A",IF(stdProdLT(Main[[#This Row],[Comments]])=0,"",stdProdLT(Main[[#This Row],[Comments]])))</f>
        <v/>
      </c>
      <c r="H10" s="68">
        <f>IF(AND(Main[[#This Row],[In Stock Date]]&lt;&gt;"",Main[[#This Row],[Revised Due Date]]&lt;&gt;""),Main[[#This Row],[In Stock Date]]-Main[[#This Row],[Revised Due Date]],"")</f>
        <v>91</v>
      </c>
      <c r="I10" s="65" t="s">
        <v>489</v>
      </c>
      <c r="J10" s="65" t="s">
        <v>70</v>
      </c>
      <c r="K10" s="65" t="s">
        <v>1926</v>
      </c>
      <c r="L10" s="67">
        <v>40658</v>
      </c>
      <c r="M10" s="69">
        <f>IF(Main[[#This Row],[Tech Start Date]]&lt;1/1/1990,"",IF(Main[[#This Row],[Class]]="C",WORKDAY(Main[[#This Row],[Tech Start Date]],9),IF(Main[[#This Row],[Class]]="B", WORKDAY(Main[[#This Row],[Tech Start Date]],6),IF(Main[[#This Row],[Class]]="A",WORKDAY(Main[[#This Row],[Tech Start Date]],2),""))))</f>
        <v>40660</v>
      </c>
      <c r="N10" s="69">
        <f>IF(Main[[#This Row],[Tech Start Date]]&lt;1/1/1990,"",IF(Main[[#This Row],[Class]]="C",WORKDAY(Main[[#This Row],[Tech Start Date]],19),IF(Main[[#This Row],[Class]]="B", WORKDAY(Main[[#This Row],[Tech Start Date]],12),IF(Main[[#This Row],[Class]]="A",WORKDAY(Main[[#This Row],[Tech Start Date]],4),""))))</f>
        <v>40662</v>
      </c>
      <c r="O10" s="69">
        <f>IF(Main[[#This Row],[Tech Start Date]]&lt;1/1/1990,"",IF(Main[[#This Row],[Class]]="C",WORKDAY(Main[[#This Row],[Tech Start Date]],23),IF(Main[[#This Row],[Class]]="B", WORKDAY(Main[[#This Row],[Tech Start Date]],15),IF(Main[[#This Row],[Class]]="A",WORKDAY(Main[[#This Row],[Tech Start Date]],5),""))))</f>
        <v>40665</v>
      </c>
      <c r="P10" s="69">
        <f>IF(Main[[#This Row],[Tech Start Date]]&lt;1/1/1990,"",IF(Main[[#This Row],[Class]]="C",WORKDAY(Main[[#This Row],[Tech Start Date]],28),IF(Main[[#This Row],[Class]]="B", WORKDAY(Main[[#This Row],[Tech Start Date]],19),IF(Main[[#This Row],[Class]]="A",WORKDAY(Main[[#This Row],[Tech Start Date]],9),""))))</f>
        <v>40669</v>
      </c>
      <c r="Q10" s="67">
        <v>40696</v>
      </c>
      <c r="R10" s="67">
        <v>40696</v>
      </c>
      <c r="S10" s="65" t="s">
        <v>11</v>
      </c>
      <c r="T10" s="70" t="s">
        <v>935</v>
      </c>
      <c r="U10" s="65" t="s">
        <v>14</v>
      </c>
      <c r="V10" s="65" t="s">
        <v>1920</v>
      </c>
      <c r="W10" s="65" t="s">
        <v>1923</v>
      </c>
      <c r="X10" s="65" t="s">
        <v>2878</v>
      </c>
      <c r="Y10" s="65" t="s">
        <v>3002</v>
      </c>
      <c r="Z10" s="65" t="s">
        <v>2054</v>
      </c>
      <c r="AA10" s="65" t="s">
        <v>2878</v>
      </c>
    </row>
    <row r="11" spans="1:35" ht="17.45" customHeight="1">
      <c r="A11" s="131">
        <f>IF(priority(Main[[#This Row],[Comments]])&lt;&gt;0, priority(Main[[#This Row],[Comments]]),"")</f>
        <v>1</v>
      </c>
      <c r="B11" s="99" t="s">
        <v>2625</v>
      </c>
      <c r="C11" s="65" t="s">
        <v>2626</v>
      </c>
      <c r="D11" s="66" t="s">
        <v>2805</v>
      </c>
      <c r="E11" s="67"/>
      <c r="F11" s="67">
        <v>40855</v>
      </c>
      <c r="G11" s="64" t="str">
        <f>IF(stdProdLT(Main[[#This Row],[Comments]])=0.1,"N/A",IF(stdProdLT(Main[[#This Row],[Comments]])=0,"",stdProdLT(Main[[#This Row],[Comments]])))</f>
        <v>N/A</v>
      </c>
      <c r="H11" s="68">
        <f>IF(AND(Main[[#This Row],[In Stock Date]]&lt;&gt;"",Main[[#This Row],[Revised Due Date]]&lt;&gt;""),Main[[#This Row],[In Stock Date]]-Main[[#This Row],[Revised Due Date]],"")</f>
        <v>-84</v>
      </c>
      <c r="I11" s="65" t="s">
        <v>939</v>
      </c>
      <c r="J11" s="65" t="s">
        <v>28</v>
      </c>
      <c r="K11" s="65" t="s">
        <v>1926</v>
      </c>
      <c r="L11" s="67">
        <v>40834</v>
      </c>
      <c r="M11" s="69">
        <f>IF(Main[[#This Row],[Tech Start Date]]&lt;1/1/1990,"",IF(Main[[#This Row],[Class]]="C",WORKDAY(Main[[#This Row],[Tech Start Date]],9),IF(Main[[#This Row],[Class]]="B", WORKDAY(Main[[#This Row],[Tech Start Date]],6),IF(Main[[#This Row],[Class]]="A",WORKDAY(Main[[#This Row],[Tech Start Date]],2),""))))</f>
        <v>40836</v>
      </c>
      <c r="N11" s="69">
        <f>IF(Main[[#This Row],[Tech Start Date]]&lt;1/1/1990,"",IF(Main[[#This Row],[Class]]="C",WORKDAY(Main[[#This Row],[Tech Start Date]],19),IF(Main[[#This Row],[Class]]="B", WORKDAY(Main[[#This Row],[Tech Start Date]],12),IF(Main[[#This Row],[Class]]="A",WORKDAY(Main[[#This Row],[Tech Start Date]],4),""))))</f>
        <v>40840</v>
      </c>
      <c r="O11" s="69">
        <f>IF(Main[[#This Row],[Tech Start Date]]&lt;1/1/1990,"",IF(Main[[#This Row],[Class]]="C",WORKDAY(Main[[#This Row],[Tech Start Date]],23),IF(Main[[#This Row],[Class]]="B", WORKDAY(Main[[#This Row],[Tech Start Date]],15),IF(Main[[#This Row],[Class]]="A",WORKDAY(Main[[#This Row],[Tech Start Date]],5),""))))</f>
        <v>40841</v>
      </c>
      <c r="P11" s="69">
        <f>IF(Main[[#This Row],[Tech Start Date]]&lt;1/1/1990,"",IF(Main[[#This Row],[Class]]="C",WORKDAY(Main[[#This Row],[Tech Start Date]],28),IF(Main[[#This Row],[Class]]="B", WORKDAY(Main[[#This Row],[Tech Start Date]],19),IF(Main[[#This Row],[Class]]="A",WORKDAY(Main[[#This Row],[Tech Start Date]],9),""))))</f>
        <v>40847</v>
      </c>
      <c r="Q11" s="67">
        <v>40855</v>
      </c>
      <c r="R11" s="67">
        <v>40939</v>
      </c>
      <c r="S11" s="65" t="s">
        <v>11</v>
      </c>
      <c r="T11" s="70" t="s">
        <v>2806</v>
      </c>
      <c r="U11" s="65" t="s">
        <v>14</v>
      </c>
      <c r="V11" s="65" t="s">
        <v>1917</v>
      </c>
      <c r="W11" s="65" t="s">
        <v>1919</v>
      </c>
      <c r="X11" s="65" t="s">
        <v>2837</v>
      </c>
      <c r="Y11" s="65" t="s">
        <v>2960</v>
      </c>
      <c r="Z11" s="65" t="s">
        <v>129</v>
      </c>
      <c r="AA11" s="65" t="s">
        <v>2837</v>
      </c>
    </row>
    <row r="12" spans="1:35" ht="17.45" customHeight="1">
      <c r="A12" s="131">
        <f>IF(priority(Main[[#This Row],[Comments]])&lt;&gt;0, priority(Main[[#This Row],[Comments]]),"")</f>
        <v>1</v>
      </c>
      <c r="B12" s="99" t="s">
        <v>2634</v>
      </c>
      <c r="C12" s="65" t="s">
        <v>2635</v>
      </c>
      <c r="D12" s="66" t="s">
        <v>3843</v>
      </c>
      <c r="E12" s="67">
        <v>40835.462650462963</v>
      </c>
      <c r="F12" s="67">
        <v>40928</v>
      </c>
      <c r="G12" s="64" t="str">
        <f>IF(stdProdLT(Main[[#This Row],[Comments]])=0.1,"N/A",IF(stdProdLT(Main[[#This Row],[Comments]])=0,"",stdProdLT(Main[[#This Row],[Comments]])))</f>
        <v>N/A</v>
      </c>
      <c r="H12" s="68">
        <f>IF(AND(Main[[#This Row],[In Stock Date]]&lt;&gt;"",Main[[#This Row],[Revised Due Date]]&lt;&gt;""),Main[[#This Row],[In Stock Date]]-Main[[#This Row],[Revised Due Date]],"")</f>
        <v>-40</v>
      </c>
      <c r="I12" s="65" t="s">
        <v>306</v>
      </c>
      <c r="J12" s="65" t="s">
        <v>75</v>
      </c>
      <c r="K12" s="65" t="s">
        <v>1930</v>
      </c>
      <c r="L12" s="67">
        <v>40848</v>
      </c>
      <c r="M12" s="69">
        <f>IF(Main[[#This Row],[Tech Start Date]]&lt;1/1/1990,"",IF(Main[[#This Row],[Class]]="C",WORKDAY(Main[[#This Row],[Tech Start Date]],9),IF(Main[[#This Row],[Class]]="B", WORKDAY(Main[[#This Row],[Tech Start Date]],6),IF(Main[[#This Row],[Class]]="A",WORKDAY(Main[[#This Row],[Tech Start Date]],2),""))))</f>
        <v>40861</v>
      </c>
      <c r="N12" s="69">
        <f>IF(Main[[#This Row],[Tech Start Date]]&lt;1/1/1990,"",IF(Main[[#This Row],[Class]]="C",WORKDAY(Main[[#This Row],[Tech Start Date]],19),IF(Main[[#This Row],[Class]]="B", WORKDAY(Main[[#This Row],[Tech Start Date]],12),IF(Main[[#This Row],[Class]]="A",WORKDAY(Main[[#This Row],[Tech Start Date]],4),""))))</f>
        <v>40875</v>
      </c>
      <c r="O12" s="69">
        <f>IF(Main[[#This Row],[Tech Start Date]]&lt;1/1/1990,"",IF(Main[[#This Row],[Class]]="C",WORKDAY(Main[[#This Row],[Tech Start Date]],23),IF(Main[[#This Row],[Class]]="B", WORKDAY(Main[[#This Row],[Tech Start Date]],15),IF(Main[[#This Row],[Class]]="A",WORKDAY(Main[[#This Row],[Tech Start Date]],5),""))))</f>
        <v>40879</v>
      </c>
      <c r="P12" s="69">
        <f>IF(Main[[#This Row],[Tech Start Date]]&lt;1/1/1990,"",IF(Main[[#This Row],[Class]]="C",WORKDAY(Main[[#This Row],[Tech Start Date]],28),IF(Main[[#This Row],[Class]]="B", WORKDAY(Main[[#This Row],[Tech Start Date]],19),IF(Main[[#This Row],[Class]]="A",WORKDAY(Main[[#This Row],[Tech Start Date]],9),""))))</f>
        <v>40886</v>
      </c>
      <c r="Q12" s="67">
        <v>40857</v>
      </c>
      <c r="R12" s="67">
        <v>40968</v>
      </c>
      <c r="S12" s="65" t="s">
        <v>11</v>
      </c>
      <c r="T12" s="70" t="s">
        <v>3844</v>
      </c>
      <c r="U12" s="65" t="s">
        <v>29</v>
      </c>
      <c r="V12" s="65" t="s">
        <v>1918</v>
      </c>
      <c r="W12" s="65" t="s">
        <v>1919</v>
      </c>
      <c r="X12" s="65" t="s">
        <v>2878</v>
      </c>
      <c r="Y12" s="65" t="s">
        <v>3002</v>
      </c>
      <c r="Z12" s="65" t="s">
        <v>2056</v>
      </c>
      <c r="AA12" s="65" t="s">
        <v>2878</v>
      </c>
    </row>
    <row r="13" spans="1:35" ht="17.45" customHeight="1">
      <c r="A13" s="131">
        <f>IF(priority(Main[[#This Row],[Comments]])&lt;&gt;0, priority(Main[[#This Row],[Comments]]),"")</f>
        <v>1</v>
      </c>
      <c r="B13" s="99" t="s">
        <v>3194</v>
      </c>
      <c r="C13" s="65" t="s">
        <v>3656</v>
      </c>
      <c r="D13" s="66" t="s">
        <v>3895</v>
      </c>
      <c r="E13" s="67">
        <v>40919.097627314812</v>
      </c>
      <c r="F13" s="67">
        <v>40967</v>
      </c>
      <c r="G13" s="64" t="str">
        <f>IF(stdProdLT(Main[[#This Row],[Comments]])=0.1,"N/A",IF(stdProdLT(Main[[#This Row],[Comments]])=0,"",stdProdLT(Main[[#This Row],[Comments]])))</f>
        <v>N/A</v>
      </c>
      <c r="H13" s="68">
        <f>IF(AND(Main[[#This Row],[In Stock Date]]&lt;&gt;"",Main[[#This Row],[Revised Due Date]]&lt;&gt;""),Main[[#This Row],[In Stock Date]]-Main[[#This Row],[Revised Due Date]],"")</f>
        <v>1</v>
      </c>
      <c r="I13" s="65" t="s">
        <v>972</v>
      </c>
      <c r="J13" s="65" t="s">
        <v>51</v>
      </c>
      <c r="K13" s="65" t="s">
        <v>1926</v>
      </c>
      <c r="L13" s="67">
        <v>40947</v>
      </c>
      <c r="M13" s="69">
        <f>IF(Main[[#This Row],[Tech Start Date]]&lt;1/1/1990,"",IF(Main[[#This Row],[Class]]="C",WORKDAY(Main[[#This Row],[Tech Start Date]],9),IF(Main[[#This Row],[Class]]="B", WORKDAY(Main[[#This Row],[Tech Start Date]],6),IF(Main[[#This Row],[Class]]="A",WORKDAY(Main[[#This Row],[Tech Start Date]],2),""))))</f>
        <v>40949</v>
      </c>
      <c r="N13" s="69">
        <f>IF(Main[[#This Row],[Tech Start Date]]&lt;1/1/1990,"",IF(Main[[#This Row],[Class]]="C",WORKDAY(Main[[#This Row],[Tech Start Date]],19),IF(Main[[#This Row],[Class]]="B", WORKDAY(Main[[#This Row],[Tech Start Date]],12),IF(Main[[#This Row],[Class]]="A",WORKDAY(Main[[#This Row],[Tech Start Date]],4),""))))</f>
        <v>40953</v>
      </c>
      <c r="O13" s="69">
        <f>IF(Main[[#This Row],[Tech Start Date]]&lt;1/1/1990,"",IF(Main[[#This Row],[Class]]="C",WORKDAY(Main[[#This Row],[Tech Start Date]],23),IF(Main[[#This Row],[Class]]="B", WORKDAY(Main[[#This Row],[Tech Start Date]],15),IF(Main[[#This Row],[Class]]="A",WORKDAY(Main[[#This Row],[Tech Start Date]],5),""))))</f>
        <v>40954</v>
      </c>
      <c r="P13" s="69">
        <f>IF(Main[[#This Row],[Tech Start Date]]&lt;1/1/1990,"",IF(Main[[#This Row],[Class]]="C",WORKDAY(Main[[#This Row],[Tech Start Date]],28),IF(Main[[#This Row],[Class]]="B", WORKDAY(Main[[#This Row],[Tech Start Date]],19),IF(Main[[#This Row],[Class]]="A",WORKDAY(Main[[#This Row],[Tech Start Date]],9),""))))</f>
        <v>40960</v>
      </c>
      <c r="Q13" s="67">
        <v>40967</v>
      </c>
      <c r="R13" s="67">
        <v>40966</v>
      </c>
      <c r="S13" s="65" t="s">
        <v>11</v>
      </c>
      <c r="T13" s="70" t="s">
        <v>3896</v>
      </c>
      <c r="U13" s="65" t="s">
        <v>29</v>
      </c>
      <c r="V13" s="65" t="s">
        <v>1927</v>
      </c>
      <c r="W13" s="65" t="s">
        <v>1923</v>
      </c>
      <c r="X13" s="65" t="s">
        <v>2918</v>
      </c>
      <c r="Y13" s="65" t="s">
        <v>3195</v>
      </c>
      <c r="Z13" s="65" t="s">
        <v>530</v>
      </c>
      <c r="AA13" s="65" t="s">
        <v>2918</v>
      </c>
    </row>
    <row r="14" spans="1:35" ht="17.45" customHeight="1">
      <c r="A14" s="131">
        <f>IF(priority(Main[[#This Row],[Comments]])&lt;&gt;0, priority(Main[[#This Row],[Comments]]),"")</f>
        <v>1.01</v>
      </c>
      <c r="B14" s="99" t="s">
        <v>1883</v>
      </c>
      <c r="C14" s="65" t="s">
        <v>113</v>
      </c>
      <c r="D14" s="66" t="s">
        <v>3827</v>
      </c>
      <c r="E14" s="67">
        <v>40633.588854166665</v>
      </c>
      <c r="F14" s="67">
        <v>40674</v>
      </c>
      <c r="G14" s="64" t="str">
        <f>IF(stdProdLT(Main[[#This Row],[Comments]])=0.1,"N/A",IF(stdProdLT(Main[[#This Row],[Comments]])=0,"",stdProdLT(Main[[#This Row],[Comments]])))</f>
        <v/>
      </c>
      <c r="H14" s="68">
        <f>IF(AND(Main[[#This Row],[In Stock Date]]&lt;&gt;"",Main[[#This Row],[Revised Due Date]]&lt;&gt;""),Main[[#This Row],[In Stock Date]]-Main[[#This Row],[Revised Due Date]],"")</f>
        <v>-355</v>
      </c>
      <c r="I14" s="65" t="s">
        <v>939</v>
      </c>
      <c r="J14" s="65" t="s">
        <v>28</v>
      </c>
      <c r="K14" s="65" t="s">
        <v>1929</v>
      </c>
      <c r="L14" s="67">
        <v>40666</v>
      </c>
      <c r="M14" s="69" t="str">
        <f>IF(Main[[#This Row],[Tech Start Date]]&lt;1/1/1990,"",IF(Main[[#This Row],[Class]]="C",WORKDAY(Main[[#This Row],[Tech Start Date]],9),IF(Main[[#This Row],[Class]]="B", WORKDAY(Main[[#This Row],[Tech Start Date]],6),IF(Main[[#This Row],[Class]]="A",WORKDAY(Main[[#This Row],[Tech Start Date]],2),""))))</f>
        <v/>
      </c>
      <c r="N14" s="69" t="str">
        <f>IF(Main[[#This Row],[Tech Start Date]]&lt;1/1/1990,"",IF(Main[[#This Row],[Class]]="C",WORKDAY(Main[[#This Row],[Tech Start Date]],19),IF(Main[[#This Row],[Class]]="B", WORKDAY(Main[[#This Row],[Tech Start Date]],12),IF(Main[[#This Row],[Class]]="A",WORKDAY(Main[[#This Row],[Tech Start Date]],4),""))))</f>
        <v/>
      </c>
      <c r="O14" s="69" t="str">
        <f>IF(Main[[#This Row],[Tech Start Date]]&lt;1/1/1990,"",IF(Main[[#This Row],[Class]]="C",WORKDAY(Main[[#This Row],[Tech Start Date]],23),IF(Main[[#This Row],[Class]]="B", WORKDAY(Main[[#This Row],[Tech Start Date]],15),IF(Main[[#This Row],[Class]]="A",WORKDAY(Main[[#This Row],[Tech Start Date]],5),""))))</f>
        <v/>
      </c>
      <c r="P14" s="69" t="str">
        <f>IF(Main[[#This Row],[Tech Start Date]]&lt;1/1/1990,"",IF(Main[[#This Row],[Class]]="C",WORKDAY(Main[[#This Row],[Tech Start Date]],28),IF(Main[[#This Row],[Class]]="B", WORKDAY(Main[[#This Row],[Tech Start Date]],19),IF(Main[[#This Row],[Class]]="A",WORKDAY(Main[[#This Row],[Tech Start Date]],9),""))))</f>
        <v/>
      </c>
      <c r="Q14" s="67">
        <v>40939</v>
      </c>
      <c r="R14" s="67">
        <v>41029</v>
      </c>
      <c r="S14" s="65" t="s">
        <v>17</v>
      </c>
      <c r="T14" s="70" t="s">
        <v>2615</v>
      </c>
      <c r="U14" s="65" t="s">
        <v>29</v>
      </c>
      <c r="V14" s="65" t="s">
        <v>1917</v>
      </c>
      <c r="W14" s="65" t="s">
        <v>1928</v>
      </c>
      <c r="X14" s="65" t="s">
        <v>2839</v>
      </c>
      <c r="Y14" s="65" t="s">
        <v>2945</v>
      </c>
      <c r="Z14" s="65" t="s">
        <v>129</v>
      </c>
      <c r="AA14" s="65" t="s">
        <v>2839</v>
      </c>
    </row>
    <row r="15" spans="1:35" ht="17.45" customHeight="1">
      <c r="A15" s="131">
        <f>IF(priority(Main[[#This Row],[Comments]])&lt;&gt;0, priority(Main[[#This Row],[Comments]]),"")</f>
        <v>2</v>
      </c>
      <c r="B15" s="99" t="s">
        <v>1157</v>
      </c>
      <c r="C15" s="65" t="s">
        <v>19</v>
      </c>
      <c r="D15" s="66" t="s">
        <v>2433</v>
      </c>
      <c r="E15" s="67">
        <v>40487.363657407404</v>
      </c>
      <c r="F15" s="67"/>
      <c r="G15" s="64" t="str">
        <f>IF(stdProdLT(Main[[#This Row],[Comments]])=0.1,"N/A",IF(stdProdLT(Main[[#This Row],[Comments]])=0,"",stdProdLT(Main[[#This Row],[Comments]])))</f>
        <v/>
      </c>
      <c r="H15" s="68" t="str">
        <f>IF(AND(Main[[#This Row],[In Stock Date]]&lt;&gt;"",Main[[#This Row],[Revised Due Date]]&lt;&gt;""),Main[[#This Row],[In Stock Date]]-Main[[#This Row],[Revised Due Date]],"")</f>
        <v/>
      </c>
      <c r="I15" s="65" t="s">
        <v>2021</v>
      </c>
      <c r="J15" s="65" t="s">
        <v>28</v>
      </c>
      <c r="K15" s="65" t="s">
        <v>4</v>
      </c>
      <c r="L15" s="67"/>
      <c r="M15" s="69" t="str">
        <f>IF(Main[[#This Row],[Tech Start Date]]&lt;1/1/1990,"",IF(Main[[#This Row],[Class]]="C",WORKDAY(Main[[#This Row],[Tech Start Date]],9),IF(Main[[#This Row],[Class]]="B", WORKDAY(Main[[#This Row],[Tech Start Date]],6),IF(Main[[#This Row],[Class]]="A",WORKDAY(Main[[#This Row],[Tech Start Date]],2),""))))</f>
        <v/>
      </c>
      <c r="N15" s="69" t="str">
        <f>IF(Main[[#This Row],[Tech Start Date]]&lt;1/1/1990,"",IF(Main[[#This Row],[Class]]="C",WORKDAY(Main[[#This Row],[Tech Start Date]],19),IF(Main[[#This Row],[Class]]="B", WORKDAY(Main[[#This Row],[Tech Start Date]],12),IF(Main[[#This Row],[Class]]="A",WORKDAY(Main[[#This Row],[Tech Start Date]],4),""))))</f>
        <v/>
      </c>
      <c r="O15" s="69" t="str">
        <f>IF(Main[[#This Row],[Tech Start Date]]&lt;1/1/1990,"",IF(Main[[#This Row],[Class]]="C",WORKDAY(Main[[#This Row],[Tech Start Date]],23),IF(Main[[#This Row],[Class]]="B", WORKDAY(Main[[#This Row],[Tech Start Date]],15),IF(Main[[#This Row],[Class]]="A",WORKDAY(Main[[#This Row],[Tech Start Date]],5),""))))</f>
        <v/>
      </c>
      <c r="P15" s="69" t="str">
        <f>IF(Main[[#This Row],[Tech Start Date]]&lt;1/1/1990,"",IF(Main[[#This Row],[Class]]="C",WORKDAY(Main[[#This Row],[Tech Start Date]],28),IF(Main[[#This Row],[Class]]="B", WORKDAY(Main[[#This Row],[Tech Start Date]],19),IF(Main[[#This Row],[Class]]="A",WORKDAY(Main[[#This Row],[Tech Start Date]],9),""))))</f>
        <v/>
      </c>
      <c r="Q15" s="67">
        <v>40862</v>
      </c>
      <c r="R15" s="67">
        <v>40862</v>
      </c>
      <c r="S15" s="65" t="s">
        <v>17</v>
      </c>
      <c r="T15" s="70" t="s">
        <v>2434</v>
      </c>
      <c r="U15" s="65" t="s">
        <v>29</v>
      </c>
      <c r="V15" s="65" t="s">
        <v>1932</v>
      </c>
      <c r="W15" s="65" t="s">
        <v>1919</v>
      </c>
      <c r="X15" s="65" t="s">
        <v>129</v>
      </c>
      <c r="Y15" s="65" t="s">
        <v>2939</v>
      </c>
      <c r="Z15" s="65" t="s">
        <v>2214</v>
      </c>
      <c r="AA15" s="65" t="s">
        <v>129</v>
      </c>
    </row>
    <row r="16" spans="1:35" ht="17.45" customHeight="1">
      <c r="A16" s="131">
        <f>IF(priority(Main[[#This Row],[Comments]])&lt;&gt;0, priority(Main[[#This Row],[Comments]]),"")</f>
        <v>2</v>
      </c>
      <c r="B16" s="99" t="s">
        <v>2048</v>
      </c>
      <c r="C16" s="65" t="s">
        <v>299</v>
      </c>
      <c r="D16" s="66" t="s">
        <v>2324</v>
      </c>
      <c r="E16" s="67">
        <v>40682.272986111115</v>
      </c>
      <c r="F16" s="67">
        <v>40909</v>
      </c>
      <c r="G16" s="64">
        <f>IF(stdProdLT(Main[[#This Row],[Comments]])=0.1,"N/A",IF(stdProdLT(Main[[#This Row],[Comments]])=0,"",stdProdLT(Main[[#This Row],[Comments]])))</f>
        <v>182</v>
      </c>
      <c r="H16" s="68">
        <f>IF(AND(Main[[#This Row],[In Stock Date]]&lt;&gt;"",Main[[#This Row],[Revised Due Date]]&lt;&gt;""),Main[[#This Row],[In Stock Date]]-Main[[#This Row],[Revised Due Date]],"")</f>
        <v>78</v>
      </c>
      <c r="I16" s="65" t="s">
        <v>948</v>
      </c>
      <c r="J16" s="65" t="s">
        <v>28</v>
      </c>
      <c r="K16" s="65" t="s">
        <v>1930</v>
      </c>
      <c r="L16" s="67">
        <v>40725</v>
      </c>
      <c r="M16" s="69">
        <f>IF(Main[[#This Row],[Tech Start Date]]&lt;1/1/1990,"",IF(Main[[#This Row],[Class]]="C",WORKDAY(Main[[#This Row],[Tech Start Date]],9),IF(Main[[#This Row],[Class]]="B", WORKDAY(Main[[#This Row],[Tech Start Date]],6),IF(Main[[#This Row],[Class]]="A",WORKDAY(Main[[#This Row],[Tech Start Date]],2),""))))</f>
        <v>40738</v>
      </c>
      <c r="N16" s="69">
        <f>IF(Main[[#This Row],[Tech Start Date]]&lt;1/1/1990,"",IF(Main[[#This Row],[Class]]="C",WORKDAY(Main[[#This Row],[Tech Start Date]],19),IF(Main[[#This Row],[Class]]="B", WORKDAY(Main[[#This Row],[Tech Start Date]],12),IF(Main[[#This Row],[Class]]="A",WORKDAY(Main[[#This Row],[Tech Start Date]],4),""))))</f>
        <v>40752</v>
      </c>
      <c r="O16" s="69">
        <f>IF(Main[[#This Row],[Tech Start Date]]&lt;1/1/1990,"",IF(Main[[#This Row],[Class]]="C",WORKDAY(Main[[#This Row],[Tech Start Date]],23),IF(Main[[#This Row],[Class]]="B", WORKDAY(Main[[#This Row],[Tech Start Date]],15),IF(Main[[#This Row],[Class]]="A",WORKDAY(Main[[#This Row],[Tech Start Date]],5),""))))</f>
        <v>40758</v>
      </c>
      <c r="P16" s="69">
        <f>IF(Main[[#This Row],[Tech Start Date]]&lt;1/1/1990,"",IF(Main[[#This Row],[Class]]="C",WORKDAY(Main[[#This Row],[Tech Start Date]],28),IF(Main[[#This Row],[Class]]="B", WORKDAY(Main[[#This Row],[Tech Start Date]],19),IF(Main[[#This Row],[Class]]="A",WORKDAY(Main[[#This Row],[Tech Start Date]],9),""))))</f>
        <v>40765</v>
      </c>
      <c r="Q16" s="67">
        <v>40724</v>
      </c>
      <c r="R16" s="67">
        <v>40831</v>
      </c>
      <c r="S16" s="65" t="s">
        <v>17</v>
      </c>
      <c r="T16" s="70" t="s">
        <v>2210</v>
      </c>
      <c r="U16" s="65" t="s">
        <v>29</v>
      </c>
      <c r="V16" s="65" t="s">
        <v>1918</v>
      </c>
      <c r="W16" s="65" t="s">
        <v>1922</v>
      </c>
      <c r="X16" s="65" t="s">
        <v>2841</v>
      </c>
      <c r="Y16" s="65" t="s">
        <v>4</v>
      </c>
      <c r="Z16" s="65" t="s">
        <v>2056</v>
      </c>
      <c r="AA16" s="65" t="s">
        <v>2841</v>
      </c>
    </row>
    <row r="17" spans="1:27" ht="17.45" customHeight="1">
      <c r="A17" s="131">
        <f>IF(priority(Main[[#This Row],[Comments]])&lt;&gt;0, priority(Main[[#This Row],[Comments]]),"")</f>
        <v>2</v>
      </c>
      <c r="B17" s="99" t="s">
        <v>2281</v>
      </c>
      <c r="C17" s="65" t="s">
        <v>518</v>
      </c>
      <c r="D17" s="66" t="s">
        <v>2931</v>
      </c>
      <c r="E17" s="67">
        <v>40812.552488425928</v>
      </c>
      <c r="F17" s="67">
        <v>41030</v>
      </c>
      <c r="G17" s="64">
        <f>IF(stdProdLT(Main[[#This Row],[Comments]])=0.1,"N/A",IF(stdProdLT(Main[[#This Row],[Comments]])=0,"",stdProdLT(Main[[#This Row],[Comments]])))</f>
        <v>84</v>
      </c>
      <c r="H17" s="68">
        <f>IF(AND(Main[[#This Row],[In Stock Date]]&lt;&gt;"",Main[[#This Row],[Revised Due Date]]&lt;&gt;""),Main[[#This Row],[In Stock Date]]-Main[[#This Row],[Revised Due Date]],"")</f>
        <v>74</v>
      </c>
      <c r="I17" s="65" t="s">
        <v>2630</v>
      </c>
      <c r="J17" s="65" t="s">
        <v>21</v>
      </c>
      <c r="K17" s="65" t="s">
        <v>1924</v>
      </c>
      <c r="L17" s="67">
        <v>40835</v>
      </c>
      <c r="M17" s="69">
        <f>IF(Main[[#This Row],[Tech Start Date]]&lt;1/1/1990,"",IF(Main[[#This Row],[Class]]="C",WORKDAY(Main[[#This Row],[Tech Start Date]],9),IF(Main[[#This Row],[Class]]="B", WORKDAY(Main[[#This Row],[Tech Start Date]],6),IF(Main[[#This Row],[Class]]="A",WORKDAY(Main[[#This Row],[Tech Start Date]],2),""))))</f>
        <v>40843</v>
      </c>
      <c r="N17" s="69">
        <f>IF(Main[[#This Row],[Tech Start Date]]&lt;1/1/1990,"",IF(Main[[#This Row],[Class]]="C",WORKDAY(Main[[#This Row],[Tech Start Date]],19),IF(Main[[#This Row],[Class]]="B", WORKDAY(Main[[#This Row],[Tech Start Date]],12),IF(Main[[#This Row],[Class]]="A",WORKDAY(Main[[#This Row],[Tech Start Date]],4),""))))</f>
        <v>40851</v>
      </c>
      <c r="O17" s="69">
        <f>IF(Main[[#This Row],[Tech Start Date]]&lt;1/1/1990,"",IF(Main[[#This Row],[Class]]="C",WORKDAY(Main[[#This Row],[Tech Start Date]],23),IF(Main[[#This Row],[Class]]="B", WORKDAY(Main[[#This Row],[Tech Start Date]],15),IF(Main[[#This Row],[Class]]="A",WORKDAY(Main[[#This Row],[Tech Start Date]],5),""))))</f>
        <v>40856</v>
      </c>
      <c r="P17" s="69">
        <f>IF(Main[[#This Row],[Tech Start Date]]&lt;1/1/1990,"",IF(Main[[#This Row],[Class]]="C",WORKDAY(Main[[#This Row],[Tech Start Date]],28),IF(Main[[#This Row],[Class]]="B", WORKDAY(Main[[#This Row],[Tech Start Date]],19),IF(Main[[#This Row],[Class]]="A",WORKDAY(Main[[#This Row],[Tech Start Date]],9),""))))</f>
        <v>40862</v>
      </c>
      <c r="Q17" s="67">
        <v>40816</v>
      </c>
      <c r="R17" s="67">
        <v>40956</v>
      </c>
      <c r="S17" s="65" t="s">
        <v>17</v>
      </c>
      <c r="T17" s="70" t="s">
        <v>2807</v>
      </c>
      <c r="U17" s="65" t="s">
        <v>29</v>
      </c>
      <c r="V17" s="65" t="s">
        <v>1918</v>
      </c>
      <c r="W17" s="65" t="s">
        <v>1925</v>
      </c>
      <c r="X17" s="65" t="s">
        <v>2916</v>
      </c>
      <c r="Y17" s="65" t="s">
        <v>3123</v>
      </c>
      <c r="Z17" s="65" t="s">
        <v>2056</v>
      </c>
      <c r="AA17" s="65" t="s">
        <v>3461</v>
      </c>
    </row>
    <row r="18" spans="1:27" ht="17.45" customHeight="1">
      <c r="A18" s="131">
        <f>IF(priority(Main[[#This Row],[Comments]])&lt;&gt;0, priority(Main[[#This Row],[Comments]]),"")</f>
        <v>2</v>
      </c>
      <c r="B18" s="99" t="s">
        <v>3193</v>
      </c>
      <c r="C18" s="65" t="s">
        <v>3221</v>
      </c>
      <c r="D18" s="66" t="s">
        <v>3872</v>
      </c>
      <c r="E18" s="67">
        <v>40920.17900462963</v>
      </c>
      <c r="F18" s="67">
        <v>41122</v>
      </c>
      <c r="G18" s="64">
        <f>IF(stdProdLT(Main[[#This Row],[Comments]])=0.1,"N/A",IF(stdProdLT(Main[[#This Row],[Comments]])=0,"",stdProdLT(Main[[#This Row],[Comments]])))</f>
        <v>168</v>
      </c>
      <c r="H18" s="68">
        <f>IF(AND(Main[[#This Row],[In Stock Date]]&lt;&gt;"",Main[[#This Row],[Revised Due Date]]&lt;&gt;""),Main[[#This Row],[In Stock Date]]-Main[[#This Row],[Revised Due Date]],"")</f>
        <v>160</v>
      </c>
      <c r="I18" s="65" t="s">
        <v>102</v>
      </c>
      <c r="J18" s="65" t="s">
        <v>51</v>
      </c>
      <c r="K18" s="65" t="s">
        <v>1930</v>
      </c>
      <c r="L18" s="67">
        <v>40925</v>
      </c>
      <c r="M18" s="69">
        <f>IF(Main[[#This Row],[Tech Start Date]]&lt;1/1/1990,"",IF(Main[[#This Row],[Class]]="C",WORKDAY(Main[[#This Row],[Tech Start Date]],9),IF(Main[[#This Row],[Class]]="B", WORKDAY(Main[[#This Row],[Tech Start Date]],6),IF(Main[[#This Row],[Class]]="A",WORKDAY(Main[[#This Row],[Tech Start Date]],2),""))))</f>
        <v>40938</v>
      </c>
      <c r="N18" s="69">
        <f>IF(Main[[#This Row],[Tech Start Date]]&lt;1/1/1990,"",IF(Main[[#This Row],[Class]]="C",WORKDAY(Main[[#This Row],[Tech Start Date]],19),IF(Main[[#This Row],[Class]]="B", WORKDAY(Main[[#This Row],[Tech Start Date]],12),IF(Main[[#This Row],[Class]]="A",WORKDAY(Main[[#This Row],[Tech Start Date]],4),""))))</f>
        <v>40952</v>
      </c>
      <c r="O18" s="69">
        <f>IF(Main[[#This Row],[Tech Start Date]]&lt;1/1/1990,"",IF(Main[[#This Row],[Class]]="C",WORKDAY(Main[[#This Row],[Tech Start Date]],23),IF(Main[[#This Row],[Class]]="B", WORKDAY(Main[[#This Row],[Tech Start Date]],15),IF(Main[[#This Row],[Class]]="A",WORKDAY(Main[[#This Row],[Tech Start Date]],5),""))))</f>
        <v>40956</v>
      </c>
      <c r="P18" s="69">
        <f>IF(Main[[#This Row],[Tech Start Date]]&lt;1/1/1990,"",IF(Main[[#This Row],[Class]]="C",WORKDAY(Main[[#This Row],[Tech Start Date]],28),IF(Main[[#This Row],[Class]]="B", WORKDAY(Main[[#This Row],[Tech Start Date]],19),IF(Main[[#This Row],[Class]]="A",WORKDAY(Main[[#This Row],[Tech Start Date]],9),""))))</f>
        <v>40963</v>
      </c>
      <c r="Q18" s="67">
        <v>40953</v>
      </c>
      <c r="R18" s="67">
        <v>40962</v>
      </c>
      <c r="S18" s="65" t="s">
        <v>11</v>
      </c>
      <c r="T18" s="70" t="s">
        <v>3873</v>
      </c>
      <c r="U18" s="65" t="s">
        <v>29</v>
      </c>
      <c r="V18" s="65" t="s">
        <v>1920</v>
      </c>
      <c r="W18" s="65" t="s">
        <v>1923</v>
      </c>
      <c r="X18" s="65" t="s">
        <v>2854</v>
      </c>
      <c r="Y18" s="65" t="s">
        <v>2985</v>
      </c>
      <c r="Z18" s="65" t="s">
        <v>306</v>
      </c>
      <c r="AA18" s="65" t="s">
        <v>2854</v>
      </c>
    </row>
    <row r="19" spans="1:27" ht="17.45" customHeight="1">
      <c r="A19" s="131">
        <f>IF(priority(Main[[#This Row],[Comments]])&lt;&gt;0, priority(Main[[#This Row],[Comments]]),"")</f>
        <v>3</v>
      </c>
      <c r="B19" s="99" t="s">
        <v>1893</v>
      </c>
      <c r="C19" s="65" t="s">
        <v>947</v>
      </c>
      <c r="D19" s="66" t="s">
        <v>2636</v>
      </c>
      <c r="E19" s="67">
        <v>40694.711041666669</v>
      </c>
      <c r="F19" s="67"/>
      <c r="G19" s="64" t="str">
        <f>IF(stdProdLT(Main[[#This Row],[Comments]])=0.1,"N/A",IF(stdProdLT(Main[[#This Row],[Comments]])=0,"",stdProdLT(Main[[#This Row],[Comments]])))</f>
        <v/>
      </c>
      <c r="H19" s="68" t="str">
        <f>IF(AND(Main[[#This Row],[In Stock Date]]&lt;&gt;"",Main[[#This Row],[Revised Due Date]]&lt;&gt;""),Main[[#This Row],[In Stock Date]]-Main[[#This Row],[Revised Due Date]],"")</f>
        <v/>
      </c>
      <c r="I19" s="65" t="s">
        <v>948</v>
      </c>
      <c r="J19" s="65" t="s">
        <v>28</v>
      </c>
      <c r="K19" s="65" t="s">
        <v>1929</v>
      </c>
      <c r="L19" s="67">
        <v>40848</v>
      </c>
      <c r="M19" s="69" t="str">
        <f>IF(Main[[#This Row],[Tech Start Date]]&lt;1/1/1990,"",IF(Main[[#This Row],[Class]]="C",WORKDAY(Main[[#This Row],[Tech Start Date]],9),IF(Main[[#This Row],[Class]]="B", WORKDAY(Main[[#This Row],[Tech Start Date]],6),IF(Main[[#This Row],[Class]]="A",WORKDAY(Main[[#This Row],[Tech Start Date]],2),""))))</f>
        <v/>
      </c>
      <c r="N19" s="69" t="str">
        <f>IF(Main[[#This Row],[Tech Start Date]]&lt;1/1/1990,"",IF(Main[[#This Row],[Class]]="C",WORKDAY(Main[[#This Row],[Tech Start Date]],19),IF(Main[[#This Row],[Class]]="B", WORKDAY(Main[[#This Row],[Tech Start Date]],12),IF(Main[[#This Row],[Class]]="A",WORKDAY(Main[[#This Row],[Tech Start Date]],4),""))))</f>
        <v/>
      </c>
      <c r="O19" s="69" t="str">
        <f>IF(Main[[#This Row],[Tech Start Date]]&lt;1/1/1990,"",IF(Main[[#This Row],[Class]]="C",WORKDAY(Main[[#This Row],[Tech Start Date]],23),IF(Main[[#This Row],[Class]]="B", WORKDAY(Main[[#This Row],[Tech Start Date]],15),IF(Main[[#This Row],[Class]]="A",WORKDAY(Main[[#This Row],[Tech Start Date]],5),""))))</f>
        <v/>
      </c>
      <c r="P19" s="69" t="str">
        <f>IF(Main[[#This Row],[Tech Start Date]]&lt;1/1/1990,"",IF(Main[[#This Row],[Class]]="C",WORKDAY(Main[[#This Row],[Tech Start Date]],28),IF(Main[[#This Row],[Class]]="B", WORKDAY(Main[[#This Row],[Tech Start Date]],19),IF(Main[[#This Row],[Class]]="A",WORKDAY(Main[[#This Row],[Tech Start Date]],9),""))))</f>
        <v/>
      </c>
      <c r="Q19" s="67">
        <v>40729</v>
      </c>
      <c r="R19" s="67"/>
      <c r="S19" s="65" t="s">
        <v>17</v>
      </c>
      <c r="T19" s="70" t="s">
        <v>3842</v>
      </c>
      <c r="U19" s="65" t="s">
        <v>29</v>
      </c>
      <c r="V19" s="65" t="s">
        <v>1932</v>
      </c>
      <c r="W19" s="65" t="s">
        <v>1925</v>
      </c>
      <c r="X19" s="65" t="s">
        <v>2868</v>
      </c>
      <c r="Y19" s="65" t="s">
        <v>3012</v>
      </c>
      <c r="Z19" s="65" t="s">
        <v>2214</v>
      </c>
      <c r="AA19" s="65" t="s">
        <v>2868</v>
      </c>
    </row>
    <row r="20" spans="1:27" ht="17.45" customHeight="1">
      <c r="A20" s="131">
        <f>IF(priority(Main[[#This Row],[Comments]])&lt;&gt;0, priority(Main[[#This Row],[Comments]]),"")</f>
        <v>3</v>
      </c>
      <c r="B20" s="99" t="s">
        <v>2736</v>
      </c>
      <c r="C20" s="65" t="s">
        <v>3187</v>
      </c>
      <c r="D20" s="66" t="s">
        <v>3857</v>
      </c>
      <c r="E20" s="67">
        <v>40911.202465277776</v>
      </c>
      <c r="F20" s="67">
        <v>41334</v>
      </c>
      <c r="G20" s="64">
        <f>IF(stdProdLT(Main[[#This Row],[Comments]])=0.1,"N/A",IF(stdProdLT(Main[[#This Row],[Comments]])=0,"",stdProdLT(Main[[#This Row],[Comments]])))</f>
        <v>140</v>
      </c>
      <c r="H20" s="68">
        <f>IF(AND(Main[[#This Row],[In Stock Date]]&lt;&gt;"",Main[[#This Row],[Revised Due Date]]&lt;&gt;""),Main[[#This Row],[In Stock Date]]-Main[[#This Row],[Revised Due Date]],"")</f>
        <v>366</v>
      </c>
      <c r="I20" s="65" t="s">
        <v>972</v>
      </c>
      <c r="J20" s="65" t="s">
        <v>51</v>
      </c>
      <c r="K20" s="65" t="s">
        <v>1924</v>
      </c>
      <c r="L20" s="67">
        <v>40913</v>
      </c>
      <c r="M20" s="69">
        <f>IF(Main[[#This Row],[Tech Start Date]]&lt;1/1/1990,"",IF(Main[[#This Row],[Class]]="C",WORKDAY(Main[[#This Row],[Tech Start Date]],9),IF(Main[[#This Row],[Class]]="B", WORKDAY(Main[[#This Row],[Tech Start Date]],6),IF(Main[[#This Row],[Class]]="A",WORKDAY(Main[[#This Row],[Tech Start Date]],2),""))))</f>
        <v>40921</v>
      </c>
      <c r="N20" s="69">
        <f>IF(Main[[#This Row],[Tech Start Date]]&lt;1/1/1990,"",IF(Main[[#This Row],[Class]]="C",WORKDAY(Main[[#This Row],[Tech Start Date]],19),IF(Main[[#This Row],[Class]]="B", WORKDAY(Main[[#This Row],[Tech Start Date]],12),IF(Main[[#This Row],[Class]]="A",WORKDAY(Main[[#This Row],[Tech Start Date]],4),""))))</f>
        <v>40931</v>
      </c>
      <c r="O20" s="69">
        <f>IF(Main[[#This Row],[Tech Start Date]]&lt;1/1/1990,"",IF(Main[[#This Row],[Class]]="C",WORKDAY(Main[[#This Row],[Tech Start Date]],23),IF(Main[[#This Row],[Class]]="B", WORKDAY(Main[[#This Row],[Tech Start Date]],15),IF(Main[[#This Row],[Class]]="A",WORKDAY(Main[[#This Row],[Tech Start Date]],5),""))))</f>
        <v>40934</v>
      </c>
      <c r="P20" s="69">
        <f>IF(Main[[#This Row],[Tech Start Date]]&lt;1/1/1990,"",IF(Main[[#This Row],[Class]]="C",WORKDAY(Main[[#This Row],[Tech Start Date]],28),IF(Main[[#This Row],[Class]]="B", WORKDAY(Main[[#This Row],[Tech Start Date]],19),IF(Main[[#This Row],[Class]]="A",WORKDAY(Main[[#This Row],[Tech Start Date]],9),""))))</f>
        <v>40940</v>
      </c>
      <c r="Q20" s="67">
        <v>40903</v>
      </c>
      <c r="R20" s="67">
        <v>40968</v>
      </c>
      <c r="S20" s="65" t="s">
        <v>11</v>
      </c>
      <c r="T20" s="70" t="s">
        <v>3858</v>
      </c>
      <c r="U20" s="65" t="s">
        <v>29</v>
      </c>
      <c r="V20" s="65" t="s">
        <v>1927</v>
      </c>
      <c r="W20" s="65" t="s">
        <v>1923</v>
      </c>
      <c r="X20" s="65" t="s">
        <v>2852</v>
      </c>
      <c r="Y20" s="65" t="s">
        <v>4</v>
      </c>
      <c r="Z20" s="65" t="s">
        <v>530</v>
      </c>
      <c r="AA20" s="65" t="s">
        <v>2852</v>
      </c>
    </row>
    <row r="21" spans="1:27" ht="17.45" customHeight="1">
      <c r="A21" s="131">
        <f>IF(priority(Main[[#This Row],[Comments]])&lt;&gt;0, priority(Main[[#This Row],[Comments]]),"")</f>
        <v>5</v>
      </c>
      <c r="B21" s="99" t="s">
        <v>2147</v>
      </c>
      <c r="C21" s="65" t="s">
        <v>2027</v>
      </c>
      <c r="D21" s="66" t="s">
        <v>2148</v>
      </c>
      <c r="E21" s="67"/>
      <c r="F21" s="67">
        <v>40771</v>
      </c>
      <c r="G21" s="64">
        <f>IF(stdProdLT(Main[[#This Row],[Comments]])=0.1,"N/A",IF(stdProdLT(Main[[#This Row],[Comments]])=0,"",stdProdLT(Main[[#This Row],[Comments]])))</f>
        <v>154</v>
      </c>
      <c r="H21" s="68">
        <f>IF(AND(Main[[#This Row],[In Stock Date]]&lt;&gt;"",Main[[#This Row],[Revised Due Date]]&lt;&gt;""),Main[[#This Row],[In Stock Date]]-Main[[#This Row],[Revised Due Date]],"")</f>
        <v>-44</v>
      </c>
      <c r="I21" s="65" t="s">
        <v>943</v>
      </c>
      <c r="J21" s="65" t="s">
        <v>28</v>
      </c>
      <c r="K21" s="71" t="s">
        <v>1930</v>
      </c>
      <c r="L21" s="67">
        <v>40772</v>
      </c>
      <c r="M21" s="69">
        <f>IF(Main[[#This Row],[Tech Start Date]]&lt;1/1/1990,"",IF(Main[[#This Row],[Class]]="C",WORKDAY(Main[[#This Row],[Tech Start Date]],9),IF(Main[[#This Row],[Class]]="B", WORKDAY(Main[[#This Row],[Tech Start Date]],6),IF(Main[[#This Row],[Class]]="A",WORKDAY(Main[[#This Row],[Tech Start Date]],2),""))))</f>
        <v>40785</v>
      </c>
      <c r="N21" s="69">
        <f>IF(Main[[#This Row],[Tech Start Date]]&lt;1/1/1990,"",IF(Main[[#This Row],[Class]]="C",WORKDAY(Main[[#This Row],[Tech Start Date]],19),IF(Main[[#This Row],[Class]]="B", WORKDAY(Main[[#This Row],[Tech Start Date]],12),IF(Main[[#This Row],[Class]]="A",WORKDAY(Main[[#This Row],[Tech Start Date]],4),""))))</f>
        <v>40799</v>
      </c>
      <c r="O21" s="69">
        <f>IF(Main[[#This Row],[Tech Start Date]]&lt;1/1/1990,"",IF(Main[[#This Row],[Class]]="C",WORKDAY(Main[[#This Row],[Tech Start Date]],23),IF(Main[[#This Row],[Class]]="B", WORKDAY(Main[[#This Row],[Tech Start Date]],15),IF(Main[[#This Row],[Class]]="A",WORKDAY(Main[[#This Row],[Tech Start Date]],5),""))))</f>
        <v>40805</v>
      </c>
      <c r="P21" s="69">
        <f>IF(Main[[#This Row],[Tech Start Date]]&lt;1/1/1990,"",IF(Main[[#This Row],[Class]]="C",WORKDAY(Main[[#This Row],[Tech Start Date]],28),IF(Main[[#This Row],[Class]]="B", WORKDAY(Main[[#This Row],[Tech Start Date]],19),IF(Main[[#This Row],[Class]]="A",WORKDAY(Main[[#This Row],[Tech Start Date]],9),""))))</f>
        <v>40812</v>
      </c>
      <c r="Q21" s="67">
        <v>40771</v>
      </c>
      <c r="R21" s="67">
        <v>40815</v>
      </c>
      <c r="S21" s="65" t="s">
        <v>11</v>
      </c>
      <c r="T21" s="70" t="s">
        <v>2149</v>
      </c>
      <c r="U21" s="65" t="s">
        <v>14</v>
      </c>
      <c r="V21" s="65" t="s">
        <v>1918</v>
      </c>
      <c r="W21" s="65" t="s">
        <v>1925</v>
      </c>
      <c r="X21" s="65" t="s">
        <v>2822</v>
      </c>
      <c r="Y21" s="65" t="s">
        <v>4</v>
      </c>
      <c r="Z21" s="65" t="s">
        <v>2056</v>
      </c>
      <c r="AA21" s="65" t="s">
        <v>2822</v>
      </c>
    </row>
    <row r="22" spans="1:27" ht="17.45" customHeight="1">
      <c r="A22" s="131">
        <f>IF(priority(Main[[#This Row],[Comments]])&lt;&gt;0, priority(Main[[#This Row],[Comments]]),"")</f>
        <v>5</v>
      </c>
      <c r="B22" s="99" t="s">
        <v>3261</v>
      </c>
      <c r="C22" s="65" t="s">
        <v>578</v>
      </c>
      <c r="D22" s="66" t="s">
        <v>3883</v>
      </c>
      <c r="E22" s="67">
        <v>40933.480763888889</v>
      </c>
      <c r="F22" s="67">
        <v>40969</v>
      </c>
      <c r="G22" s="64" t="str">
        <f>IF(stdProdLT(Main[[#This Row],[Comments]])=0.1,"N/A",IF(stdProdLT(Main[[#This Row],[Comments]])=0,"",stdProdLT(Main[[#This Row],[Comments]])))</f>
        <v>N/A</v>
      </c>
      <c r="H22" s="68">
        <f>IF(AND(Main[[#This Row],[In Stock Date]]&lt;&gt;"",Main[[#This Row],[Revised Due Date]]&lt;&gt;""),Main[[#This Row],[In Stock Date]]-Main[[#This Row],[Revised Due Date]],"")</f>
        <v>-4</v>
      </c>
      <c r="I22" s="65" t="s">
        <v>942</v>
      </c>
      <c r="J22" s="65" t="s">
        <v>28</v>
      </c>
      <c r="K22" s="65" t="s">
        <v>1930</v>
      </c>
      <c r="L22" s="67">
        <v>40938</v>
      </c>
      <c r="M22" s="69">
        <f>IF(Main[[#This Row],[Tech Start Date]]&lt;1/1/1990,"",IF(Main[[#This Row],[Class]]="C",WORKDAY(Main[[#This Row],[Tech Start Date]],9),IF(Main[[#This Row],[Class]]="B", WORKDAY(Main[[#This Row],[Tech Start Date]],6),IF(Main[[#This Row],[Class]]="A",WORKDAY(Main[[#This Row],[Tech Start Date]],2),""))))</f>
        <v>40949</v>
      </c>
      <c r="N22" s="69">
        <f>IF(Main[[#This Row],[Tech Start Date]]&lt;1/1/1990,"",IF(Main[[#This Row],[Class]]="C",WORKDAY(Main[[#This Row],[Tech Start Date]],19),IF(Main[[#This Row],[Class]]="B", WORKDAY(Main[[#This Row],[Tech Start Date]],12),IF(Main[[#This Row],[Class]]="A",WORKDAY(Main[[#This Row],[Tech Start Date]],4),""))))</f>
        <v>40963</v>
      </c>
      <c r="O22" s="69">
        <f>IF(Main[[#This Row],[Tech Start Date]]&lt;1/1/1990,"",IF(Main[[#This Row],[Class]]="C",WORKDAY(Main[[#This Row],[Tech Start Date]],23),IF(Main[[#This Row],[Class]]="B", WORKDAY(Main[[#This Row],[Tech Start Date]],15),IF(Main[[#This Row],[Class]]="A",WORKDAY(Main[[#This Row],[Tech Start Date]],5),""))))</f>
        <v>40969</v>
      </c>
      <c r="P22" s="69">
        <f>IF(Main[[#This Row],[Tech Start Date]]&lt;1/1/1990,"",IF(Main[[#This Row],[Class]]="C",WORKDAY(Main[[#This Row],[Tech Start Date]],28),IF(Main[[#This Row],[Class]]="B", WORKDAY(Main[[#This Row],[Tech Start Date]],19),IF(Main[[#This Row],[Class]]="A",WORKDAY(Main[[#This Row],[Tech Start Date]],9),""))))</f>
        <v>40976</v>
      </c>
      <c r="Q22" s="67">
        <v>40940</v>
      </c>
      <c r="R22" s="67">
        <v>40973</v>
      </c>
      <c r="S22" s="65" t="s">
        <v>11</v>
      </c>
      <c r="T22" s="70" t="s">
        <v>3884</v>
      </c>
      <c r="U22" s="65" t="s">
        <v>29</v>
      </c>
      <c r="V22" s="65" t="s">
        <v>1918</v>
      </c>
      <c r="W22" s="65" t="s">
        <v>1919</v>
      </c>
      <c r="X22" s="65" t="s">
        <v>2822</v>
      </c>
      <c r="Y22" s="65" t="s">
        <v>4</v>
      </c>
      <c r="Z22" s="65" t="s">
        <v>2056</v>
      </c>
      <c r="AA22" s="65" t="s">
        <v>2822</v>
      </c>
    </row>
    <row r="23" spans="1:27" ht="17.45" customHeight="1">
      <c r="A23" s="131">
        <f>IF(priority(Main[[#This Row],[Comments]])&lt;&gt;0, priority(Main[[#This Row],[Comments]]),"")</f>
        <v>6</v>
      </c>
      <c r="B23" s="99" t="s">
        <v>2403</v>
      </c>
      <c r="C23" s="65" t="s">
        <v>2404</v>
      </c>
      <c r="D23" s="66" t="s">
        <v>3851</v>
      </c>
      <c r="E23" s="67">
        <v>40864.56318287037</v>
      </c>
      <c r="F23" s="67"/>
      <c r="G23" s="64" t="str">
        <f>IF(stdProdLT(Main[[#This Row],[Comments]])=0.1,"N/A",IF(stdProdLT(Main[[#This Row],[Comments]])=0,"",stdProdLT(Main[[#This Row],[Comments]])))</f>
        <v>N/A</v>
      </c>
      <c r="H23" s="68" t="str">
        <f>IF(AND(Main[[#This Row],[In Stock Date]]&lt;&gt;"",Main[[#This Row],[Revised Due Date]]&lt;&gt;""),Main[[#This Row],[In Stock Date]]-Main[[#This Row],[Revised Due Date]],"")</f>
        <v/>
      </c>
      <c r="I23" s="65" t="s">
        <v>2254</v>
      </c>
      <c r="J23" s="65" t="s">
        <v>28</v>
      </c>
      <c r="K23" s="65" t="s">
        <v>1924</v>
      </c>
      <c r="L23" s="67">
        <v>40878</v>
      </c>
      <c r="M23" s="69">
        <f>IF(Main[[#This Row],[Tech Start Date]]&lt;1/1/1990,"",IF(Main[[#This Row],[Class]]="C",WORKDAY(Main[[#This Row],[Tech Start Date]],9),IF(Main[[#This Row],[Class]]="B", WORKDAY(Main[[#This Row],[Tech Start Date]],6),IF(Main[[#This Row],[Class]]="A",WORKDAY(Main[[#This Row],[Tech Start Date]],2),""))))</f>
        <v>40886</v>
      </c>
      <c r="N23" s="69">
        <f>IF(Main[[#This Row],[Tech Start Date]]&lt;1/1/1990,"",IF(Main[[#This Row],[Class]]="C",WORKDAY(Main[[#This Row],[Tech Start Date]],19),IF(Main[[#This Row],[Class]]="B", WORKDAY(Main[[#This Row],[Tech Start Date]],12),IF(Main[[#This Row],[Class]]="A",WORKDAY(Main[[#This Row],[Tech Start Date]],4),""))))</f>
        <v>40896</v>
      </c>
      <c r="O23" s="69">
        <f>IF(Main[[#This Row],[Tech Start Date]]&lt;1/1/1990,"",IF(Main[[#This Row],[Class]]="C",WORKDAY(Main[[#This Row],[Tech Start Date]],23),IF(Main[[#This Row],[Class]]="B", WORKDAY(Main[[#This Row],[Tech Start Date]],15),IF(Main[[#This Row],[Class]]="A",WORKDAY(Main[[#This Row],[Tech Start Date]],5),""))))</f>
        <v>40899</v>
      </c>
      <c r="P23" s="69">
        <f>IF(Main[[#This Row],[Tech Start Date]]&lt;1/1/1990,"",IF(Main[[#This Row],[Class]]="C",WORKDAY(Main[[#This Row],[Tech Start Date]],28),IF(Main[[#This Row],[Class]]="B", WORKDAY(Main[[#This Row],[Tech Start Date]],19),IF(Main[[#This Row],[Class]]="A",WORKDAY(Main[[#This Row],[Tech Start Date]],9),""))))</f>
        <v>40905</v>
      </c>
      <c r="Q23" s="67"/>
      <c r="R23" s="67">
        <v>40982</v>
      </c>
      <c r="S23" s="65" t="s">
        <v>11</v>
      </c>
      <c r="T23" s="70" t="s">
        <v>3852</v>
      </c>
      <c r="U23" s="65" t="s">
        <v>29</v>
      </c>
      <c r="V23" s="65" t="s">
        <v>1918</v>
      </c>
      <c r="W23" s="65" t="s">
        <v>1919</v>
      </c>
      <c r="X23" s="65" t="s">
        <v>2822</v>
      </c>
      <c r="Y23" s="65" t="s">
        <v>2999</v>
      </c>
      <c r="Z23" s="65" t="s">
        <v>2056</v>
      </c>
      <c r="AA23" s="65" t="s">
        <v>2822</v>
      </c>
    </row>
    <row r="24" spans="1:27" ht="17.45" customHeight="1">
      <c r="A24" s="131">
        <f>IF(priority(Main[[#This Row],[Comments]])&lt;&gt;0, priority(Main[[#This Row],[Comments]]),"")</f>
        <v>6</v>
      </c>
      <c r="B24" s="99" t="s">
        <v>3236</v>
      </c>
      <c r="C24" s="65" t="s">
        <v>3217</v>
      </c>
      <c r="D24" s="66" t="s">
        <v>3876</v>
      </c>
      <c r="E24" s="67">
        <v>40925.100439814814</v>
      </c>
      <c r="F24" s="67">
        <v>41153</v>
      </c>
      <c r="G24" s="64">
        <f>IF(stdProdLT(Main[[#This Row],[Comments]])=0.1,"N/A",IF(stdProdLT(Main[[#This Row],[Comments]])=0,"",stdProdLT(Main[[#This Row],[Comments]])))</f>
        <v>140</v>
      </c>
      <c r="H24" s="68">
        <f>IF(AND(Main[[#This Row],[In Stock Date]]&lt;&gt;"",Main[[#This Row],[Revised Due Date]]&lt;&gt;""),Main[[#This Row],[In Stock Date]]-Main[[#This Row],[Revised Due Date]],"")</f>
        <v>190</v>
      </c>
      <c r="I24" s="65" t="s">
        <v>972</v>
      </c>
      <c r="J24" s="65" t="s">
        <v>51</v>
      </c>
      <c r="K24" s="65" t="s">
        <v>1924</v>
      </c>
      <c r="L24" s="67">
        <v>40925</v>
      </c>
      <c r="M24" s="69">
        <f>IF(Main[[#This Row],[Tech Start Date]]&lt;1/1/1990,"",IF(Main[[#This Row],[Class]]="C",WORKDAY(Main[[#This Row],[Tech Start Date]],9),IF(Main[[#This Row],[Class]]="B", WORKDAY(Main[[#This Row],[Tech Start Date]],6),IF(Main[[#This Row],[Class]]="A",WORKDAY(Main[[#This Row],[Tech Start Date]],2),""))))</f>
        <v>40933</v>
      </c>
      <c r="N24" s="69">
        <f>IF(Main[[#This Row],[Tech Start Date]]&lt;1/1/1990,"",IF(Main[[#This Row],[Class]]="C",WORKDAY(Main[[#This Row],[Tech Start Date]],19),IF(Main[[#This Row],[Class]]="B", WORKDAY(Main[[#This Row],[Tech Start Date]],12),IF(Main[[#This Row],[Class]]="A",WORKDAY(Main[[#This Row],[Tech Start Date]],4),""))))</f>
        <v>40941</v>
      </c>
      <c r="O24" s="69">
        <f>IF(Main[[#This Row],[Tech Start Date]]&lt;1/1/1990,"",IF(Main[[#This Row],[Class]]="C",WORKDAY(Main[[#This Row],[Tech Start Date]],23),IF(Main[[#This Row],[Class]]="B", WORKDAY(Main[[#This Row],[Tech Start Date]],15),IF(Main[[#This Row],[Class]]="A",WORKDAY(Main[[#This Row],[Tech Start Date]],5),""))))</f>
        <v>40946</v>
      </c>
      <c r="P24" s="69">
        <f>IF(Main[[#This Row],[Tech Start Date]]&lt;1/1/1990,"",IF(Main[[#This Row],[Class]]="C",WORKDAY(Main[[#This Row],[Tech Start Date]],28),IF(Main[[#This Row],[Class]]="B", WORKDAY(Main[[#This Row],[Tech Start Date]],19),IF(Main[[#This Row],[Class]]="A",WORKDAY(Main[[#This Row],[Tech Start Date]],9),""))))</f>
        <v>40952</v>
      </c>
      <c r="Q24" s="67">
        <v>41011</v>
      </c>
      <c r="R24" s="67">
        <v>40963</v>
      </c>
      <c r="S24" s="65" t="s">
        <v>11</v>
      </c>
      <c r="T24" s="70" t="s">
        <v>3877</v>
      </c>
      <c r="U24" s="65" t="s">
        <v>29</v>
      </c>
      <c r="V24" s="65" t="s">
        <v>1927</v>
      </c>
      <c r="W24" s="65" t="s">
        <v>1923</v>
      </c>
      <c r="X24" s="65" t="s">
        <v>2854</v>
      </c>
      <c r="Y24" s="65" t="s">
        <v>2985</v>
      </c>
      <c r="Z24" s="65" t="s">
        <v>530</v>
      </c>
      <c r="AA24" s="65" t="s">
        <v>2854</v>
      </c>
    </row>
    <row r="25" spans="1:27" ht="17.45" customHeight="1">
      <c r="A25" s="131">
        <f>IF(priority(Main[[#This Row],[Comments]])&lt;&gt;0, priority(Main[[#This Row],[Comments]]),"")</f>
        <v>7</v>
      </c>
      <c r="B25" s="99" t="s">
        <v>3670</v>
      </c>
      <c r="C25" s="65" t="s">
        <v>3656</v>
      </c>
      <c r="D25" s="66" t="s">
        <v>3671</v>
      </c>
      <c r="E25" s="67">
        <v>40960.491516203707</v>
      </c>
      <c r="F25" s="67">
        <v>40963</v>
      </c>
      <c r="G25" s="64" t="str">
        <f>IF(stdProdLT(Main[[#This Row],[Comments]])=0.1,"N/A",IF(stdProdLT(Main[[#This Row],[Comments]])=0,"",stdProdLT(Main[[#This Row],[Comments]])))</f>
        <v>N/A</v>
      </c>
      <c r="H25" s="68">
        <f>IF(AND(Main[[#This Row],[In Stock Date]]&lt;&gt;"",Main[[#This Row],[Revised Due Date]]&lt;&gt;""),Main[[#This Row],[In Stock Date]]-Main[[#This Row],[Revised Due Date]],"")</f>
        <v>0</v>
      </c>
      <c r="I25" s="65" t="s">
        <v>972</v>
      </c>
      <c r="J25" s="65" t="s">
        <v>51</v>
      </c>
      <c r="K25" s="65" t="s">
        <v>1926</v>
      </c>
      <c r="L25" s="67"/>
      <c r="M25" s="69" t="str">
        <f>IF(Main[[#This Row],[Tech Start Date]]&lt;1/1/1990,"",IF(Main[[#This Row],[Class]]="C",WORKDAY(Main[[#This Row],[Tech Start Date]],9),IF(Main[[#This Row],[Class]]="B", WORKDAY(Main[[#This Row],[Tech Start Date]],6),IF(Main[[#This Row],[Class]]="A",WORKDAY(Main[[#This Row],[Tech Start Date]],2),""))))</f>
        <v/>
      </c>
      <c r="N25" s="69" t="str">
        <f>IF(Main[[#This Row],[Tech Start Date]]&lt;1/1/1990,"",IF(Main[[#This Row],[Class]]="C",WORKDAY(Main[[#This Row],[Tech Start Date]],19),IF(Main[[#This Row],[Class]]="B", WORKDAY(Main[[#This Row],[Tech Start Date]],12),IF(Main[[#This Row],[Class]]="A",WORKDAY(Main[[#This Row],[Tech Start Date]],4),""))))</f>
        <v/>
      </c>
      <c r="O25" s="69" t="str">
        <f>IF(Main[[#This Row],[Tech Start Date]]&lt;1/1/1990,"",IF(Main[[#This Row],[Class]]="C",WORKDAY(Main[[#This Row],[Tech Start Date]],23),IF(Main[[#This Row],[Class]]="B", WORKDAY(Main[[#This Row],[Tech Start Date]],15),IF(Main[[#This Row],[Class]]="A",WORKDAY(Main[[#This Row],[Tech Start Date]],5),""))))</f>
        <v/>
      </c>
      <c r="P25" s="69" t="str">
        <f>IF(Main[[#This Row],[Tech Start Date]]&lt;1/1/1990,"",IF(Main[[#This Row],[Class]]="C",WORKDAY(Main[[#This Row],[Tech Start Date]],28),IF(Main[[#This Row],[Class]]="B", WORKDAY(Main[[#This Row],[Tech Start Date]],19),IF(Main[[#This Row],[Class]]="A",WORKDAY(Main[[#This Row],[Tech Start Date]],9),""))))</f>
        <v/>
      </c>
      <c r="Q25" s="67">
        <v>40963</v>
      </c>
      <c r="R25" s="67">
        <v>40963</v>
      </c>
      <c r="S25" s="65" t="s">
        <v>11</v>
      </c>
      <c r="T25" s="70" t="s">
        <v>3672</v>
      </c>
      <c r="U25" s="65" t="s">
        <v>29</v>
      </c>
      <c r="V25" s="65" t="s">
        <v>1927</v>
      </c>
      <c r="W25" s="65" t="s">
        <v>1923</v>
      </c>
      <c r="X25" s="65" t="s">
        <v>399</v>
      </c>
      <c r="Y25" s="65" t="s">
        <v>3659</v>
      </c>
      <c r="Z25" s="65" t="s">
        <v>306</v>
      </c>
      <c r="AA25" s="65" t="s">
        <v>3658</v>
      </c>
    </row>
    <row r="26" spans="1:27" ht="17.45" customHeight="1">
      <c r="A26" s="131">
        <f>IF(priority(Main[[#This Row],[Comments]])&lt;&gt;0, priority(Main[[#This Row],[Comments]]),"")</f>
        <v>7</v>
      </c>
      <c r="B26" s="99" t="s">
        <v>3178</v>
      </c>
      <c r="C26" s="65" t="s">
        <v>3181</v>
      </c>
      <c r="D26" s="66" t="s">
        <v>3863</v>
      </c>
      <c r="E26" s="67">
        <v>40919.073576388888</v>
      </c>
      <c r="F26" s="67">
        <v>41153</v>
      </c>
      <c r="G26" s="64">
        <f>IF(stdProdLT(Main[[#This Row],[Comments]])=0.1,"N/A",IF(stdProdLT(Main[[#This Row],[Comments]])=0,"",stdProdLT(Main[[#This Row],[Comments]])))</f>
        <v>126</v>
      </c>
      <c r="H26" s="68">
        <f>IF(AND(Main[[#This Row],[In Stock Date]]&lt;&gt;"",Main[[#This Row],[Revised Due Date]]&lt;&gt;""),Main[[#This Row],[In Stock Date]]-Main[[#This Row],[Revised Due Date]],"")</f>
        <v>180</v>
      </c>
      <c r="I26" s="65" t="s">
        <v>914</v>
      </c>
      <c r="J26" s="65" t="s">
        <v>52</v>
      </c>
      <c r="K26" s="65" t="s">
        <v>1924</v>
      </c>
      <c r="L26" s="67">
        <v>40920</v>
      </c>
      <c r="M26" s="69">
        <f>IF(Main[[#This Row],[Tech Start Date]]&lt;1/1/1990,"",IF(Main[[#This Row],[Class]]="C",WORKDAY(Main[[#This Row],[Tech Start Date]],9),IF(Main[[#This Row],[Class]]="B", WORKDAY(Main[[#This Row],[Tech Start Date]],6),IF(Main[[#This Row],[Class]]="A",WORKDAY(Main[[#This Row],[Tech Start Date]],2),""))))</f>
        <v>40928</v>
      </c>
      <c r="N26" s="69">
        <f>IF(Main[[#This Row],[Tech Start Date]]&lt;1/1/1990,"",IF(Main[[#This Row],[Class]]="C",WORKDAY(Main[[#This Row],[Tech Start Date]],19),IF(Main[[#This Row],[Class]]="B", WORKDAY(Main[[#This Row],[Tech Start Date]],12),IF(Main[[#This Row],[Class]]="A",WORKDAY(Main[[#This Row],[Tech Start Date]],4),""))))</f>
        <v>40938</v>
      </c>
      <c r="O26" s="69">
        <f>IF(Main[[#This Row],[Tech Start Date]]&lt;1/1/1990,"",IF(Main[[#This Row],[Class]]="C",WORKDAY(Main[[#This Row],[Tech Start Date]],23),IF(Main[[#This Row],[Class]]="B", WORKDAY(Main[[#This Row],[Tech Start Date]],15),IF(Main[[#This Row],[Class]]="A",WORKDAY(Main[[#This Row],[Tech Start Date]],5),""))))</f>
        <v>40941</v>
      </c>
      <c r="P26" s="69">
        <f>IF(Main[[#This Row],[Tech Start Date]]&lt;1/1/1990,"",IF(Main[[#This Row],[Class]]="C",WORKDAY(Main[[#This Row],[Tech Start Date]],28),IF(Main[[#This Row],[Class]]="B", WORKDAY(Main[[#This Row],[Tech Start Date]],19),IF(Main[[#This Row],[Class]]="A",WORKDAY(Main[[#This Row],[Tech Start Date]],9),""))))</f>
        <v>40947</v>
      </c>
      <c r="Q26" s="67">
        <v>40926</v>
      </c>
      <c r="R26" s="67">
        <v>40973</v>
      </c>
      <c r="S26" s="65" t="s">
        <v>11</v>
      </c>
      <c r="T26" s="70" t="s">
        <v>3864</v>
      </c>
      <c r="U26" s="65" t="s">
        <v>29</v>
      </c>
      <c r="V26" s="65" t="s">
        <v>1917</v>
      </c>
      <c r="W26" s="65" t="s">
        <v>1928</v>
      </c>
      <c r="X26" s="65" t="s">
        <v>2852</v>
      </c>
      <c r="Y26" s="65" t="s">
        <v>4</v>
      </c>
      <c r="Z26" s="65" t="s">
        <v>129</v>
      </c>
      <c r="AA26" s="65" t="s">
        <v>2852</v>
      </c>
    </row>
    <row r="27" spans="1:27" ht="17.45" customHeight="1">
      <c r="A27" s="131">
        <f>IF(priority(Main[[#This Row],[Comments]])&lt;&gt;0, priority(Main[[#This Row],[Comments]]),"")</f>
        <v>7</v>
      </c>
      <c r="B27" s="99" t="s">
        <v>3501</v>
      </c>
      <c r="C27" s="65" t="s">
        <v>3502</v>
      </c>
      <c r="D27" s="66" t="s">
        <v>3887</v>
      </c>
      <c r="E27" s="67">
        <v>40941.352685185186</v>
      </c>
      <c r="F27" s="67">
        <v>40962</v>
      </c>
      <c r="G27" s="64" t="str">
        <f>IF(stdProdLT(Main[[#This Row],[Comments]])=0.1,"N/A",IF(stdProdLT(Main[[#This Row],[Comments]])=0,"",stdProdLT(Main[[#This Row],[Comments]])))</f>
        <v>N/A</v>
      </c>
      <c r="H27" s="68">
        <f>IF(AND(Main[[#This Row],[In Stock Date]]&lt;&gt;"",Main[[#This Row],[Revised Due Date]]&lt;&gt;""),Main[[#This Row],[In Stock Date]]-Main[[#This Row],[Revised Due Date]],"")</f>
        <v>-13</v>
      </c>
      <c r="I27" s="65" t="s">
        <v>2254</v>
      </c>
      <c r="J27" s="65" t="s">
        <v>28</v>
      </c>
      <c r="K27" s="65" t="s">
        <v>1930</v>
      </c>
      <c r="L27" s="67">
        <v>40942</v>
      </c>
      <c r="M27" s="69">
        <f>IF(Main[[#This Row],[Tech Start Date]]&lt;1/1/1990,"",IF(Main[[#This Row],[Class]]="C",WORKDAY(Main[[#This Row],[Tech Start Date]],9),IF(Main[[#This Row],[Class]]="B", WORKDAY(Main[[#This Row],[Tech Start Date]],6),IF(Main[[#This Row],[Class]]="A",WORKDAY(Main[[#This Row],[Tech Start Date]],2),""))))</f>
        <v>40955</v>
      </c>
      <c r="N27" s="69">
        <f>IF(Main[[#This Row],[Tech Start Date]]&lt;1/1/1990,"",IF(Main[[#This Row],[Class]]="C",WORKDAY(Main[[#This Row],[Tech Start Date]],19),IF(Main[[#This Row],[Class]]="B", WORKDAY(Main[[#This Row],[Tech Start Date]],12),IF(Main[[#This Row],[Class]]="A",WORKDAY(Main[[#This Row],[Tech Start Date]],4),""))))</f>
        <v>40969</v>
      </c>
      <c r="O27" s="69">
        <f>IF(Main[[#This Row],[Tech Start Date]]&lt;1/1/1990,"",IF(Main[[#This Row],[Class]]="C",WORKDAY(Main[[#This Row],[Tech Start Date]],23),IF(Main[[#This Row],[Class]]="B", WORKDAY(Main[[#This Row],[Tech Start Date]],15),IF(Main[[#This Row],[Class]]="A",WORKDAY(Main[[#This Row],[Tech Start Date]],5),""))))</f>
        <v>40975</v>
      </c>
      <c r="P27" s="69">
        <f>IF(Main[[#This Row],[Tech Start Date]]&lt;1/1/1990,"",IF(Main[[#This Row],[Class]]="C",WORKDAY(Main[[#This Row],[Tech Start Date]],28),IF(Main[[#This Row],[Class]]="B", WORKDAY(Main[[#This Row],[Tech Start Date]],19),IF(Main[[#This Row],[Class]]="A",WORKDAY(Main[[#This Row],[Tech Start Date]],9),""))))</f>
        <v>40982</v>
      </c>
      <c r="Q27" s="67">
        <v>40948</v>
      </c>
      <c r="R27" s="67">
        <v>40975</v>
      </c>
      <c r="S27" s="65" t="s">
        <v>11</v>
      </c>
      <c r="T27" s="70" t="s">
        <v>3888</v>
      </c>
      <c r="U27" s="65" t="s">
        <v>29</v>
      </c>
      <c r="V27" s="65" t="s">
        <v>1918</v>
      </c>
      <c r="W27" s="65" t="s">
        <v>1919</v>
      </c>
      <c r="X27" s="65" t="s">
        <v>2822</v>
      </c>
      <c r="Y27" s="65" t="s">
        <v>4</v>
      </c>
      <c r="Z27" s="65" t="s">
        <v>2056</v>
      </c>
      <c r="AA27" s="65" t="s">
        <v>2822</v>
      </c>
    </row>
    <row r="28" spans="1:27" ht="17.45" customHeight="1">
      <c r="A28" s="131">
        <f>IF(priority(Main[[#This Row],[Comments]])&lt;&gt;0, priority(Main[[#This Row],[Comments]]),"")</f>
        <v>8</v>
      </c>
      <c r="B28" s="99" t="s">
        <v>3706</v>
      </c>
      <c r="C28" s="65" t="s">
        <v>3656</v>
      </c>
      <c r="D28" s="66" t="s">
        <v>3707</v>
      </c>
      <c r="E28" s="67">
        <v>40960.481192129628</v>
      </c>
      <c r="F28" s="67">
        <v>40963</v>
      </c>
      <c r="G28" s="64" t="str">
        <f>IF(stdProdLT(Main[[#This Row],[Comments]])=0.1,"N/A",IF(stdProdLT(Main[[#This Row],[Comments]])=0,"",stdProdLT(Main[[#This Row],[Comments]])))</f>
        <v>N/A</v>
      </c>
      <c r="H28" s="68">
        <f>IF(AND(Main[[#This Row],[In Stock Date]]&lt;&gt;"",Main[[#This Row],[Revised Due Date]]&lt;&gt;""),Main[[#This Row],[In Stock Date]]-Main[[#This Row],[Revised Due Date]],"")</f>
        <v>0</v>
      </c>
      <c r="I28" s="65" t="s">
        <v>972</v>
      </c>
      <c r="J28" s="65" t="s">
        <v>51</v>
      </c>
      <c r="K28" s="65" t="s">
        <v>1926</v>
      </c>
      <c r="L28" s="67"/>
      <c r="M28" s="69" t="str">
        <f>IF(Main[[#This Row],[Tech Start Date]]&lt;1/1/1990,"",IF(Main[[#This Row],[Class]]="C",WORKDAY(Main[[#This Row],[Tech Start Date]],9),IF(Main[[#This Row],[Class]]="B", WORKDAY(Main[[#This Row],[Tech Start Date]],6),IF(Main[[#This Row],[Class]]="A",WORKDAY(Main[[#This Row],[Tech Start Date]],2),""))))</f>
        <v/>
      </c>
      <c r="N28" s="69" t="str">
        <f>IF(Main[[#This Row],[Tech Start Date]]&lt;1/1/1990,"",IF(Main[[#This Row],[Class]]="C",WORKDAY(Main[[#This Row],[Tech Start Date]],19),IF(Main[[#This Row],[Class]]="B", WORKDAY(Main[[#This Row],[Tech Start Date]],12),IF(Main[[#This Row],[Class]]="A",WORKDAY(Main[[#This Row],[Tech Start Date]],4),""))))</f>
        <v/>
      </c>
      <c r="O28" s="69" t="str">
        <f>IF(Main[[#This Row],[Tech Start Date]]&lt;1/1/1990,"",IF(Main[[#This Row],[Class]]="C",WORKDAY(Main[[#This Row],[Tech Start Date]],23),IF(Main[[#This Row],[Class]]="B", WORKDAY(Main[[#This Row],[Tech Start Date]],15),IF(Main[[#This Row],[Class]]="A",WORKDAY(Main[[#This Row],[Tech Start Date]],5),""))))</f>
        <v/>
      </c>
      <c r="P28" s="69" t="str">
        <f>IF(Main[[#This Row],[Tech Start Date]]&lt;1/1/1990,"",IF(Main[[#This Row],[Class]]="C",WORKDAY(Main[[#This Row],[Tech Start Date]],28),IF(Main[[#This Row],[Class]]="B", WORKDAY(Main[[#This Row],[Tech Start Date]],19),IF(Main[[#This Row],[Class]]="A",WORKDAY(Main[[#This Row],[Tech Start Date]],9),""))))</f>
        <v/>
      </c>
      <c r="Q28" s="67">
        <v>40963</v>
      </c>
      <c r="R28" s="67">
        <v>40963</v>
      </c>
      <c r="S28" s="65" t="s">
        <v>11</v>
      </c>
      <c r="T28" s="70" t="s">
        <v>3708</v>
      </c>
      <c r="U28" s="65" t="s">
        <v>29</v>
      </c>
      <c r="V28" s="65" t="s">
        <v>1927</v>
      </c>
      <c r="W28" s="65" t="s">
        <v>1923</v>
      </c>
      <c r="X28" s="65" t="s">
        <v>399</v>
      </c>
      <c r="Y28" s="65" t="s">
        <v>3659</v>
      </c>
      <c r="Z28" s="65" t="s">
        <v>306</v>
      </c>
      <c r="AA28" s="65" t="s">
        <v>3658</v>
      </c>
    </row>
    <row r="29" spans="1:27" ht="17.45" customHeight="1">
      <c r="A29" s="131">
        <f>IF(priority(Main[[#This Row],[Comments]])&lt;&gt;0, priority(Main[[#This Row],[Comments]]),"")</f>
        <v>8</v>
      </c>
      <c r="B29" s="99" t="s">
        <v>3760</v>
      </c>
      <c r="C29" s="65" t="s">
        <v>95</v>
      </c>
      <c r="D29" s="66" t="s">
        <v>3761</v>
      </c>
      <c r="E29" s="67">
        <v>40959.551469907405</v>
      </c>
      <c r="F29" s="67">
        <v>40967</v>
      </c>
      <c r="G29" s="64" t="str">
        <f>IF(stdProdLT(Main[[#This Row],[Comments]])=0.1,"N/A",IF(stdProdLT(Main[[#This Row],[Comments]])=0,"",stdProdLT(Main[[#This Row],[Comments]])))</f>
        <v>N/A</v>
      </c>
      <c r="H29" s="68">
        <f>IF(AND(Main[[#This Row],[In Stock Date]]&lt;&gt;"",Main[[#This Row],[Revised Due Date]]&lt;&gt;""),Main[[#This Row],[In Stock Date]]-Main[[#This Row],[Revised Due Date]],"")</f>
        <v>0</v>
      </c>
      <c r="I29" s="65" t="s">
        <v>126</v>
      </c>
      <c r="J29" s="65" t="s">
        <v>21</v>
      </c>
      <c r="K29" s="65" t="s">
        <v>1926</v>
      </c>
      <c r="L29" s="67"/>
      <c r="M29" s="69" t="str">
        <f>IF(Main[[#This Row],[Tech Start Date]]&lt;1/1/1990,"",IF(Main[[#This Row],[Class]]="C",WORKDAY(Main[[#This Row],[Tech Start Date]],9),IF(Main[[#This Row],[Class]]="B", WORKDAY(Main[[#This Row],[Tech Start Date]],6),IF(Main[[#This Row],[Class]]="A",WORKDAY(Main[[#This Row],[Tech Start Date]],2),""))))</f>
        <v/>
      </c>
      <c r="N29" s="69" t="str">
        <f>IF(Main[[#This Row],[Tech Start Date]]&lt;1/1/1990,"",IF(Main[[#This Row],[Class]]="C",WORKDAY(Main[[#This Row],[Tech Start Date]],19),IF(Main[[#This Row],[Class]]="B", WORKDAY(Main[[#This Row],[Tech Start Date]],12),IF(Main[[#This Row],[Class]]="A",WORKDAY(Main[[#This Row],[Tech Start Date]],4),""))))</f>
        <v/>
      </c>
      <c r="O29" s="69" t="str">
        <f>IF(Main[[#This Row],[Tech Start Date]]&lt;1/1/1990,"",IF(Main[[#This Row],[Class]]="C",WORKDAY(Main[[#This Row],[Tech Start Date]],23),IF(Main[[#This Row],[Class]]="B", WORKDAY(Main[[#This Row],[Tech Start Date]],15),IF(Main[[#This Row],[Class]]="A",WORKDAY(Main[[#This Row],[Tech Start Date]],5),""))))</f>
        <v/>
      </c>
      <c r="P29" s="69" t="str">
        <f>IF(Main[[#This Row],[Tech Start Date]]&lt;1/1/1990,"",IF(Main[[#This Row],[Class]]="C",WORKDAY(Main[[#This Row],[Tech Start Date]],28),IF(Main[[#This Row],[Class]]="B", WORKDAY(Main[[#This Row],[Tech Start Date]],19),IF(Main[[#This Row],[Class]]="A",WORKDAY(Main[[#This Row],[Tech Start Date]],9),""))))</f>
        <v/>
      </c>
      <c r="Q29" s="67">
        <v>40976</v>
      </c>
      <c r="R29" s="67">
        <v>40967</v>
      </c>
      <c r="S29" s="65" t="s">
        <v>11</v>
      </c>
      <c r="T29" s="70" t="s">
        <v>3708</v>
      </c>
      <c r="U29" s="65" t="s">
        <v>29</v>
      </c>
      <c r="V29" s="65" t="s">
        <v>1917</v>
      </c>
      <c r="W29" s="65" t="s">
        <v>1919</v>
      </c>
      <c r="X29" s="65" t="s">
        <v>2858</v>
      </c>
      <c r="Y29" s="65" t="s">
        <v>2996</v>
      </c>
      <c r="Z29" s="65" t="s">
        <v>129</v>
      </c>
      <c r="AA29" s="65" t="s">
        <v>2858</v>
      </c>
    </row>
    <row r="30" spans="1:27" ht="17.45" customHeight="1">
      <c r="A30" s="131">
        <f>IF(priority(Main[[#This Row],[Comments]])&lt;&gt;0, priority(Main[[#This Row],[Comments]]),"")</f>
        <v>8</v>
      </c>
      <c r="B30" s="99" t="s">
        <v>3243</v>
      </c>
      <c r="C30" s="65" t="s">
        <v>33</v>
      </c>
      <c r="D30" s="66" t="s">
        <v>3376</v>
      </c>
      <c r="E30" s="67"/>
      <c r="F30" s="67">
        <v>41047</v>
      </c>
      <c r="G30" s="64">
        <f>IF(stdProdLT(Main[[#This Row],[Comments]])=0.1,"N/A",IF(stdProdLT(Main[[#This Row],[Comments]])=0,"",stdProdLT(Main[[#This Row],[Comments]])))</f>
        <v>126</v>
      </c>
      <c r="H30" s="68" t="str">
        <f>IF(AND(Main[[#This Row],[In Stock Date]]&lt;&gt;"",Main[[#This Row],[Revised Due Date]]&lt;&gt;""),Main[[#This Row],[In Stock Date]]-Main[[#This Row],[Revised Due Date]],"")</f>
        <v/>
      </c>
      <c r="I30" s="65" t="s">
        <v>4</v>
      </c>
      <c r="J30" s="65" t="s">
        <v>4</v>
      </c>
      <c r="K30" s="65" t="s">
        <v>4</v>
      </c>
      <c r="L30" s="67"/>
      <c r="M30" s="69" t="str">
        <f>IF(Main[[#This Row],[Tech Start Date]]&lt;1/1/1990,"",IF(Main[[#This Row],[Class]]="C",WORKDAY(Main[[#This Row],[Tech Start Date]],9),IF(Main[[#This Row],[Class]]="B", WORKDAY(Main[[#This Row],[Tech Start Date]],6),IF(Main[[#This Row],[Class]]="A",WORKDAY(Main[[#This Row],[Tech Start Date]],2),""))))</f>
        <v/>
      </c>
      <c r="N30" s="69" t="str">
        <f>IF(Main[[#This Row],[Tech Start Date]]&lt;1/1/1990,"",IF(Main[[#This Row],[Class]]="C",WORKDAY(Main[[#This Row],[Tech Start Date]],19),IF(Main[[#This Row],[Class]]="B", WORKDAY(Main[[#This Row],[Tech Start Date]],12),IF(Main[[#This Row],[Class]]="A",WORKDAY(Main[[#This Row],[Tech Start Date]],4),""))))</f>
        <v/>
      </c>
      <c r="O30" s="69" t="str">
        <f>IF(Main[[#This Row],[Tech Start Date]]&lt;1/1/1990,"",IF(Main[[#This Row],[Class]]="C",WORKDAY(Main[[#This Row],[Tech Start Date]],23),IF(Main[[#This Row],[Class]]="B", WORKDAY(Main[[#This Row],[Tech Start Date]],15),IF(Main[[#This Row],[Class]]="A",WORKDAY(Main[[#This Row],[Tech Start Date]],5),""))))</f>
        <v/>
      </c>
      <c r="P30" s="69" t="str">
        <f>IF(Main[[#This Row],[Tech Start Date]]&lt;1/1/1990,"",IF(Main[[#This Row],[Class]]="C",WORKDAY(Main[[#This Row],[Tech Start Date]],28),IF(Main[[#This Row],[Class]]="B", WORKDAY(Main[[#This Row],[Tech Start Date]],19),IF(Main[[#This Row],[Class]]="A",WORKDAY(Main[[#This Row],[Tech Start Date]],9),""))))</f>
        <v/>
      </c>
      <c r="Q30" s="67"/>
      <c r="R30" s="67"/>
      <c r="S30" s="65" t="s">
        <v>11</v>
      </c>
      <c r="T30" s="70" t="s">
        <v>3518</v>
      </c>
      <c r="U30" s="65" t="s">
        <v>14</v>
      </c>
      <c r="V30" s="65" t="s">
        <v>1918</v>
      </c>
      <c r="W30" s="65" t="s">
        <v>1922</v>
      </c>
      <c r="X30" s="65" t="s">
        <v>2881</v>
      </c>
      <c r="Y30" s="65" t="s">
        <v>3027</v>
      </c>
      <c r="Z30" s="65" t="s">
        <v>4</v>
      </c>
      <c r="AA30" s="65" t="s">
        <v>2881</v>
      </c>
    </row>
    <row r="31" spans="1:27" ht="17.45" customHeight="1">
      <c r="A31" s="131">
        <f>IF(priority(Main[[#This Row],[Comments]])&lt;&gt;0, priority(Main[[#This Row],[Comments]]),"")</f>
        <v>8</v>
      </c>
      <c r="B31" s="99" t="s">
        <v>3326</v>
      </c>
      <c r="C31" s="65" t="s">
        <v>72</v>
      </c>
      <c r="D31" s="66" t="s">
        <v>3880</v>
      </c>
      <c r="E31" s="67">
        <v>40931.826180555552</v>
      </c>
      <c r="F31" s="67">
        <v>41090</v>
      </c>
      <c r="G31" s="64">
        <f>IF(stdProdLT(Main[[#This Row],[Comments]])=0.1,"N/A",IF(stdProdLT(Main[[#This Row],[Comments]])=0,"",stdProdLT(Main[[#This Row],[Comments]])))</f>
        <v>126</v>
      </c>
      <c r="H31" s="68">
        <f>IF(AND(Main[[#This Row],[In Stock Date]]&lt;&gt;"",Main[[#This Row],[Revised Due Date]]&lt;&gt;""),Main[[#This Row],[In Stock Date]]-Main[[#This Row],[Revised Due Date]],"")</f>
        <v>115</v>
      </c>
      <c r="I31" s="65" t="s">
        <v>2630</v>
      </c>
      <c r="J31" s="65" t="s">
        <v>28</v>
      </c>
      <c r="K31" s="71" t="s">
        <v>1930</v>
      </c>
      <c r="L31" s="67">
        <v>40932</v>
      </c>
      <c r="M31" s="69">
        <f>IF(Main[[#This Row],[Tech Start Date]]&lt;1/1/1990,"",IF(Main[[#This Row],[Class]]="C",WORKDAY(Main[[#This Row],[Tech Start Date]],9),IF(Main[[#This Row],[Class]]="B", WORKDAY(Main[[#This Row],[Tech Start Date]],6),IF(Main[[#This Row],[Class]]="A",WORKDAY(Main[[#This Row],[Tech Start Date]],2),""))))</f>
        <v>40945</v>
      </c>
      <c r="N31" s="69">
        <f>IF(Main[[#This Row],[Tech Start Date]]&lt;1/1/1990,"",IF(Main[[#This Row],[Class]]="C",WORKDAY(Main[[#This Row],[Tech Start Date]],19),IF(Main[[#This Row],[Class]]="B", WORKDAY(Main[[#This Row],[Tech Start Date]],12),IF(Main[[#This Row],[Class]]="A",WORKDAY(Main[[#This Row],[Tech Start Date]],4),""))))</f>
        <v>40959</v>
      </c>
      <c r="O31" s="69">
        <f>IF(Main[[#This Row],[Tech Start Date]]&lt;1/1/1990,"",IF(Main[[#This Row],[Class]]="C",WORKDAY(Main[[#This Row],[Tech Start Date]],23),IF(Main[[#This Row],[Class]]="B", WORKDAY(Main[[#This Row],[Tech Start Date]],15),IF(Main[[#This Row],[Class]]="A",WORKDAY(Main[[#This Row],[Tech Start Date]],5),""))))</f>
        <v>40963</v>
      </c>
      <c r="P31" s="69">
        <f>IF(Main[[#This Row],[Tech Start Date]]&lt;1/1/1990,"",IF(Main[[#This Row],[Class]]="C",WORKDAY(Main[[#This Row],[Tech Start Date]],28),IF(Main[[#This Row],[Class]]="B", WORKDAY(Main[[#This Row],[Tech Start Date]],19),IF(Main[[#This Row],[Class]]="A",WORKDAY(Main[[#This Row],[Tech Start Date]],9),""))))</f>
        <v>40970</v>
      </c>
      <c r="Q31" s="67">
        <v>40950</v>
      </c>
      <c r="R31" s="67">
        <v>40975</v>
      </c>
      <c r="S31" s="65" t="s">
        <v>11</v>
      </c>
      <c r="T31" s="70" t="s">
        <v>3881</v>
      </c>
      <c r="U31" s="65" t="s">
        <v>29</v>
      </c>
      <c r="V31" s="65" t="s">
        <v>1918</v>
      </c>
      <c r="W31" s="65" t="s">
        <v>1925</v>
      </c>
      <c r="X31" s="65" t="s">
        <v>2853</v>
      </c>
      <c r="Y31" s="65" t="s">
        <v>4</v>
      </c>
      <c r="Z31" s="65" t="s">
        <v>2056</v>
      </c>
      <c r="AA31" s="65" t="s">
        <v>2853</v>
      </c>
    </row>
    <row r="32" spans="1:27" ht="17.45" customHeight="1">
      <c r="A32" s="131">
        <f>IF(priority(Main[[#This Row],[Comments]])&lt;&gt;0, priority(Main[[#This Row],[Comments]]),"")</f>
        <v>9</v>
      </c>
      <c r="B32" s="99" t="s">
        <v>2103</v>
      </c>
      <c r="C32" s="65" t="s">
        <v>53</v>
      </c>
      <c r="D32" s="66" t="s">
        <v>2104</v>
      </c>
      <c r="E32" s="67"/>
      <c r="F32" s="67">
        <v>40789</v>
      </c>
      <c r="G32" s="64">
        <f>IF(stdProdLT(Main[[#This Row],[Comments]])=0.1,"N/A",IF(stdProdLT(Main[[#This Row],[Comments]])=0,"",stdProdLT(Main[[#This Row],[Comments]])))</f>
        <v>42</v>
      </c>
      <c r="H32" s="68">
        <f>IF(AND(Main[[#This Row],[In Stock Date]]&lt;&gt;"",Main[[#This Row],[Revised Due Date]]&lt;&gt;""),Main[[#This Row],[In Stock Date]]-Main[[#This Row],[Revised Due Date]],"")</f>
        <v>1</v>
      </c>
      <c r="I32" s="65" t="s">
        <v>943</v>
      </c>
      <c r="J32" s="65" t="s">
        <v>28</v>
      </c>
      <c r="K32" s="65" t="s">
        <v>4</v>
      </c>
      <c r="L32" s="67"/>
      <c r="M32" s="69" t="str">
        <f>IF(Main[[#This Row],[Tech Start Date]]&lt;1/1/1990,"",IF(Main[[#This Row],[Class]]="C",WORKDAY(Main[[#This Row],[Tech Start Date]],9),IF(Main[[#This Row],[Class]]="B", WORKDAY(Main[[#This Row],[Tech Start Date]],6),IF(Main[[#This Row],[Class]]="A",WORKDAY(Main[[#This Row],[Tech Start Date]],2),""))))</f>
        <v/>
      </c>
      <c r="N32" s="69" t="str">
        <f>IF(Main[[#This Row],[Tech Start Date]]&lt;1/1/1990,"",IF(Main[[#This Row],[Class]]="C",WORKDAY(Main[[#This Row],[Tech Start Date]],19),IF(Main[[#This Row],[Class]]="B", WORKDAY(Main[[#This Row],[Tech Start Date]],12),IF(Main[[#This Row],[Class]]="A",WORKDAY(Main[[#This Row],[Tech Start Date]],4),""))))</f>
        <v/>
      </c>
      <c r="O32" s="69" t="str">
        <f>IF(Main[[#This Row],[Tech Start Date]]&lt;1/1/1990,"",IF(Main[[#This Row],[Class]]="C",WORKDAY(Main[[#This Row],[Tech Start Date]],23),IF(Main[[#This Row],[Class]]="B", WORKDAY(Main[[#This Row],[Tech Start Date]],15),IF(Main[[#This Row],[Class]]="A",WORKDAY(Main[[#This Row],[Tech Start Date]],5),""))))</f>
        <v/>
      </c>
      <c r="P32" s="69" t="str">
        <f>IF(Main[[#This Row],[Tech Start Date]]&lt;1/1/1990,"",IF(Main[[#This Row],[Class]]="C",WORKDAY(Main[[#This Row],[Tech Start Date]],28),IF(Main[[#This Row],[Class]]="B", WORKDAY(Main[[#This Row],[Tech Start Date]],19),IF(Main[[#This Row],[Class]]="A",WORKDAY(Main[[#This Row],[Tech Start Date]],9),""))))</f>
        <v/>
      </c>
      <c r="Q32" s="67"/>
      <c r="R32" s="67">
        <v>40788</v>
      </c>
      <c r="S32" s="65" t="s">
        <v>11</v>
      </c>
      <c r="T32" s="70" t="s">
        <v>2105</v>
      </c>
      <c r="U32" s="65" t="s">
        <v>14</v>
      </c>
      <c r="V32" s="65" t="s">
        <v>1918</v>
      </c>
      <c r="W32" s="65" t="s">
        <v>1919</v>
      </c>
      <c r="X32" s="65" t="s">
        <v>2822</v>
      </c>
      <c r="Y32" s="65" t="s">
        <v>2999</v>
      </c>
      <c r="Z32" s="65" t="s">
        <v>2056</v>
      </c>
      <c r="AA32" s="65" t="s">
        <v>3441</v>
      </c>
    </row>
    <row r="33" spans="1:32" ht="17.45" customHeight="1">
      <c r="A33" s="131">
        <f>IF(priority(Main[[#This Row],[Comments]])&lt;&gt;0, priority(Main[[#This Row],[Comments]]),"")</f>
        <v>9</v>
      </c>
      <c r="B33" s="99" t="s">
        <v>3712</v>
      </c>
      <c r="C33" s="65" t="s">
        <v>3656</v>
      </c>
      <c r="D33" s="66" t="s">
        <v>3713</v>
      </c>
      <c r="E33" s="67">
        <v>40960.490312499998</v>
      </c>
      <c r="F33" s="67">
        <v>40963</v>
      </c>
      <c r="G33" s="64" t="str">
        <f>IF(stdProdLT(Main[[#This Row],[Comments]])=0.1,"N/A",IF(stdProdLT(Main[[#This Row],[Comments]])=0,"",stdProdLT(Main[[#This Row],[Comments]])))</f>
        <v>N/A</v>
      </c>
      <c r="H33" s="68">
        <f>IF(AND(Main[[#This Row],[In Stock Date]]&lt;&gt;"",Main[[#This Row],[Revised Due Date]]&lt;&gt;""),Main[[#This Row],[In Stock Date]]-Main[[#This Row],[Revised Due Date]],"")</f>
        <v>0</v>
      </c>
      <c r="I33" s="65" t="s">
        <v>972</v>
      </c>
      <c r="J33" s="65" t="s">
        <v>51</v>
      </c>
      <c r="K33" s="71" t="s">
        <v>1926</v>
      </c>
      <c r="L33" s="67"/>
      <c r="M33" s="69" t="str">
        <f>IF(Main[[#This Row],[Tech Start Date]]&lt;1/1/1990,"",IF(Main[[#This Row],[Class]]="C",WORKDAY(Main[[#This Row],[Tech Start Date]],9),IF(Main[[#This Row],[Class]]="B", WORKDAY(Main[[#This Row],[Tech Start Date]],6),IF(Main[[#This Row],[Class]]="A",WORKDAY(Main[[#This Row],[Tech Start Date]],2),""))))</f>
        <v/>
      </c>
      <c r="N33" s="69" t="str">
        <f>IF(Main[[#This Row],[Tech Start Date]]&lt;1/1/1990,"",IF(Main[[#This Row],[Class]]="C",WORKDAY(Main[[#This Row],[Tech Start Date]],19),IF(Main[[#This Row],[Class]]="B", WORKDAY(Main[[#This Row],[Tech Start Date]],12),IF(Main[[#This Row],[Class]]="A",WORKDAY(Main[[#This Row],[Tech Start Date]],4),""))))</f>
        <v/>
      </c>
      <c r="O33" s="69" t="str">
        <f>IF(Main[[#This Row],[Tech Start Date]]&lt;1/1/1990,"",IF(Main[[#This Row],[Class]]="C",WORKDAY(Main[[#This Row],[Tech Start Date]],23),IF(Main[[#This Row],[Class]]="B", WORKDAY(Main[[#This Row],[Tech Start Date]],15),IF(Main[[#This Row],[Class]]="A",WORKDAY(Main[[#This Row],[Tech Start Date]],5),""))))</f>
        <v/>
      </c>
      <c r="P33" s="69" t="str">
        <f>IF(Main[[#This Row],[Tech Start Date]]&lt;1/1/1990,"",IF(Main[[#This Row],[Class]]="C",WORKDAY(Main[[#This Row],[Tech Start Date]],28),IF(Main[[#This Row],[Class]]="B", WORKDAY(Main[[#This Row],[Tech Start Date]],19),IF(Main[[#This Row],[Class]]="A",WORKDAY(Main[[#This Row],[Tech Start Date]],9),""))))</f>
        <v/>
      </c>
      <c r="Q33" s="67">
        <v>40963</v>
      </c>
      <c r="R33" s="67">
        <v>40963</v>
      </c>
      <c r="S33" s="65" t="s">
        <v>11</v>
      </c>
      <c r="T33" s="70" t="s">
        <v>3714</v>
      </c>
      <c r="U33" s="65" t="s">
        <v>29</v>
      </c>
      <c r="V33" s="65" t="s">
        <v>1927</v>
      </c>
      <c r="W33" s="65" t="s">
        <v>1923</v>
      </c>
      <c r="X33" s="65" t="s">
        <v>399</v>
      </c>
      <c r="Y33" s="65" t="s">
        <v>3659</v>
      </c>
      <c r="Z33" s="65" t="s">
        <v>306</v>
      </c>
      <c r="AA33" s="65" t="s">
        <v>3658</v>
      </c>
    </row>
    <row r="34" spans="1:32" ht="17.45" customHeight="1">
      <c r="A34" s="131">
        <f>IF(priority(Main[[#This Row],[Comments]])&lt;&gt;0, priority(Main[[#This Row],[Comments]]),"")</f>
        <v>9</v>
      </c>
      <c r="B34" s="99" t="s">
        <v>3770</v>
      </c>
      <c r="C34" s="65" t="s">
        <v>3771</v>
      </c>
      <c r="D34" s="66" t="s">
        <v>3772</v>
      </c>
      <c r="E34" s="67">
        <v>40959.458298611113</v>
      </c>
      <c r="F34" s="67"/>
      <c r="G34" s="64" t="str">
        <f>IF(stdProdLT(Main[[#This Row],[Comments]])=0.1,"N/A",IF(stdProdLT(Main[[#This Row],[Comments]])=0,"",stdProdLT(Main[[#This Row],[Comments]])))</f>
        <v>N/A</v>
      </c>
      <c r="H34" s="68" t="str">
        <f>IF(AND(Main[[#This Row],[In Stock Date]]&lt;&gt;"",Main[[#This Row],[Revised Due Date]]&lt;&gt;""),Main[[#This Row],[In Stock Date]]-Main[[#This Row],[Revised Due Date]],"")</f>
        <v/>
      </c>
      <c r="I34" s="65" t="s">
        <v>2211</v>
      </c>
      <c r="J34" s="65" t="s">
        <v>75</v>
      </c>
      <c r="K34" s="65" t="s">
        <v>1924</v>
      </c>
      <c r="L34" s="67"/>
      <c r="M34" s="69" t="str">
        <f>IF(Main[[#This Row],[Tech Start Date]]&lt;1/1/1990,"",IF(Main[[#This Row],[Class]]="C",WORKDAY(Main[[#This Row],[Tech Start Date]],9),IF(Main[[#This Row],[Class]]="B", WORKDAY(Main[[#This Row],[Tech Start Date]],6),IF(Main[[#This Row],[Class]]="A",WORKDAY(Main[[#This Row],[Tech Start Date]],2),""))))</f>
        <v/>
      </c>
      <c r="N34" s="69" t="str">
        <f>IF(Main[[#This Row],[Tech Start Date]]&lt;1/1/1990,"",IF(Main[[#This Row],[Class]]="C",WORKDAY(Main[[#This Row],[Tech Start Date]],19),IF(Main[[#This Row],[Class]]="B", WORKDAY(Main[[#This Row],[Tech Start Date]],12),IF(Main[[#This Row],[Class]]="A",WORKDAY(Main[[#This Row],[Tech Start Date]],4),""))))</f>
        <v/>
      </c>
      <c r="O34" s="69" t="str">
        <f>IF(Main[[#This Row],[Tech Start Date]]&lt;1/1/1990,"",IF(Main[[#This Row],[Class]]="C",WORKDAY(Main[[#This Row],[Tech Start Date]],23),IF(Main[[#This Row],[Class]]="B", WORKDAY(Main[[#This Row],[Tech Start Date]],15),IF(Main[[#This Row],[Class]]="A",WORKDAY(Main[[#This Row],[Tech Start Date]],5),""))))</f>
        <v/>
      </c>
      <c r="P34" s="69" t="str">
        <f>IF(Main[[#This Row],[Tech Start Date]]&lt;1/1/1990,"",IF(Main[[#This Row],[Class]]="C",WORKDAY(Main[[#This Row],[Tech Start Date]],28),IF(Main[[#This Row],[Class]]="B", WORKDAY(Main[[#This Row],[Tech Start Date]],19),IF(Main[[#This Row],[Class]]="A",WORKDAY(Main[[#This Row],[Tech Start Date]],9),""))))</f>
        <v/>
      </c>
      <c r="Q34" s="67">
        <v>40966</v>
      </c>
      <c r="R34" s="67">
        <v>40968</v>
      </c>
      <c r="S34" s="65" t="s">
        <v>11</v>
      </c>
      <c r="T34" s="70" t="s">
        <v>3714</v>
      </c>
      <c r="U34" s="65" t="s">
        <v>29</v>
      </c>
      <c r="V34" s="65" t="s">
        <v>1918</v>
      </c>
      <c r="W34" s="65" t="s">
        <v>1919</v>
      </c>
      <c r="X34" s="65" t="s">
        <v>2822</v>
      </c>
      <c r="Y34" s="65" t="s">
        <v>4</v>
      </c>
      <c r="Z34" s="65" t="s">
        <v>2056</v>
      </c>
      <c r="AA34" s="65" t="s">
        <v>2822</v>
      </c>
      <c r="AF34" s="119"/>
    </row>
    <row r="35" spans="1:32" ht="17.45" customHeight="1">
      <c r="A35" s="131">
        <f>IF(priority(Main[[#This Row],[Comments]])&lt;&gt;0, priority(Main[[#This Row],[Comments]]),"")</f>
        <v>9</v>
      </c>
      <c r="B35" s="99" t="s">
        <v>3789</v>
      </c>
      <c r="C35" s="65" t="s">
        <v>95</v>
      </c>
      <c r="D35" s="66" t="s">
        <v>3790</v>
      </c>
      <c r="E35" s="67">
        <v>40959.560983796298</v>
      </c>
      <c r="F35" s="67">
        <v>40967</v>
      </c>
      <c r="G35" s="64" t="str">
        <f>IF(stdProdLT(Main[[#This Row],[Comments]])=0.1,"N/A",IF(stdProdLT(Main[[#This Row],[Comments]])=0,"",stdProdLT(Main[[#This Row],[Comments]])))</f>
        <v>N/A</v>
      </c>
      <c r="H35" s="68">
        <f>IF(AND(Main[[#This Row],[In Stock Date]]&lt;&gt;"",Main[[#This Row],[Revised Due Date]]&lt;&gt;""),Main[[#This Row],[In Stock Date]]-Main[[#This Row],[Revised Due Date]],"")</f>
        <v>0</v>
      </c>
      <c r="I35" s="65" t="s">
        <v>939</v>
      </c>
      <c r="J35" s="65" t="s">
        <v>28</v>
      </c>
      <c r="K35" s="65" t="s">
        <v>1926</v>
      </c>
      <c r="L35" s="67"/>
      <c r="M35" s="69" t="str">
        <f>IF(Main[[#This Row],[Tech Start Date]]&lt;1/1/1990,"",IF(Main[[#This Row],[Class]]="C",WORKDAY(Main[[#This Row],[Tech Start Date]],9),IF(Main[[#This Row],[Class]]="B", WORKDAY(Main[[#This Row],[Tech Start Date]],6),IF(Main[[#This Row],[Class]]="A",WORKDAY(Main[[#This Row],[Tech Start Date]],2),""))))</f>
        <v/>
      </c>
      <c r="N35" s="69" t="str">
        <f>IF(Main[[#This Row],[Tech Start Date]]&lt;1/1/1990,"",IF(Main[[#This Row],[Class]]="C",WORKDAY(Main[[#This Row],[Tech Start Date]],19),IF(Main[[#This Row],[Class]]="B", WORKDAY(Main[[#This Row],[Tech Start Date]],12),IF(Main[[#This Row],[Class]]="A",WORKDAY(Main[[#This Row],[Tech Start Date]],4),""))))</f>
        <v/>
      </c>
      <c r="O35" s="69" t="str">
        <f>IF(Main[[#This Row],[Tech Start Date]]&lt;1/1/1990,"",IF(Main[[#This Row],[Class]]="C",WORKDAY(Main[[#This Row],[Tech Start Date]],23),IF(Main[[#This Row],[Class]]="B", WORKDAY(Main[[#This Row],[Tech Start Date]],15),IF(Main[[#This Row],[Class]]="A",WORKDAY(Main[[#This Row],[Tech Start Date]],5),""))))</f>
        <v/>
      </c>
      <c r="P35" s="69" t="str">
        <f>IF(Main[[#This Row],[Tech Start Date]]&lt;1/1/1990,"",IF(Main[[#This Row],[Class]]="C",WORKDAY(Main[[#This Row],[Tech Start Date]],28),IF(Main[[#This Row],[Class]]="B", WORKDAY(Main[[#This Row],[Tech Start Date]],19),IF(Main[[#This Row],[Class]]="A",WORKDAY(Main[[#This Row],[Tech Start Date]],9),""))))</f>
        <v/>
      </c>
      <c r="Q35" s="67">
        <v>40976</v>
      </c>
      <c r="R35" s="67">
        <v>40967</v>
      </c>
      <c r="S35" s="65" t="s">
        <v>11</v>
      </c>
      <c r="T35" s="70" t="s">
        <v>3791</v>
      </c>
      <c r="U35" s="65" t="s">
        <v>29</v>
      </c>
      <c r="V35" s="65" t="s">
        <v>1917</v>
      </c>
      <c r="W35" s="65" t="s">
        <v>1919</v>
      </c>
      <c r="X35" s="65" t="s">
        <v>2858</v>
      </c>
      <c r="Y35" s="65" t="s">
        <v>2996</v>
      </c>
      <c r="Z35" s="65" t="s">
        <v>129</v>
      </c>
      <c r="AA35" s="65" t="s">
        <v>2858</v>
      </c>
    </row>
    <row r="36" spans="1:32" ht="17.45" customHeight="1">
      <c r="A36" s="131">
        <f>IF(priority(Main[[#This Row],[Comments]])&lt;&gt;0, priority(Main[[#This Row],[Comments]]),"")</f>
        <v>9.1</v>
      </c>
      <c r="B36" s="99" t="s">
        <v>1990</v>
      </c>
      <c r="C36" s="65" t="s">
        <v>1991</v>
      </c>
      <c r="D36" s="66" t="s">
        <v>1992</v>
      </c>
      <c r="E36" s="67"/>
      <c r="F36" s="67"/>
      <c r="G36" s="64" t="str">
        <f>IF(stdProdLT(Main[[#This Row],[Comments]])=0.1,"N/A",IF(stdProdLT(Main[[#This Row],[Comments]])=0,"",stdProdLT(Main[[#This Row],[Comments]])))</f>
        <v/>
      </c>
      <c r="H36" s="68" t="str">
        <f>IF(AND(Main[[#This Row],[In Stock Date]]&lt;&gt;"",Main[[#This Row],[Revised Due Date]]&lt;&gt;""),Main[[#This Row],[In Stock Date]]-Main[[#This Row],[Revised Due Date]],"")</f>
        <v/>
      </c>
      <c r="I36" s="65" t="s">
        <v>943</v>
      </c>
      <c r="J36" s="65" t="s">
        <v>28</v>
      </c>
      <c r="K36" s="65" t="s">
        <v>4</v>
      </c>
      <c r="L36" s="67">
        <v>40745</v>
      </c>
      <c r="M36" s="69" t="str">
        <f>IF(Main[[#This Row],[Tech Start Date]]&lt;1/1/1990,"",IF(Main[[#This Row],[Class]]="C",WORKDAY(Main[[#This Row],[Tech Start Date]],9),IF(Main[[#This Row],[Class]]="B", WORKDAY(Main[[#This Row],[Tech Start Date]],6),IF(Main[[#This Row],[Class]]="A",WORKDAY(Main[[#This Row],[Tech Start Date]],2),""))))</f>
        <v/>
      </c>
      <c r="N36" s="69" t="str">
        <f>IF(Main[[#This Row],[Tech Start Date]]&lt;1/1/1990,"",IF(Main[[#This Row],[Class]]="C",WORKDAY(Main[[#This Row],[Tech Start Date]],19),IF(Main[[#This Row],[Class]]="B", WORKDAY(Main[[#This Row],[Tech Start Date]],12),IF(Main[[#This Row],[Class]]="A",WORKDAY(Main[[#This Row],[Tech Start Date]],4),""))))</f>
        <v/>
      </c>
      <c r="O36" s="69" t="str">
        <f>IF(Main[[#This Row],[Tech Start Date]]&lt;1/1/1990,"",IF(Main[[#This Row],[Class]]="C",WORKDAY(Main[[#This Row],[Tech Start Date]],23),IF(Main[[#This Row],[Class]]="B", WORKDAY(Main[[#This Row],[Tech Start Date]],15),IF(Main[[#This Row],[Class]]="A",WORKDAY(Main[[#This Row],[Tech Start Date]],5),""))))</f>
        <v/>
      </c>
      <c r="P36" s="69" t="str">
        <f>IF(Main[[#This Row],[Tech Start Date]]&lt;1/1/1990,"",IF(Main[[#This Row],[Class]]="C",WORKDAY(Main[[#This Row],[Tech Start Date]],28),IF(Main[[#This Row],[Class]]="B", WORKDAY(Main[[#This Row],[Tech Start Date]],19),IF(Main[[#This Row],[Class]]="A",WORKDAY(Main[[#This Row],[Tech Start Date]],9),""))))</f>
        <v/>
      </c>
      <c r="Q36" s="67"/>
      <c r="R36" s="67"/>
      <c r="S36" s="65" t="s">
        <v>11</v>
      </c>
      <c r="T36" s="70" t="s">
        <v>1993</v>
      </c>
      <c r="U36" s="65" t="s">
        <v>14</v>
      </c>
      <c r="V36" s="65" t="s">
        <v>1918</v>
      </c>
      <c r="W36" s="65" t="s">
        <v>1919</v>
      </c>
      <c r="X36" s="65" t="s">
        <v>2822</v>
      </c>
      <c r="Y36" s="65" t="s">
        <v>2999</v>
      </c>
      <c r="Z36" s="65" t="s">
        <v>3165</v>
      </c>
      <c r="AA36" s="65" t="s">
        <v>3485</v>
      </c>
    </row>
    <row r="37" spans="1:32" ht="17.45" customHeight="1">
      <c r="A37" s="131">
        <f>IF(priority(Main[[#This Row],[Comments]])&lt;&gt;0, priority(Main[[#This Row],[Comments]]),"")</f>
        <v>10</v>
      </c>
      <c r="B37" s="99" t="s">
        <v>3615</v>
      </c>
      <c r="C37" s="65" t="s">
        <v>95</v>
      </c>
      <c r="D37" s="66" t="s">
        <v>3616</v>
      </c>
      <c r="E37" s="67">
        <v>40959.548576388886</v>
      </c>
      <c r="F37" s="67">
        <v>40967</v>
      </c>
      <c r="G37" s="64" t="str">
        <f>IF(stdProdLT(Main[[#This Row],[Comments]])=0.1,"N/A",IF(stdProdLT(Main[[#This Row],[Comments]])=0,"",stdProdLT(Main[[#This Row],[Comments]])))</f>
        <v>N/A</v>
      </c>
      <c r="H37" s="68">
        <f>IF(AND(Main[[#This Row],[In Stock Date]]&lt;&gt;"",Main[[#This Row],[Revised Due Date]]&lt;&gt;""),Main[[#This Row],[In Stock Date]]-Main[[#This Row],[Revised Due Date]],"")</f>
        <v>0</v>
      </c>
      <c r="I37" s="65" t="s">
        <v>939</v>
      </c>
      <c r="J37" s="65" t="s">
        <v>28</v>
      </c>
      <c r="K37" s="65" t="s">
        <v>1926</v>
      </c>
      <c r="L37" s="67"/>
      <c r="M37" s="69" t="str">
        <f>IF(Main[[#This Row],[Tech Start Date]]&lt;1/1/1990,"",IF(Main[[#This Row],[Class]]="C",WORKDAY(Main[[#This Row],[Tech Start Date]],9),IF(Main[[#This Row],[Class]]="B", WORKDAY(Main[[#This Row],[Tech Start Date]],6),IF(Main[[#This Row],[Class]]="A",WORKDAY(Main[[#This Row],[Tech Start Date]],2),""))))</f>
        <v/>
      </c>
      <c r="N37" s="69" t="str">
        <f>IF(Main[[#This Row],[Tech Start Date]]&lt;1/1/1990,"",IF(Main[[#This Row],[Class]]="C",WORKDAY(Main[[#This Row],[Tech Start Date]],19),IF(Main[[#This Row],[Class]]="B", WORKDAY(Main[[#This Row],[Tech Start Date]],12),IF(Main[[#This Row],[Class]]="A",WORKDAY(Main[[#This Row],[Tech Start Date]],4),""))))</f>
        <v/>
      </c>
      <c r="O37" s="69" t="str">
        <f>IF(Main[[#This Row],[Tech Start Date]]&lt;1/1/1990,"",IF(Main[[#This Row],[Class]]="C",WORKDAY(Main[[#This Row],[Tech Start Date]],23),IF(Main[[#This Row],[Class]]="B", WORKDAY(Main[[#This Row],[Tech Start Date]],15),IF(Main[[#This Row],[Class]]="A",WORKDAY(Main[[#This Row],[Tech Start Date]],5),""))))</f>
        <v/>
      </c>
      <c r="P37" s="69" t="str">
        <f>IF(Main[[#This Row],[Tech Start Date]]&lt;1/1/1990,"",IF(Main[[#This Row],[Class]]="C",WORKDAY(Main[[#This Row],[Tech Start Date]],28),IF(Main[[#This Row],[Class]]="B", WORKDAY(Main[[#This Row],[Tech Start Date]],19),IF(Main[[#This Row],[Class]]="A",WORKDAY(Main[[#This Row],[Tech Start Date]],9),""))))</f>
        <v/>
      </c>
      <c r="Q37" s="67">
        <v>40976</v>
      </c>
      <c r="R37" s="67">
        <v>40967</v>
      </c>
      <c r="S37" s="65" t="s">
        <v>11</v>
      </c>
      <c r="T37" s="70" t="s">
        <v>3617</v>
      </c>
      <c r="U37" s="65" t="s">
        <v>29</v>
      </c>
      <c r="V37" s="65" t="s">
        <v>1917</v>
      </c>
      <c r="W37" s="65" t="s">
        <v>1919</v>
      </c>
      <c r="X37" s="65" t="s">
        <v>2858</v>
      </c>
      <c r="Y37" s="65" t="s">
        <v>2996</v>
      </c>
      <c r="Z37" s="65" t="s">
        <v>129</v>
      </c>
      <c r="AA37" s="65" t="s">
        <v>2858</v>
      </c>
    </row>
    <row r="38" spans="1:32" ht="17.45" customHeight="1">
      <c r="A38" s="131">
        <f>IF(priority(Main[[#This Row],[Comments]])&lt;&gt;0, priority(Main[[#This Row],[Comments]]),"")</f>
        <v>10</v>
      </c>
      <c r="B38" s="99" t="s">
        <v>3655</v>
      </c>
      <c r="C38" s="65" t="s">
        <v>3656</v>
      </c>
      <c r="D38" s="66" t="s">
        <v>3657</v>
      </c>
      <c r="E38" s="67">
        <v>40960.4925</v>
      </c>
      <c r="F38" s="67">
        <v>40963</v>
      </c>
      <c r="G38" s="64" t="str">
        <f>IF(stdProdLT(Main[[#This Row],[Comments]])=0.1,"N/A",IF(stdProdLT(Main[[#This Row],[Comments]])=0,"",stdProdLT(Main[[#This Row],[Comments]])))</f>
        <v>N/A</v>
      </c>
      <c r="H38" s="68">
        <f>IF(AND(Main[[#This Row],[In Stock Date]]&lt;&gt;"",Main[[#This Row],[Revised Due Date]]&lt;&gt;""),Main[[#This Row],[In Stock Date]]-Main[[#This Row],[Revised Due Date]],"")</f>
        <v>0</v>
      </c>
      <c r="I38" s="65" t="s">
        <v>399</v>
      </c>
      <c r="J38" s="65" t="s">
        <v>75</v>
      </c>
      <c r="K38" s="71" t="s">
        <v>1926</v>
      </c>
      <c r="L38" s="67"/>
      <c r="M38" s="69" t="str">
        <f>IF(Main[[#This Row],[Tech Start Date]]&lt;1/1/1990,"",IF(Main[[#This Row],[Class]]="C",WORKDAY(Main[[#This Row],[Tech Start Date]],9),IF(Main[[#This Row],[Class]]="B", WORKDAY(Main[[#This Row],[Tech Start Date]],6),IF(Main[[#This Row],[Class]]="A",WORKDAY(Main[[#This Row],[Tech Start Date]],2),""))))</f>
        <v/>
      </c>
      <c r="N38" s="69" t="str">
        <f>IF(Main[[#This Row],[Tech Start Date]]&lt;1/1/1990,"",IF(Main[[#This Row],[Class]]="C",WORKDAY(Main[[#This Row],[Tech Start Date]],19),IF(Main[[#This Row],[Class]]="B", WORKDAY(Main[[#This Row],[Tech Start Date]],12),IF(Main[[#This Row],[Class]]="A",WORKDAY(Main[[#This Row],[Tech Start Date]],4),""))))</f>
        <v/>
      </c>
      <c r="O38" s="69" t="str">
        <f>IF(Main[[#This Row],[Tech Start Date]]&lt;1/1/1990,"",IF(Main[[#This Row],[Class]]="C",WORKDAY(Main[[#This Row],[Tech Start Date]],23),IF(Main[[#This Row],[Class]]="B", WORKDAY(Main[[#This Row],[Tech Start Date]],15),IF(Main[[#This Row],[Class]]="A",WORKDAY(Main[[#This Row],[Tech Start Date]],5),""))))</f>
        <v/>
      </c>
      <c r="P38" s="69" t="str">
        <f>IF(Main[[#This Row],[Tech Start Date]]&lt;1/1/1990,"",IF(Main[[#This Row],[Class]]="C",WORKDAY(Main[[#This Row],[Tech Start Date]],28),IF(Main[[#This Row],[Class]]="B", WORKDAY(Main[[#This Row],[Tech Start Date]],19),IF(Main[[#This Row],[Class]]="A",WORKDAY(Main[[#This Row],[Tech Start Date]],9),""))))</f>
        <v/>
      </c>
      <c r="Q38" s="67">
        <v>40963</v>
      </c>
      <c r="R38" s="67">
        <v>40963</v>
      </c>
      <c r="S38" s="65" t="s">
        <v>11</v>
      </c>
      <c r="T38" s="70" t="s">
        <v>3617</v>
      </c>
      <c r="U38" s="65" t="s">
        <v>29</v>
      </c>
      <c r="V38" s="65" t="s">
        <v>1927</v>
      </c>
      <c r="W38" s="65" t="s">
        <v>1923</v>
      </c>
      <c r="X38" s="65" t="s">
        <v>399</v>
      </c>
      <c r="Y38" s="65" t="s">
        <v>3659</v>
      </c>
      <c r="Z38" s="65" t="s">
        <v>306</v>
      </c>
      <c r="AA38" s="65" t="s">
        <v>3658</v>
      </c>
    </row>
    <row r="39" spans="1:32" ht="17.45" customHeight="1">
      <c r="A39" s="131">
        <f>IF(priority(Main[[#This Row],[Comments]])&lt;&gt;0, priority(Main[[#This Row],[Comments]]),"")</f>
        <v>10</v>
      </c>
      <c r="B39" s="99" t="s">
        <v>3560</v>
      </c>
      <c r="C39" s="65" t="s">
        <v>347</v>
      </c>
      <c r="D39" s="66" t="s">
        <v>3696</v>
      </c>
      <c r="E39" s="67">
        <v>40961.409259259257</v>
      </c>
      <c r="F39" s="67">
        <v>41030</v>
      </c>
      <c r="G39" s="64">
        <f>IF(stdProdLT(Main[[#This Row],[Comments]])=0.1,"N/A",IF(stdProdLT(Main[[#This Row],[Comments]])=0,"",stdProdLT(Main[[#This Row],[Comments]])))</f>
        <v>126</v>
      </c>
      <c r="H39" s="68">
        <f>IF(AND(Main[[#This Row],[In Stock Date]]&lt;&gt;"",Main[[#This Row],[Revised Due Date]]&lt;&gt;""),Main[[#This Row],[In Stock Date]]-Main[[#This Row],[Revised Due Date]],"")</f>
        <v>49</v>
      </c>
      <c r="I39" s="65" t="s">
        <v>914</v>
      </c>
      <c r="J39" s="65" t="s">
        <v>52</v>
      </c>
      <c r="K39" s="65" t="s">
        <v>1924</v>
      </c>
      <c r="L39" s="67"/>
      <c r="M39" s="69" t="str">
        <f>IF(Main[[#This Row],[Tech Start Date]]&lt;1/1/1990,"",IF(Main[[#This Row],[Class]]="C",WORKDAY(Main[[#This Row],[Tech Start Date]],9),IF(Main[[#This Row],[Class]]="B", WORKDAY(Main[[#This Row],[Tech Start Date]],6),IF(Main[[#This Row],[Class]]="A",WORKDAY(Main[[#This Row],[Tech Start Date]],2),""))))</f>
        <v/>
      </c>
      <c r="N39" s="69" t="str">
        <f>IF(Main[[#This Row],[Tech Start Date]]&lt;1/1/1990,"",IF(Main[[#This Row],[Class]]="C",WORKDAY(Main[[#This Row],[Tech Start Date]],19),IF(Main[[#This Row],[Class]]="B", WORKDAY(Main[[#This Row],[Tech Start Date]],12),IF(Main[[#This Row],[Class]]="A",WORKDAY(Main[[#This Row],[Tech Start Date]],4),""))))</f>
        <v/>
      </c>
      <c r="O39" s="69" t="str">
        <f>IF(Main[[#This Row],[Tech Start Date]]&lt;1/1/1990,"",IF(Main[[#This Row],[Class]]="C",WORKDAY(Main[[#This Row],[Tech Start Date]],23),IF(Main[[#This Row],[Class]]="B", WORKDAY(Main[[#This Row],[Tech Start Date]],15),IF(Main[[#This Row],[Class]]="A",WORKDAY(Main[[#This Row],[Tech Start Date]],5),""))))</f>
        <v/>
      </c>
      <c r="P39" s="69" t="str">
        <f>IF(Main[[#This Row],[Tech Start Date]]&lt;1/1/1990,"",IF(Main[[#This Row],[Class]]="C",WORKDAY(Main[[#This Row],[Tech Start Date]],28),IF(Main[[#This Row],[Class]]="B", WORKDAY(Main[[#This Row],[Tech Start Date]],19),IF(Main[[#This Row],[Class]]="A",WORKDAY(Main[[#This Row],[Tech Start Date]],9),""))))</f>
        <v/>
      </c>
      <c r="Q39" s="67">
        <v>40990</v>
      </c>
      <c r="R39" s="67">
        <v>40981</v>
      </c>
      <c r="S39" s="65" t="s">
        <v>11</v>
      </c>
      <c r="T39" s="70" t="s">
        <v>3697</v>
      </c>
      <c r="U39" s="65" t="s">
        <v>29</v>
      </c>
      <c r="V39" s="65" t="s">
        <v>1917</v>
      </c>
      <c r="W39" s="65" t="s">
        <v>1925</v>
      </c>
      <c r="X39" s="65" t="s">
        <v>2917</v>
      </c>
      <c r="Y39" s="65" t="s">
        <v>4</v>
      </c>
      <c r="Z39" s="65" t="s">
        <v>129</v>
      </c>
      <c r="AA39" s="65" t="s">
        <v>3418</v>
      </c>
    </row>
    <row r="40" spans="1:32" ht="17.45" customHeight="1">
      <c r="A40" s="131">
        <f>IF(priority(Main[[#This Row],[Comments]])&lt;&gt;0, priority(Main[[#This Row],[Comments]]),"")</f>
        <v>10</v>
      </c>
      <c r="B40" s="99" t="s">
        <v>3928</v>
      </c>
      <c r="C40" s="65" t="s">
        <v>2359</v>
      </c>
      <c r="D40" s="66" t="s">
        <v>3929</v>
      </c>
      <c r="E40" s="67">
        <v>40953.07539351852</v>
      </c>
      <c r="F40" s="67">
        <v>41105</v>
      </c>
      <c r="G40" s="64">
        <f>IF(stdProdLT(Main[[#This Row],[Comments]])=0.1,"N/A",IF(stdProdLT(Main[[#This Row],[Comments]])=0,"",stdProdLT(Main[[#This Row],[Comments]])))</f>
        <v>126</v>
      </c>
      <c r="H40" s="68">
        <f>IF(AND(Main[[#This Row],[In Stock Date]]&lt;&gt;"",Main[[#This Row],[Revised Due Date]]&lt;&gt;""),Main[[#This Row],[In Stock Date]]-Main[[#This Row],[Revised Due Date]],"")</f>
        <v>104</v>
      </c>
      <c r="I40" s="65" t="s">
        <v>2630</v>
      </c>
      <c r="J40" s="65" t="s">
        <v>28</v>
      </c>
      <c r="K40" s="65" t="s">
        <v>1930</v>
      </c>
      <c r="L40" s="67">
        <v>40959</v>
      </c>
      <c r="M40" s="69">
        <f>IF(Main[[#This Row],[Tech Start Date]]&lt;1/1/1990,"",IF(Main[[#This Row],[Class]]="C",WORKDAY(Main[[#This Row],[Tech Start Date]],9),IF(Main[[#This Row],[Class]]="B", WORKDAY(Main[[#This Row],[Tech Start Date]],6),IF(Main[[#This Row],[Class]]="A",WORKDAY(Main[[#This Row],[Tech Start Date]],2),""))))</f>
        <v>40970</v>
      </c>
      <c r="N40" s="69">
        <f>IF(Main[[#This Row],[Tech Start Date]]&lt;1/1/1990,"",IF(Main[[#This Row],[Class]]="C",WORKDAY(Main[[#This Row],[Tech Start Date]],19),IF(Main[[#This Row],[Class]]="B", WORKDAY(Main[[#This Row],[Tech Start Date]],12),IF(Main[[#This Row],[Class]]="A",WORKDAY(Main[[#This Row],[Tech Start Date]],4),""))))</f>
        <v>40984</v>
      </c>
      <c r="O40" s="69">
        <f>IF(Main[[#This Row],[Tech Start Date]]&lt;1/1/1990,"",IF(Main[[#This Row],[Class]]="C",WORKDAY(Main[[#This Row],[Tech Start Date]],23),IF(Main[[#This Row],[Class]]="B", WORKDAY(Main[[#This Row],[Tech Start Date]],15),IF(Main[[#This Row],[Class]]="A",WORKDAY(Main[[#This Row],[Tech Start Date]],5),""))))</f>
        <v>40990</v>
      </c>
      <c r="P40" s="69">
        <f>IF(Main[[#This Row],[Tech Start Date]]&lt;1/1/1990,"",IF(Main[[#This Row],[Class]]="C",WORKDAY(Main[[#This Row],[Tech Start Date]],28),IF(Main[[#This Row],[Class]]="B", WORKDAY(Main[[#This Row],[Tech Start Date]],19),IF(Main[[#This Row],[Class]]="A",WORKDAY(Main[[#This Row],[Tech Start Date]],9),""))))</f>
        <v>40997</v>
      </c>
      <c r="Q40" s="67">
        <v>40965</v>
      </c>
      <c r="R40" s="67">
        <v>41001</v>
      </c>
      <c r="S40" s="65" t="s">
        <v>11</v>
      </c>
      <c r="T40" s="70" t="s">
        <v>3930</v>
      </c>
      <c r="U40" s="65" t="s">
        <v>7</v>
      </c>
      <c r="V40" s="65" t="s">
        <v>1918</v>
      </c>
      <c r="W40" s="65" t="s">
        <v>1925</v>
      </c>
      <c r="X40" s="65" t="s">
        <v>2849</v>
      </c>
      <c r="Y40" s="65" t="s">
        <v>4</v>
      </c>
      <c r="Z40" s="65" t="s">
        <v>2056</v>
      </c>
      <c r="AA40" s="65" t="s">
        <v>2849</v>
      </c>
    </row>
    <row r="41" spans="1:32" ht="17.45" customHeight="1">
      <c r="A41" s="131">
        <f>IF(priority(Main[[#This Row],[Comments]])&lt;&gt;0, priority(Main[[#This Row],[Comments]]),"")</f>
        <v>11</v>
      </c>
      <c r="B41" s="99" t="s">
        <v>3709</v>
      </c>
      <c r="C41" s="65" t="s">
        <v>3656</v>
      </c>
      <c r="D41" s="66" t="s">
        <v>3710</v>
      </c>
      <c r="E41" s="67">
        <v>40960.488854166666</v>
      </c>
      <c r="F41" s="67">
        <v>40963</v>
      </c>
      <c r="G41" s="64" t="str">
        <f>IF(stdProdLT(Main[[#This Row],[Comments]])=0.1,"N/A",IF(stdProdLT(Main[[#This Row],[Comments]])=0,"",stdProdLT(Main[[#This Row],[Comments]])))</f>
        <v>N/A</v>
      </c>
      <c r="H41" s="68">
        <f>IF(AND(Main[[#This Row],[In Stock Date]]&lt;&gt;"",Main[[#This Row],[Revised Due Date]]&lt;&gt;""),Main[[#This Row],[In Stock Date]]-Main[[#This Row],[Revised Due Date]],"")</f>
        <v>0</v>
      </c>
      <c r="I41" s="65" t="s">
        <v>972</v>
      </c>
      <c r="J41" s="65" t="s">
        <v>51</v>
      </c>
      <c r="K41" s="65" t="s">
        <v>1926</v>
      </c>
      <c r="L41" s="67"/>
      <c r="M41" s="69" t="str">
        <f>IF(Main[[#This Row],[Tech Start Date]]&lt;1/1/1990,"",IF(Main[[#This Row],[Class]]="C",WORKDAY(Main[[#This Row],[Tech Start Date]],9),IF(Main[[#This Row],[Class]]="B", WORKDAY(Main[[#This Row],[Tech Start Date]],6),IF(Main[[#This Row],[Class]]="A",WORKDAY(Main[[#This Row],[Tech Start Date]],2),""))))</f>
        <v/>
      </c>
      <c r="N41" s="69" t="str">
        <f>IF(Main[[#This Row],[Tech Start Date]]&lt;1/1/1990,"",IF(Main[[#This Row],[Class]]="C",WORKDAY(Main[[#This Row],[Tech Start Date]],19),IF(Main[[#This Row],[Class]]="B", WORKDAY(Main[[#This Row],[Tech Start Date]],12),IF(Main[[#This Row],[Class]]="A",WORKDAY(Main[[#This Row],[Tech Start Date]],4),""))))</f>
        <v/>
      </c>
      <c r="O41" s="69" t="str">
        <f>IF(Main[[#This Row],[Tech Start Date]]&lt;1/1/1990,"",IF(Main[[#This Row],[Class]]="C",WORKDAY(Main[[#This Row],[Tech Start Date]],23),IF(Main[[#This Row],[Class]]="B", WORKDAY(Main[[#This Row],[Tech Start Date]],15),IF(Main[[#This Row],[Class]]="A",WORKDAY(Main[[#This Row],[Tech Start Date]],5),""))))</f>
        <v/>
      </c>
      <c r="P41" s="69" t="str">
        <f>IF(Main[[#This Row],[Tech Start Date]]&lt;1/1/1990,"",IF(Main[[#This Row],[Class]]="C",WORKDAY(Main[[#This Row],[Tech Start Date]],28),IF(Main[[#This Row],[Class]]="B", WORKDAY(Main[[#This Row],[Tech Start Date]],19),IF(Main[[#This Row],[Class]]="A",WORKDAY(Main[[#This Row],[Tech Start Date]],9),""))))</f>
        <v/>
      </c>
      <c r="Q41" s="67">
        <v>40963</v>
      </c>
      <c r="R41" s="67">
        <v>40963</v>
      </c>
      <c r="S41" s="65" t="s">
        <v>11</v>
      </c>
      <c r="T41" s="70" t="s">
        <v>3711</v>
      </c>
      <c r="U41" s="65" t="s">
        <v>29</v>
      </c>
      <c r="V41" s="65" t="s">
        <v>1927</v>
      </c>
      <c r="W41" s="65" t="s">
        <v>1923</v>
      </c>
      <c r="X41" s="65" t="s">
        <v>399</v>
      </c>
      <c r="Y41" s="65" t="s">
        <v>3659</v>
      </c>
      <c r="Z41" s="65" t="s">
        <v>306</v>
      </c>
      <c r="AA41" s="65" t="s">
        <v>3658</v>
      </c>
    </row>
    <row r="42" spans="1:32" ht="17.45" customHeight="1">
      <c r="A42" s="131">
        <f>IF(priority(Main[[#This Row],[Comments]])&lt;&gt;0, priority(Main[[#This Row],[Comments]]),"")</f>
        <v>11</v>
      </c>
      <c r="B42" s="99" t="s">
        <v>2645</v>
      </c>
      <c r="C42" s="65" t="s">
        <v>72</v>
      </c>
      <c r="D42" s="66" t="s">
        <v>3848</v>
      </c>
      <c r="E42" s="67">
        <v>40843.078125</v>
      </c>
      <c r="F42" s="67">
        <v>41122</v>
      </c>
      <c r="G42" s="64">
        <f>IF(stdProdLT(Main[[#This Row],[Comments]])=0.1,"N/A",IF(stdProdLT(Main[[#This Row],[Comments]])=0,"",stdProdLT(Main[[#This Row],[Comments]])))</f>
        <v>196</v>
      </c>
      <c r="H42" s="68">
        <f>IF(AND(Main[[#This Row],[In Stock Date]]&lt;&gt;"",Main[[#This Row],[Revised Due Date]]&lt;&gt;""),Main[[#This Row],[In Stock Date]]-Main[[#This Row],[Revised Due Date]],"")</f>
        <v>138</v>
      </c>
      <c r="I42" s="65" t="s">
        <v>2630</v>
      </c>
      <c r="J42" s="65" t="s">
        <v>28</v>
      </c>
      <c r="K42" s="65" t="s">
        <v>1930</v>
      </c>
      <c r="L42" s="67">
        <v>40849</v>
      </c>
      <c r="M42" s="69">
        <f>IF(Main[[#This Row],[Tech Start Date]]&lt;1/1/1990,"",IF(Main[[#This Row],[Class]]="C",WORKDAY(Main[[#This Row],[Tech Start Date]],9),IF(Main[[#This Row],[Class]]="B", WORKDAY(Main[[#This Row],[Tech Start Date]],6),IF(Main[[#This Row],[Class]]="A",WORKDAY(Main[[#This Row],[Tech Start Date]],2),""))))</f>
        <v>40862</v>
      </c>
      <c r="N42" s="69">
        <f>IF(Main[[#This Row],[Tech Start Date]]&lt;1/1/1990,"",IF(Main[[#This Row],[Class]]="C",WORKDAY(Main[[#This Row],[Tech Start Date]],19),IF(Main[[#This Row],[Class]]="B", WORKDAY(Main[[#This Row],[Tech Start Date]],12),IF(Main[[#This Row],[Class]]="A",WORKDAY(Main[[#This Row],[Tech Start Date]],4),""))))</f>
        <v>40876</v>
      </c>
      <c r="O42" s="69">
        <f>IF(Main[[#This Row],[Tech Start Date]]&lt;1/1/1990,"",IF(Main[[#This Row],[Class]]="C",WORKDAY(Main[[#This Row],[Tech Start Date]],23),IF(Main[[#This Row],[Class]]="B", WORKDAY(Main[[#This Row],[Tech Start Date]],15),IF(Main[[#This Row],[Class]]="A",WORKDAY(Main[[#This Row],[Tech Start Date]],5),""))))</f>
        <v>40882</v>
      </c>
      <c r="P42" s="69">
        <f>IF(Main[[#This Row],[Tech Start Date]]&lt;1/1/1990,"",IF(Main[[#This Row],[Class]]="C",WORKDAY(Main[[#This Row],[Tech Start Date]],28),IF(Main[[#This Row],[Class]]="B", WORKDAY(Main[[#This Row],[Tech Start Date]],19),IF(Main[[#This Row],[Class]]="A",WORKDAY(Main[[#This Row],[Tech Start Date]],9),""))))</f>
        <v>40889</v>
      </c>
      <c r="Q42" s="67">
        <v>41122</v>
      </c>
      <c r="R42" s="67">
        <v>40984</v>
      </c>
      <c r="S42" s="65" t="s">
        <v>11</v>
      </c>
      <c r="T42" s="70" t="s">
        <v>3849</v>
      </c>
      <c r="U42" s="65" t="s">
        <v>29</v>
      </c>
      <c r="V42" s="65" t="s">
        <v>1918</v>
      </c>
      <c r="W42" s="65" t="s">
        <v>1925</v>
      </c>
      <c r="X42" s="65" t="s">
        <v>2853</v>
      </c>
      <c r="Y42" s="65" t="s">
        <v>2984</v>
      </c>
      <c r="Z42" s="65" t="s">
        <v>2056</v>
      </c>
      <c r="AA42" s="65" t="s">
        <v>2853</v>
      </c>
    </row>
    <row r="43" spans="1:32" ht="17.45" customHeight="1">
      <c r="A43" s="131">
        <f>IF(priority(Main[[#This Row],[Comments]])&lt;&gt;0, priority(Main[[#This Row],[Comments]]),"")</f>
        <v>11</v>
      </c>
      <c r="B43" s="99" t="s">
        <v>3276</v>
      </c>
      <c r="C43" s="65" t="s">
        <v>3277</v>
      </c>
      <c r="D43" s="66" t="s">
        <v>3573</v>
      </c>
      <c r="E43" s="67">
        <v>40934.412314814814</v>
      </c>
      <c r="F43" s="67">
        <v>41091</v>
      </c>
      <c r="G43" s="64">
        <f>IF(stdProdLT(Main[[#This Row],[Comments]])=0.1,"N/A",IF(stdProdLT(Main[[#This Row],[Comments]])=0,"",stdProdLT(Main[[#This Row],[Comments]])))</f>
        <v>126</v>
      </c>
      <c r="H43" s="68">
        <f>IF(AND(Main[[#This Row],[In Stock Date]]&lt;&gt;"",Main[[#This Row],[Revised Due Date]]&lt;&gt;""),Main[[#This Row],[In Stock Date]]-Main[[#This Row],[Revised Due Date]],"")</f>
        <v>116</v>
      </c>
      <c r="I43" s="65" t="s">
        <v>914</v>
      </c>
      <c r="J43" s="65" t="s">
        <v>52</v>
      </c>
      <c r="K43" s="71" t="s">
        <v>1924</v>
      </c>
      <c r="L43" s="67">
        <v>40934</v>
      </c>
      <c r="M43" s="69">
        <f>IF(Main[[#This Row],[Tech Start Date]]&lt;1/1/1990,"",IF(Main[[#This Row],[Class]]="C",WORKDAY(Main[[#This Row],[Tech Start Date]],9),IF(Main[[#This Row],[Class]]="B", WORKDAY(Main[[#This Row],[Tech Start Date]],6),IF(Main[[#This Row],[Class]]="A",WORKDAY(Main[[#This Row],[Tech Start Date]],2),""))))</f>
        <v>40942</v>
      </c>
      <c r="N43" s="69">
        <f>IF(Main[[#This Row],[Tech Start Date]]&lt;1/1/1990,"",IF(Main[[#This Row],[Class]]="C",WORKDAY(Main[[#This Row],[Tech Start Date]],19),IF(Main[[#This Row],[Class]]="B", WORKDAY(Main[[#This Row],[Tech Start Date]],12),IF(Main[[#This Row],[Class]]="A",WORKDAY(Main[[#This Row],[Tech Start Date]],4),""))))</f>
        <v>40952</v>
      </c>
      <c r="O43" s="69">
        <f>IF(Main[[#This Row],[Tech Start Date]]&lt;1/1/1990,"",IF(Main[[#This Row],[Class]]="C",WORKDAY(Main[[#This Row],[Tech Start Date]],23),IF(Main[[#This Row],[Class]]="B", WORKDAY(Main[[#This Row],[Tech Start Date]],15),IF(Main[[#This Row],[Class]]="A",WORKDAY(Main[[#This Row],[Tech Start Date]],5),""))))</f>
        <v>40955</v>
      </c>
      <c r="P43" s="69">
        <f>IF(Main[[#This Row],[Tech Start Date]]&lt;1/1/1990,"",IF(Main[[#This Row],[Class]]="C",WORKDAY(Main[[#This Row],[Tech Start Date]],28),IF(Main[[#This Row],[Class]]="B", WORKDAY(Main[[#This Row],[Tech Start Date]],19),IF(Main[[#This Row],[Class]]="A",WORKDAY(Main[[#This Row],[Tech Start Date]],9),""))))</f>
        <v>40961</v>
      </c>
      <c r="Q43" s="67"/>
      <c r="R43" s="67">
        <v>40975</v>
      </c>
      <c r="S43" s="65" t="s">
        <v>11</v>
      </c>
      <c r="T43" s="70" t="s">
        <v>3882</v>
      </c>
      <c r="U43" s="65" t="s">
        <v>29</v>
      </c>
      <c r="V43" s="65" t="s">
        <v>1917</v>
      </c>
      <c r="W43" s="65" t="s">
        <v>1925</v>
      </c>
      <c r="X43" s="65" t="s">
        <v>50</v>
      </c>
      <c r="Y43" s="65" t="s">
        <v>3164</v>
      </c>
      <c r="Z43" s="65" t="s">
        <v>129</v>
      </c>
      <c r="AA43" s="65" t="s">
        <v>3475</v>
      </c>
    </row>
    <row r="44" spans="1:32" ht="17.45" customHeight="1">
      <c r="A44" s="131">
        <f>IF(priority(Main[[#This Row],[Comments]])&lt;&gt;0, priority(Main[[#This Row],[Comments]]),"")</f>
        <v>11</v>
      </c>
      <c r="B44" s="99" t="s">
        <v>3576</v>
      </c>
      <c r="C44" s="65" t="s">
        <v>2213</v>
      </c>
      <c r="D44" s="66" t="s">
        <v>3893</v>
      </c>
      <c r="E44" s="67">
        <v>40946.395277777781</v>
      </c>
      <c r="F44" s="67">
        <v>40984</v>
      </c>
      <c r="G44" s="64" t="str">
        <f>IF(stdProdLT(Main[[#This Row],[Comments]])=0.1,"N/A",IF(stdProdLT(Main[[#This Row],[Comments]])=0,"",stdProdLT(Main[[#This Row],[Comments]])))</f>
        <v/>
      </c>
      <c r="H44" s="68">
        <f>IF(AND(Main[[#This Row],[In Stock Date]]&lt;&gt;"",Main[[#This Row],[Revised Due Date]]&lt;&gt;""),Main[[#This Row],[In Stock Date]]-Main[[#This Row],[Revised Due Date]],"")</f>
        <v>11</v>
      </c>
      <c r="I44" s="65" t="s">
        <v>2254</v>
      </c>
      <c r="J44" s="65" t="s">
        <v>28</v>
      </c>
      <c r="K44" s="71" t="s">
        <v>1926</v>
      </c>
      <c r="L44" s="67">
        <v>40946</v>
      </c>
      <c r="M44" s="69">
        <f>IF(Main[[#This Row],[Tech Start Date]]&lt;1/1/1990,"",IF(Main[[#This Row],[Class]]="C",WORKDAY(Main[[#This Row],[Tech Start Date]],9),IF(Main[[#This Row],[Class]]="B", WORKDAY(Main[[#This Row],[Tech Start Date]],6),IF(Main[[#This Row],[Class]]="A",WORKDAY(Main[[#This Row],[Tech Start Date]],2),""))))</f>
        <v>40948</v>
      </c>
      <c r="N44" s="69">
        <f>IF(Main[[#This Row],[Tech Start Date]]&lt;1/1/1990,"",IF(Main[[#This Row],[Class]]="C",WORKDAY(Main[[#This Row],[Tech Start Date]],19),IF(Main[[#This Row],[Class]]="B", WORKDAY(Main[[#This Row],[Tech Start Date]],12),IF(Main[[#This Row],[Class]]="A",WORKDAY(Main[[#This Row],[Tech Start Date]],4),""))))</f>
        <v>40952</v>
      </c>
      <c r="O44" s="69">
        <f>IF(Main[[#This Row],[Tech Start Date]]&lt;1/1/1990,"",IF(Main[[#This Row],[Class]]="C",WORKDAY(Main[[#This Row],[Tech Start Date]],23),IF(Main[[#This Row],[Class]]="B", WORKDAY(Main[[#This Row],[Tech Start Date]],15),IF(Main[[#This Row],[Class]]="A",WORKDAY(Main[[#This Row],[Tech Start Date]],5),""))))</f>
        <v>40953</v>
      </c>
      <c r="P44" s="69">
        <f>IF(Main[[#This Row],[Tech Start Date]]&lt;1/1/1990,"",IF(Main[[#This Row],[Class]]="C",WORKDAY(Main[[#This Row],[Tech Start Date]],28),IF(Main[[#This Row],[Class]]="B", WORKDAY(Main[[#This Row],[Tech Start Date]],19),IF(Main[[#This Row],[Class]]="A",WORKDAY(Main[[#This Row],[Tech Start Date]],9),""))))</f>
        <v>40959</v>
      </c>
      <c r="Q44" s="67">
        <v>40984</v>
      </c>
      <c r="R44" s="67">
        <v>40973</v>
      </c>
      <c r="S44" s="65" t="s">
        <v>11</v>
      </c>
      <c r="T44" s="70" t="s">
        <v>3894</v>
      </c>
      <c r="U44" s="65" t="s">
        <v>29</v>
      </c>
      <c r="V44" s="65" t="s">
        <v>1918</v>
      </c>
      <c r="W44" s="65" t="s">
        <v>1922</v>
      </c>
      <c r="X44" s="65" t="s">
        <v>2822</v>
      </c>
      <c r="Y44" s="65" t="s">
        <v>4</v>
      </c>
      <c r="Z44" s="65" t="s">
        <v>2056</v>
      </c>
      <c r="AA44" s="65" t="s">
        <v>2822</v>
      </c>
    </row>
    <row r="45" spans="1:32" ht="17.45" customHeight="1">
      <c r="A45" s="131">
        <f>IF(priority(Main[[#This Row],[Comments]])&lt;&gt;0, priority(Main[[#This Row],[Comments]]),"")</f>
        <v>12</v>
      </c>
      <c r="B45" s="99" t="s">
        <v>2781</v>
      </c>
      <c r="C45" s="65" t="s">
        <v>2782</v>
      </c>
      <c r="D45" s="66" t="s">
        <v>3299</v>
      </c>
      <c r="E45" s="67"/>
      <c r="F45" s="67"/>
      <c r="G45" s="64" t="str">
        <f>IF(stdProdLT(Main[[#This Row],[Comments]])=0.1,"N/A",IF(stdProdLT(Main[[#This Row],[Comments]])=0,"",stdProdLT(Main[[#This Row],[Comments]])))</f>
        <v>N/A</v>
      </c>
      <c r="H45" s="68" t="str">
        <f>IF(AND(Main[[#This Row],[In Stock Date]]&lt;&gt;"",Main[[#This Row],[Revised Due Date]]&lt;&gt;""),Main[[#This Row],[In Stock Date]]-Main[[#This Row],[Revised Due Date]],"")</f>
        <v/>
      </c>
      <c r="I45" s="65" t="s">
        <v>4</v>
      </c>
      <c r="J45" s="65" t="s">
        <v>4</v>
      </c>
      <c r="K45" s="65" t="s">
        <v>4</v>
      </c>
      <c r="L45" s="67"/>
      <c r="M45" s="69" t="str">
        <f>IF(Main[[#This Row],[Tech Start Date]]&lt;1/1/1990,"",IF(Main[[#This Row],[Class]]="C",WORKDAY(Main[[#This Row],[Tech Start Date]],9),IF(Main[[#This Row],[Class]]="B", WORKDAY(Main[[#This Row],[Tech Start Date]],6),IF(Main[[#This Row],[Class]]="A",WORKDAY(Main[[#This Row],[Tech Start Date]],2),""))))</f>
        <v/>
      </c>
      <c r="N45" s="69" t="str">
        <f>IF(Main[[#This Row],[Tech Start Date]]&lt;1/1/1990,"",IF(Main[[#This Row],[Class]]="C",WORKDAY(Main[[#This Row],[Tech Start Date]],19),IF(Main[[#This Row],[Class]]="B", WORKDAY(Main[[#This Row],[Tech Start Date]],12),IF(Main[[#This Row],[Class]]="A",WORKDAY(Main[[#This Row],[Tech Start Date]],4),""))))</f>
        <v/>
      </c>
      <c r="O45" s="69" t="str">
        <f>IF(Main[[#This Row],[Tech Start Date]]&lt;1/1/1990,"",IF(Main[[#This Row],[Class]]="C",WORKDAY(Main[[#This Row],[Tech Start Date]],23),IF(Main[[#This Row],[Class]]="B", WORKDAY(Main[[#This Row],[Tech Start Date]],15),IF(Main[[#This Row],[Class]]="A",WORKDAY(Main[[#This Row],[Tech Start Date]],5),""))))</f>
        <v/>
      </c>
      <c r="P45" s="69" t="str">
        <f>IF(Main[[#This Row],[Tech Start Date]]&lt;1/1/1990,"",IF(Main[[#This Row],[Class]]="C",WORKDAY(Main[[#This Row],[Tech Start Date]],28),IF(Main[[#This Row],[Class]]="B", WORKDAY(Main[[#This Row],[Tech Start Date]],19),IF(Main[[#This Row],[Class]]="A",WORKDAY(Main[[#This Row],[Tech Start Date]],9),""))))</f>
        <v/>
      </c>
      <c r="Q45" s="67">
        <v>40903</v>
      </c>
      <c r="R45" s="67"/>
      <c r="S45" s="65" t="s">
        <v>11</v>
      </c>
      <c r="T45" s="70" t="s">
        <v>3300</v>
      </c>
      <c r="U45" s="65" t="s">
        <v>14</v>
      </c>
      <c r="V45" s="65" t="s">
        <v>1918</v>
      </c>
      <c r="W45" s="65" t="s">
        <v>1919</v>
      </c>
      <c r="X45" s="65" t="s">
        <v>2822</v>
      </c>
      <c r="Y45" s="65" t="s">
        <v>4</v>
      </c>
      <c r="Z45" s="65" t="s">
        <v>4</v>
      </c>
      <c r="AA45" s="65" t="s">
        <v>2822</v>
      </c>
    </row>
    <row r="46" spans="1:32" ht="17.45" customHeight="1">
      <c r="A46" s="131">
        <f>IF(priority(Main[[#This Row],[Comments]])&lt;&gt;0, priority(Main[[#This Row],[Comments]]),"")</f>
        <v>12</v>
      </c>
      <c r="B46" s="99" t="s">
        <v>3213</v>
      </c>
      <c r="C46" s="65" t="s">
        <v>3221</v>
      </c>
      <c r="D46" s="66" t="s">
        <v>3866</v>
      </c>
      <c r="E46" s="67">
        <v>40921.041666666664</v>
      </c>
      <c r="F46" s="67">
        <v>41122</v>
      </c>
      <c r="G46" s="64">
        <f>IF(stdProdLT(Main[[#This Row],[Comments]])=0.1,"N/A",IF(stdProdLT(Main[[#This Row],[Comments]])=0,"",stdProdLT(Main[[#This Row],[Comments]])))</f>
        <v>168</v>
      </c>
      <c r="H46" s="68">
        <f>IF(AND(Main[[#This Row],[In Stock Date]]&lt;&gt;"",Main[[#This Row],[Revised Due Date]]&lt;&gt;""),Main[[#This Row],[In Stock Date]]-Main[[#This Row],[Revised Due Date]],"")</f>
        <v>159</v>
      </c>
      <c r="I46" s="65" t="s">
        <v>102</v>
      </c>
      <c r="J46" s="65" t="s">
        <v>51</v>
      </c>
      <c r="K46" s="65" t="s">
        <v>1930</v>
      </c>
      <c r="L46" s="67">
        <v>40924</v>
      </c>
      <c r="M46" s="69">
        <f>IF(Main[[#This Row],[Tech Start Date]]&lt;1/1/1990,"",IF(Main[[#This Row],[Class]]="C",WORKDAY(Main[[#This Row],[Tech Start Date]],9),IF(Main[[#This Row],[Class]]="B", WORKDAY(Main[[#This Row],[Tech Start Date]],6),IF(Main[[#This Row],[Class]]="A",WORKDAY(Main[[#This Row],[Tech Start Date]],2),""))))</f>
        <v>40935</v>
      </c>
      <c r="N46" s="69">
        <f>IF(Main[[#This Row],[Tech Start Date]]&lt;1/1/1990,"",IF(Main[[#This Row],[Class]]="C",WORKDAY(Main[[#This Row],[Tech Start Date]],19),IF(Main[[#This Row],[Class]]="B", WORKDAY(Main[[#This Row],[Tech Start Date]],12),IF(Main[[#This Row],[Class]]="A",WORKDAY(Main[[#This Row],[Tech Start Date]],4),""))))</f>
        <v>40949</v>
      </c>
      <c r="O46" s="69">
        <f>IF(Main[[#This Row],[Tech Start Date]]&lt;1/1/1990,"",IF(Main[[#This Row],[Class]]="C",WORKDAY(Main[[#This Row],[Tech Start Date]],23),IF(Main[[#This Row],[Class]]="B", WORKDAY(Main[[#This Row],[Tech Start Date]],15),IF(Main[[#This Row],[Class]]="A",WORKDAY(Main[[#This Row],[Tech Start Date]],5),""))))</f>
        <v>40955</v>
      </c>
      <c r="P46" s="69">
        <f>IF(Main[[#This Row],[Tech Start Date]]&lt;1/1/1990,"",IF(Main[[#This Row],[Class]]="C",WORKDAY(Main[[#This Row],[Tech Start Date]],28),IF(Main[[#This Row],[Class]]="B", WORKDAY(Main[[#This Row],[Tech Start Date]],19),IF(Main[[#This Row],[Class]]="A",WORKDAY(Main[[#This Row],[Tech Start Date]],9),""))))</f>
        <v>40962</v>
      </c>
      <c r="Q46" s="67">
        <v>40953</v>
      </c>
      <c r="R46" s="67">
        <v>40963</v>
      </c>
      <c r="S46" s="65" t="s">
        <v>11</v>
      </c>
      <c r="T46" s="70" t="s">
        <v>3867</v>
      </c>
      <c r="U46" s="65" t="s">
        <v>29</v>
      </c>
      <c r="V46" s="65" t="s">
        <v>1920</v>
      </c>
      <c r="W46" s="65" t="s">
        <v>1923</v>
      </c>
      <c r="X46" s="65" t="s">
        <v>2854</v>
      </c>
      <c r="Y46" s="65" t="s">
        <v>2985</v>
      </c>
      <c r="Z46" s="65" t="s">
        <v>306</v>
      </c>
      <c r="AA46" s="65" t="s">
        <v>2854</v>
      </c>
    </row>
    <row r="47" spans="1:32" ht="17.45" customHeight="1">
      <c r="A47" s="131">
        <f>IF(priority(Main[[#This Row],[Comments]])&lt;&gt;0, priority(Main[[#This Row],[Comments]]),"")</f>
        <v>12</v>
      </c>
      <c r="B47" s="99" t="s">
        <v>3203</v>
      </c>
      <c r="C47" s="65" t="s">
        <v>3204</v>
      </c>
      <c r="D47" s="66" t="s">
        <v>3381</v>
      </c>
      <c r="E47" s="67">
        <v>40920.45616898148</v>
      </c>
      <c r="F47" s="67">
        <v>41105</v>
      </c>
      <c r="G47" s="64">
        <f>IF(stdProdLT(Main[[#This Row],[Comments]])=0.1,"N/A",IF(stdProdLT(Main[[#This Row],[Comments]])=0,"",stdProdLT(Main[[#This Row],[Comments]])))</f>
        <v>126</v>
      </c>
      <c r="H47" s="68">
        <f>IF(AND(Main[[#This Row],[In Stock Date]]&lt;&gt;"",Main[[#This Row],[Revised Due Date]]&lt;&gt;""),Main[[#This Row],[In Stock Date]]-Main[[#This Row],[Revised Due Date]],"")</f>
        <v>130</v>
      </c>
      <c r="I47" s="65" t="s">
        <v>914</v>
      </c>
      <c r="J47" s="65" t="s">
        <v>52</v>
      </c>
      <c r="K47" s="65" t="s">
        <v>1924</v>
      </c>
      <c r="L47" s="67">
        <v>40924</v>
      </c>
      <c r="M47" s="69">
        <f>IF(Main[[#This Row],[Tech Start Date]]&lt;1/1/1990,"",IF(Main[[#This Row],[Class]]="C",WORKDAY(Main[[#This Row],[Tech Start Date]],9),IF(Main[[#This Row],[Class]]="B", WORKDAY(Main[[#This Row],[Tech Start Date]],6),IF(Main[[#This Row],[Class]]="A",WORKDAY(Main[[#This Row],[Tech Start Date]],2),""))))</f>
        <v>40932</v>
      </c>
      <c r="N47" s="69">
        <f>IF(Main[[#This Row],[Tech Start Date]]&lt;1/1/1990,"",IF(Main[[#This Row],[Class]]="C",WORKDAY(Main[[#This Row],[Tech Start Date]],19),IF(Main[[#This Row],[Class]]="B", WORKDAY(Main[[#This Row],[Tech Start Date]],12),IF(Main[[#This Row],[Class]]="A",WORKDAY(Main[[#This Row],[Tech Start Date]],4),""))))</f>
        <v>40940</v>
      </c>
      <c r="O47" s="69">
        <f>IF(Main[[#This Row],[Tech Start Date]]&lt;1/1/1990,"",IF(Main[[#This Row],[Class]]="C",WORKDAY(Main[[#This Row],[Tech Start Date]],23),IF(Main[[#This Row],[Class]]="B", WORKDAY(Main[[#This Row],[Tech Start Date]],15),IF(Main[[#This Row],[Class]]="A",WORKDAY(Main[[#This Row],[Tech Start Date]],5),""))))</f>
        <v>40945</v>
      </c>
      <c r="P47" s="69">
        <f>IF(Main[[#This Row],[Tech Start Date]]&lt;1/1/1990,"",IF(Main[[#This Row],[Class]]="C",WORKDAY(Main[[#This Row],[Tech Start Date]],28),IF(Main[[#This Row],[Class]]="B", WORKDAY(Main[[#This Row],[Tech Start Date]],19),IF(Main[[#This Row],[Class]]="A",WORKDAY(Main[[#This Row],[Tech Start Date]],9),""))))</f>
        <v>40949</v>
      </c>
      <c r="Q47" s="67">
        <v>41105</v>
      </c>
      <c r="R47" s="67">
        <v>40975</v>
      </c>
      <c r="S47" s="65" t="s">
        <v>11</v>
      </c>
      <c r="T47" s="70" t="s">
        <v>3868</v>
      </c>
      <c r="U47" s="65" t="s">
        <v>29</v>
      </c>
      <c r="V47" s="65" t="s">
        <v>1917</v>
      </c>
      <c r="W47" s="65" t="s">
        <v>1923</v>
      </c>
      <c r="X47" s="65" t="s">
        <v>2858</v>
      </c>
      <c r="Y47" s="65" t="s">
        <v>2996</v>
      </c>
      <c r="Z47" s="65" t="s">
        <v>129</v>
      </c>
      <c r="AA47" s="65" t="s">
        <v>2858</v>
      </c>
    </row>
    <row r="48" spans="1:32" ht="17.45" customHeight="1">
      <c r="A48" s="131">
        <f>IF(priority(Main[[#This Row],[Comments]])&lt;&gt;0, priority(Main[[#This Row],[Comments]]),"")</f>
        <v>12</v>
      </c>
      <c r="B48" s="99" t="s">
        <v>3371</v>
      </c>
      <c r="C48" s="65" t="s">
        <v>53</v>
      </c>
      <c r="D48" s="66" t="s">
        <v>3885</v>
      </c>
      <c r="E48" s="67">
        <v>40939.469178240739</v>
      </c>
      <c r="F48" s="67">
        <v>40963</v>
      </c>
      <c r="G48" s="64" t="str">
        <f>IF(stdProdLT(Main[[#This Row],[Comments]])=0.1,"N/A",IF(stdProdLT(Main[[#This Row],[Comments]])=0,"",stdProdLT(Main[[#This Row],[Comments]])))</f>
        <v>N/A</v>
      </c>
      <c r="H48" s="68">
        <f>IF(AND(Main[[#This Row],[In Stock Date]]&lt;&gt;"",Main[[#This Row],[Revised Due Date]]&lt;&gt;""),Main[[#This Row],[In Stock Date]]-Main[[#This Row],[Revised Due Date]],"")</f>
        <v>-5</v>
      </c>
      <c r="I48" s="65" t="s">
        <v>2211</v>
      </c>
      <c r="J48" s="65" t="s">
        <v>75</v>
      </c>
      <c r="K48" s="71" t="s">
        <v>1930</v>
      </c>
      <c r="L48" s="67">
        <v>40942</v>
      </c>
      <c r="M48" s="69">
        <f>IF(Main[[#This Row],[Tech Start Date]]&lt;1/1/1990,"",IF(Main[[#This Row],[Class]]="C",WORKDAY(Main[[#This Row],[Tech Start Date]],9),IF(Main[[#This Row],[Class]]="B", WORKDAY(Main[[#This Row],[Tech Start Date]],6),IF(Main[[#This Row],[Class]]="A",WORKDAY(Main[[#This Row],[Tech Start Date]],2),""))))</f>
        <v>40955</v>
      </c>
      <c r="N48" s="69">
        <f>IF(Main[[#This Row],[Tech Start Date]]&lt;1/1/1990,"",IF(Main[[#This Row],[Class]]="C",WORKDAY(Main[[#This Row],[Tech Start Date]],19),IF(Main[[#This Row],[Class]]="B", WORKDAY(Main[[#This Row],[Tech Start Date]],12),IF(Main[[#This Row],[Class]]="A",WORKDAY(Main[[#This Row],[Tech Start Date]],4),""))))</f>
        <v>40969</v>
      </c>
      <c r="O48" s="69">
        <f>IF(Main[[#This Row],[Tech Start Date]]&lt;1/1/1990,"",IF(Main[[#This Row],[Class]]="C",WORKDAY(Main[[#This Row],[Tech Start Date]],23),IF(Main[[#This Row],[Class]]="B", WORKDAY(Main[[#This Row],[Tech Start Date]],15),IF(Main[[#This Row],[Class]]="A",WORKDAY(Main[[#This Row],[Tech Start Date]],5),""))))</f>
        <v>40975</v>
      </c>
      <c r="P48" s="69">
        <f>IF(Main[[#This Row],[Tech Start Date]]&lt;1/1/1990,"",IF(Main[[#This Row],[Class]]="C",WORKDAY(Main[[#This Row],[Tech Start Date]],28),IF(Main[[#This Row],[Class]]="B", WORKDAY(Main[[#This Row],[Tech Start Date]],19),IF(Main[[#This Row],[Class]]="A",WORKDAY(Main[[#This Row],[Tech Start Date]],9),""))))</f>
        <v>40982</v>
      </c>
      <c r="Q48" s="67"/>
      <c r="R48" s="67">
        <v>40968</v>
      </c>
      <c r="S48" s="65" t="s">
        <v>11</v>
      </c>
      <c r="T48" s="70" t="s">
        <v>3886</v>
      </c>
      <c r="U48" s="65" t="s">
        <v>29</v>
      </c>
      <c r="V48" s="65" t="s">
        <v>1918</v>
      </c>
      <c r="W48" s="65" t="s">
        <v>1919</v>
      </c>
      <c r="X48" s="65" t="s">
        <v>2822</v>
      </c>
      <c r="Y48" s="65" t="s">
        <v>4</v>
      </c>
      <c r="Z48" s="65" t="s">
        <v>2056</v>
      </c>
      <c r="AA48" s="65" t="s">
        <v>2822</v>
      </c>
    </row>
    <row r="49" spans="1:27" ht="17.45" customHeight="1">
      <c r="A49" s="131">
        <f>IF(priority(Main[[#This Row],[Comments]])&lt;&gt;0, priority(Main[[#This Row],[Comments]]),"")</f>
        <v>12.1</v>
      </c>
      <c r="B49" s="99" t="s">
        <v>3301</v>
      </c>
      <c r="C49" s="65" t="s">
        <v>3271</v>
      </c>
      <c r="D49" s="66" t="s">
        <v>3302</v>
      </c>
      <c r="E49" s="67"/>
      <c r="F49" s="67">
        <v>41091</v>
      </c>
      <c r="G49" s="64" t="str">
        <f>IF(stdProdLT(Main[[#This Row],[Comments]])=0.1,"N/A",IF(stdProdLT(Main[[#This Row],[Comments]])=0,"",stdProdLT(Main[[#This Row],[Comments]])))</f>
        <v>N/A</v>
      </c>
      <c r="H49" s="68" t="str">
        <f>IF(AND(Main[[#This Row],[In Stock Date]]&lt;&gt;"",Main[[#This Row],[Revised Due Date]]&lt;&gt;""),Main[[#This Row],[In Stock Date]]-Main[[#This Row],[Revised Due Date]],"")</f>
        <v/>
      </c>
      <c r="I49" s="65" t="s">
        <v>4</v>
      </c>
      <c r="J49" s="65" t="s">
        <v>4</v>
      </c>
      <c r="K49" s="65" t="s">
        <v>4</v>
      </c>
      <c r="L49" s="67"/>
      <c r="M49" s="69" t="str">
        <f>IF(Main[[#This Row],[Tech Start Date]]&lt;1/1/1990,"",IF(Main[[#This Row],[Class]]="C",WORKDAY(Main[[#This Row],[Tech Start Date]],9),IF(Main[[#This Row],[Class]]="B", WORKDAY(Main[[#This Row],[Tech Start Date]],6),IF(Main[[#This Row],[Class]]="A",WORKDAY(Main[[#This Row],[Tech Start Date]],2),""))))</f>
        <v/>
      </c>
      <c r="N49" s="69" t="str">
        <f>IF(Main[[#This Row],[Tech Start Date]]&lt;1/1/1990,"",IF(Main[[#This Row],[Class]]="C",WORKDAY(Main[[#This Row],[Tech Start Date]],19),IF(Main[[#This Row],[Class]]="B", WORKDAY(Main[[#This Row],[Tech Start Date]],12),IF(Main[[#This Row],[Class]]="A",WORKDAY(Main[[#This Row],[Tech Start Date]],4),""))))</f>
        <v/>
      </c>
      <c r="O49" s="69" t="str">
        <f>IF(Main[[#This Row],[Tech Start Date]]&lt;1/1/1990,"",IF(Main[[#This Row],[Class]]="C",WORKDAY(Main[[#This Row],[Tech Start Date]],23),IF(Main[[#This Row],[Class]]="B", WORKDAY(Main[[#This Row],[Tech Start Date]],15),IF(Main[[#This Row],[Class]]="A",WORKDAY(Main[[#This Row],[Tech Start Date]],5),""))))</f>
        <v/>
      </c>
      <c r="P49" s="69" t="str">
        <f>IF(Main[[#This Row],[Tech Start Date]]&lt;1/1/1990,"",IF(Main[[#This Row],[Class]]="C",WORKDAY(Main[[#This Row],[Tech Start Date]],28),IF(Main[[#This Row],[Class]]="B", WORKDAY(Main[[#This Row],[Tech Start Date]],19),IF(Main[[#This Row],[Class]]="A",WORKDAY(Main[[#This Row],[Tech Start Date]],9),""))))</f>
        <v/>
      </c>
      <c r="Q49" s="67">
        <v>40945</v>
      </c>
      <c r="R49" s="67"/>
      <c r="S49" s="65" t="s">
        <v>11</v>
      </c>
      <c r="T49" s="70" t="s">
        <v>3303</v>
      </c>
      <c r="U49" s="65" t="s">
        <v>14</v>
      </c>
      <c r="V49" s="65" t="s">
        <v>1927</v>
      </c>
      <c r="W49" s="65" t="s">
        <v>1925</v>
      </c>
      <c r="X49" s="65" t="s">
        <v>2835</v>
      </c>
      <c r="Y49" s="65" t="s">
        <v>2957</v>
      </c>
      <c r="Z49" s="65" t="s">
        <v>4</v>
      </c>
      <c r="AA49" s="65" t="s">
        <v>2835</v>
      </c>
    </row>
    <row r="50" spans="1:27" ht="17.45" customHeight="1">
      <c r="A50" s="131">
        <f>IF(priority(Main[[#This Row],[Comments]])&lt;&gt;0, priority(Main[[#This Row],[Comments]]),"")</f>
        <v>13</v>
      </c>
      <c r="B50" s="99" t="s">
        <v>3598</v>
      </c>
      <c r="C50" s="65" t="s">
        <v>31</v>
      </c>
      <c r="D50" s="66" t="s">
        <v>3599</v>
      </c>
      <c r="E50" s="67">
        <v>40953.049583333333</v>
      </c>
      <c r="F50" s="67">
        <v>40968</v>
      </c>
      <c r="G50" s="64" t="str">
        <f>IF(stdProdLT(Main[[#This Row],[Comments]])=0.1,"N/A",IF(stdProdLT(Main[[#This Row],[Comments]])=0,"",stdProdLT(Main[[#This Row],[Comments]])))</f>
        <v>N/A</v>
      </c>
      <c r="H50" s="68" t="str">
        <f>IF(AND(Main[[#This Row],[In Stock Date]]&lt;&gt;"",Main[[#This Row],[Revised Due Date]]&lt;&gt;""),Main[[#This Row],[In Stock Date]]-Main[[#This Row],[Revised Due Date]],"")</f>
        <v/>
      </c>
      <c r="I50" s="65" t="s">
        <v>948</v>
      </c>
      <c r="J50" s="65" t="s">
        <v>28</v>
      </c>
      <c r="K50" s="65" t="s">
        <v>1924</v>
      </c>
      <c r="L50" s="67"/>
      <c r="M50" s="69" t="str">
        <f>IF(Main[[#This Row],[Tech Start Date]]&lt;1/1/1990,"",IF(Main[[#This Row],[Class]]="C",WORKDAY(Main[[#This Row],[Tech Start Date]],9),IF(Main[[#This Row],[Class]]="B", WORKDAY(Main[[#This Row],[Tech Start Date]],6),IF(Main[[#This Row],[Class]]="A",WORKDAY(Main[[#This Row],[Tech Start Date]],2),""))))</f>
        <v/>
      </c>
      <c r="N50" s="69" t="str">
        <f>IF(Main[[#This Row],[Tech Start Date]]&lt;1/1/1990,"",IF(Main[[#This Row],[Class]]="C",WORKDAY(Main[[#This Row],[Tech Start Date]],19),IF(Main[[#This Row],[Class]]="B", WORKDAY(Main[[#This Row],[Tech Start Date]],12),IF(Main[[#This Row],[Class]]="A",WORKDAY(Main[[#This Row],[Tech Start Date]],4),""))))</f>
        <v/>
      </c>
      <c r="O50" s="69" t="str">
        <f>IF(Main[[#This Row],[Tech Start Date]]&lt;1/1/1990,"",IF(Main[[#This Row],[Class]]="C",WORKDAY(Main[[#This Row],[Tech Start Date]],23),IF(Main[[#This Row],[Class]]="B", WORKDAY(Main[[#This Row],[Tech Start Date]],15),IF(Main[[#This Row],[Class]]="A",WORKDAY(Main[[#This Row],[Tech Start Date]],5),""))))</f>
        <v/>
      </c>
      <c r="P50" s="69" t="str">
        <f>IF(Main[[#This Row],[Tech Start Date]]&lt;1/1/1990,"",IF(Main[[#This Row],[Class]]="C",WORKDAY(Main[[#This Row],[Tech Start Date]],28),IF(Main[[#This Row],[Class]]="B", WORKDAY(Main[[#This Row],[Tech Start Date]],19),IF(Main[[#This Row],[Class]]="A",WORKDAY(Main[[#This Row],[Tech Start Date]],9),""))))</f>
        <v/>
      </c>
      <c r="Q50" s="67">
        <v>40967</v>
      </c>
      <c r="R50" s="67"/>
      <c r="S50" s="65" t="s">
        <v>11</v>
      </c>
      <c r="T50" s="70" t="s">
        <v>3600</v>
      </c>
      <c r="U50" s="65" t="s">
        <v>7</v>
      </c>
      <c r="V50" s="65" t="s">
        <v>1918</v>
      </c>
      <c r="W50" s="65" t="s">
        <v>1922</v>
      </c>
      <c r="X50" s="65" t="s">
        <v>2841</v>
      </c>
      <c r="Y50" s="65" t="s">
        <v>4</v>
      </c>
      <c r="Z50" s="65" t="s">
        <v>2056</v>
      </c>
      <c r="AA50" s="65" t="s">
        <v>2841</v>
      </c>
    </row>
    <row r="51" spans="1:27" ht="17.45" customHeight="1">
      <c r="A51" s="131">
        <f>IF(priority(Main[[#This Row],[Comments]])&lt;&gt;0, priority(Main[[#This Row],[Comments]]),"")</f>
        <v>13</v>
      </c>
      <c r="B51" s="99" t="s">
        <v>2748</v>
      </c>
      <c r="C51" s="65" t="s">
        <v>2749</v>
      </c>
      <c r="D51" s="66" t="s">
        <v>2750</v>
      </c>
      <c r="E51" s="67"/>
      <c r="F51" s="67">
        <v>41000</v>
      </c>
      <c r="G51" s="64">
        <f>IF(stdProdLT(Main[[#This Row],[Comments]])=0.1,"N/A",IF(stdProdLT(Main[[#This Row],[Comments]])=0,"",stdProdLT(Main[[#This Row],[Comments]])))</f>
        <v>140</v>
      </c>
      <c r="H51" s="68" t="str">
        <f>IF(AND(Main[[#This Row],[In Stock Date]]&lt;&gt;"",Main[[#This Row],[Revised Due Date]]&lt;&gt;""),Main[[#This Row],[In Stock Date]]-Main[[#This Row],[Revised Due Date]],"")</f>
        <v/>
      </c>
      <c r="I51" s="65" t="s">
        <v>562</v>
      </c>
      <c r="J51" s="65" t="s">
        <v>21</v>
      </c>
      <c r="K51" s="65" t="s">
        <v>4</v>
      </c>
      <c r="L51" s="67"/>
      <c r="M51" s="69" t="str">
        <f>IF(Main[[#This Row],[Tech Start Date]]&lt;1/1/1990,"",IF(Main[[#This Row],[Class]]="C",WORKDAY(Main[[#This Row],[Tech Start Date]],9),IF(Main[[#This Row],[Class]]="B", WORKDAY(Main[[#This Row],[Tech Start Date]],6),IF(Main[[#This Row],[Class]]="A",WORKDAY(Main[[#This Row],[Tech Start Date]],2),""))))</f>
        <v/>
      </c>
      <c r="N51" s="69" t="str">
        <f>IF(Main[[#This Row],[Tech Start Date]]&lt;1/1/1990,"",IF(Main[[#This Row],[Class]]="C",WORKDAY(Main[[#This Row],[Tech Start Date]],19),IF(Main[[#This Row],[Class]]="B", WORKDAY(Main[[#This Row],[Tech Start Date]],12),IF(Main[[#This Row],[Class]]="A",WORKDAY(Main[[#This Row],[Tech Start Date]],4),""))))</f>
        <v/>
      </c>
      <c r="O51" s="69" t="str">
        <f>IF(Main[[#This Row],[Tech Start Date]]&lt;1/1/1990,"",IF(Main[[#This Row],[Class]]="C",WORKDAY(Main[[#This Row],[Tech Start Date]],23),IF(Main[[#This Row],[Class]]="B", WORKDAY(Main[[#This Row],[Tech Start Date]],15),IF(Main[[#This Row],[Class]]="A",WORKDAY(Main[[#This Row],[Tech Start Date]],5),""))))</f>
        <v/>
      </c>
      <c r="P51" s="69" t="str">
        <f>IF(Main[[#This Row],[Tech Start Date]]&lt;1/1/1990,"",IF(Main[[#This Row],[Class]]="C",WORKDAY(Main[[#This Row],[Tech Start Date]],28),IF(Main[[#This Row],[Class]]="B", WORKDAY(Main[[#This Row],[Tech Start Date]],19),IF(Main[[#This Row],[Class]]="A",WORKDAY(Main[[#This Row],[Tech Start Date]],9),""))))</f>
        <v/>
      </c>
      <c r="Q51" s="67">
        <v>40964</v>
      </c>
      <c r="R51" s="67"/>
      <c r="S51" s="65" t="s">
        <v>11</v>
      </c>
      <c r="T51" s="70" t="s">
        <v>2751</v>
      </c>
      <c r="U51" s="65" t="s">
        <v>14</v>
      </c>
      <c r="V51" s="65" t="s">
        <v>1917</v>
      </c>
      <c r="W51" s="65" t="s">
        <v>1925</v>
      </c>
      <c r="X51" s="65" t="s">
        <v>2881</v>
      </c>
      <c r="Y51" s="65" t="s">
        <v>3027</v>
      </c>
      <c r="Z51" s="65" t="s">
        <v>4</v>
      </c>
      <c r="AA51" s="65" t="s">
        <v>2881</v>
      </c>
    </row>
    <row r="52" spans="1:27" ht="17.45" customHeight="1">
      <c r="A52" s="131">
        <f>IF(priority(Main[[#This Row],[Comments]])&lt;&gt;0, priority(Main[[#This Row],[Comments]]),"")</f>
        <v>13</v>
      </c>
      <c r="B52" s="99" t="s">
        <v>1898</v>
      </c>
      <c r="C52" s="65" t="s">
        <v>817</v>
      </c>
      <c r="D52" s="66" t="s">
        <v>1966</v>
      </c>
      <c r="E52" s="67"/>
      <c r="F52" s="67">
        <v>40767</v>
      </c>
      <c r="G52" s="64" t="str">
        <f>IF(stdProdLT(Main[[#This Row],[Comments]])=0.1,"N/A",IF(stdProdLT(Main[[#This Row],[Comments]])=0,"",stdProdLT(Main[[#This Row],[Comments]])))</f>
        <v/>
      </c>
      <c r="H52" s="68">
        <f>IF(AND(Main[[#This Row],[In Stock Date]]&lt;&gt;"",Main[[#This Row],[Revised Due Date]]&lt;&gt;""),Main[[#This Row],[In Stock Date]]-Main[[#This Row],[Revised Due Date]],"")</f>
        <v>21</v>
      </c>
      <c r="I52" s="65" t="s">
        <v>943</v>
      </c>
      <c r="J52" s="65" t="s">
        <v>28</v>
      </c>
      <c r="K52" s="65" t="s">
        <v>1926</v>
      </c>
      <c r="L52" s="67">
        <v>40704</v>
      </c>
      <c r="M52" s="69">
        <f>IF(Main[[#This Row],[Tech Start Date]]&lt;1/1/1990,"",IF(Main[[#This Row],[Class]]="C",WORKDAY(Main[[#This Row],[Tech Start Date]],9),IF(Main[[#This Row],[Class]]="B", WORKDAY(Main[[#This Row],[Tech Start Date]],6),IF(Main[[#This Row],[Class]]="A",WORKDAY(Main[[#This Row],[Tech Start Date]],2),""))))</f>
        <v>40708</v>
      </c>
      <c r="N52" s="69">
        <f>IF(Main[[#This Row],[Tech Start Date]]&lt;1/1/1990,"",IF(Main[[#This Row],[Class]]="C",WORKDAY(Main[[#This Row],[Tech Start Date]],19),IF(Main[[#This Row],[Class]]="B", WORKDAY(Main[[#This Row],[Tech Start Date]],12),IF(Main[[#This Row],[Class]]="A",WORKDAY(Main[[#This Row],[Tech Start Date]],4),""))))</f>
        <v>40710</v>
      </c>
      <c r="O52" s="69">
        <f>IF(Main[[#This Row],[Tech Start Date]]&lt;1/1/1990,"",IF(Main[[#This Row],[Class]]="C",WORKDAY(Main[[#This Row],[Tech Start Date]],23),IF(Main[[#This Row],[Class]]="B", WORKDAY(Main[[#This Row],[Tech Start Date]],15),IF(Main[[#This Row],[Class]]="A",WORKDAY(Main[[#This Row],[Tech Start Date]],5),""))))</f>
        <v>40711</v>
      </c>
      <c r="P52" s="69">
        <f>IF(Main[[#This Row],[Tech Start Date]]&lt;1/1/1990,"",IF(Main[[#This Row],[Class]]="C",WORKDAY(Main[[#This Row],[Tech Start Date]],28),IF(Main[[#This Row],[Class]]="B", WORKDAY(Main[[#This Row],[Tech Start Date]],19),IF(Main[[#This Row],[Class]]="A",WORKDAY(Main[[#This Row],[Tech Start Date]],9),""))))</f>
        <v>40717</v>
      </c>
      <c r="Q52" s="67"/>
      <c r="R52" s="67">
        <v>40746</v>
      </c>
      <c r="S52" s="65" t="s">
        <v>11</v>
      </c>
      <c r="T52" s="70" t="s">
        <v>2007</v>
      </c>
      <c r="U52" s="65" t="s">
        <v>14</v>
      </c>
      <c r="V52" s="65" t="s">
        <v>1918</v>
      </c>
      <c r="W52" s="65" t="s">
        <v>1925</v>
      </c>
      <c r="X52" s="65" t="s">
        <v>2056</v>
      </c>
      <c r="Y52" s="65" t="s">
        <v>3159</v>
      </c>
      <c r="Z52" s="65" t="s">
        <v>3165</v>
      </c>
      <c r="AA52" s="65" t="s">
        <v>2056</v>
      </c>
    </row>
    <row r="53" spans="1:27" ht="17.45" customHeight="1">
      <c r="A53" s="131">
        <f>IF(priority(Main[[#This Row],[Comments]])&lt;&gt;0, priority(Main[[#This Row],[Comments]]),"")</f>
        <v>13</v>
      </c>
      <c r="B53" s="99" t="s">
        <v>3211</v>
      </c>
      <c r="C53" s="65" t="s">
        <v>3221</v>
      </c>
      <c r="D53" s="66" t="s">
        <v>3212</v>
      </c>
      <c r="E53" s="67">
        <v>40921.060983796298</v>
      </c>
      <c r="F53" s="67">
        <v>41122</v>
      </c>
      <c r="G53" s="64">
        <f>IF(stdProdLT(Main[[#This Row],[Comments]])=0.1,"N/A",IF(stdProdLT(Main[[#This Row],[Comments]])=0,"",stdProdLT(Main[[#This Row],[Comments]])))</f>
        <v>168</v>
      </c>
      <c r="H53" s="68">
        <f>IF(AND(Main[[#This Row],[In Stock Date]]&lt;&gt;"",Main[[#This Row],[Revised Due Date]]&lt;&gt;""),Main[[#This Row],[In Stock Date]]-Main[[#This Row],[Revised Due Date]],"")</f>
        <v>147</v>
      </c>
      <c r="I53" s="65" t="s">
        <v>489</v>
      </c>
      <c r="J53" s="65" t="s">
        <v>70</v>
      </c>
      <c r="K53" s="65" t="s">
        <v>1930</v>
      </c>
      <c r="L53" s="67">
        <v>40925</v>
      </c>
      <c r="M53" s="69">
        <f>IF(Main[[#This Row],[Tech Start Date]]&lt;1/1/1990,"",IF(Main[[#This Row],[Class]]="C",WORKDAY(Main[[#This Row],[Tech Start Date]],9),IF(Main[[#This Row],[Class]]="B", WORKDAY(Main[[#This Row],[Tech Start Date]],6),IF(Main[[#This Row],[Class]]="A",WORKDAY(Main[[#This Row],[Tech Start Date]],2),""))))</f>
        <v>40938</v>
      </c>
      <c r="N53" s="69">
        <f>IF(Main[[#This Row],[Tech Start Date]]&lt;1/1/1990,"",IF(Main[[#This Row],[Class]]="C",WORKDAY(Main[[#This Row],[Tech Start Date]],19),IF(Main[[#This Row],[Class]]="B", WORKDAY(Main[[#This Row],[Tech Start Date]],12),IF(Main[[#This Row],[Class]]="A",WORKDAY(Main[[#This Row],[Tech Start Date]],4),""))))</f>
        <v>40952</v>
      </c>
      <c r="O53" s="69">
        <f>IF(Main[[#This Row],[Tech Start Date]]&lt;1/1/1990,"",IF(Main[[#This Row],[Class]]="C",WORKDAY(Main[[#This Row],[Tech Start Date]],23),IF(Main[[#This Row],[Class]]="B", WORKDAY(Main[[#This Row],[Tech Start Date]],15),IF(Main[[#This Row],[Class]]="A",WORKDAY(Main[[#This Row],[Tech Start Date]],5),""))))</f>
        <v>40956</v>
      </c>
      <c r="P53" s="69">
        <f>IF(Main[[#This Row],[Tech Start Date]]&lt;1/1/1990,"",IF(Main[[#This Row],[Class]]="C",WORKDAY(Main[[#This Row],[Tech Start Date]],28),IF(Main[[#This Row],[Class]]="B", WORKDAY(Main[[#This Row],[Tech Start Date]],19),IF(Main[[#This Row],[Class]]="A",WORKDAY(Main[[#This Row],[Tech Start Date]],9),""))))</f>
        <v>40963</v>
      </c>
      <c r="Q53" s="67">
        <v>40953</v>
      </c>
      <c r="R53" s="67">
        <v>40975</v>
      </c>
      <c r="S53" s="65" t="s">
        <v>11</v>
      </c>
      <c r="T53" s="70" t="s">
        <v>3869</v>
      </c>
      <c r="U53" s="65" t="s">
        <v>29</v>
      </c>
      <c r="V53" s="65" t="s">
        <v>1920</v>
      </c>
      <c r="W53" s="65" t="s">
        <v>1923</v>
      </c>
      <c r="X53" s="65" t="s">
        <v>2854</v>
      </c>
      <c r="Y53" s="65" t="s">
        <v>2985</v>
      </c>
      <c r="Z53" s="65" t="s">
        <v>530</v>
      </c>
      <c r="AA53" s="65" t="s">
        <v>2854</v>
      </c>
    </row>
    <row r="54" spans="1:27" ht="17.45" customHeight="1">
      <c r="A54" s="131">
        <f>IF(priority(Main[[#This Row],[Comments]])&lt;&gt;0, priority(Main[[#This Row],[Comments]]),"")</f>
        <v>13</v>
      </c>
      <c r="B54" s="99" t="s">
        <v>3910</v>
      </c>
      <c r="C54" s="65" t="s">
        <v>506</v>
      </c>
      <c r="D54" s="66" t="s">
        <v>3911</v>
      </c>
      <c r="E54" s="67">
        <v>40952.439212962963</v>
      </c>
      <c r="F54" s="67">
        <v>40968</v>
      </c>
      <c r="G54" s="64" t="str">
        <f>IF(stdProdLT(Main[[#This Row],[Comments]])=0.1,"N/A",IF(stdProdLT(Main[[#This Row],[Comments]])=0,"",stdProdLT(Main[[#This Row],[Comments]])))</f>
        <v>N/A</v>
      </c>
      <c r="H54" s="68">
        <f>IF(AND(Main[[#This Row],[In Stock Date]]&lt;&gt;"",Main[[#This Row],[Revised Due Date]]&lt;&gt;""),Main[[#This Row],[In Stock Date]]-Main[[#This Row],[Revised Due Date]],"")</f>
        <v>-7</v>
      </c>
      <c r="I54" s="65" t="s">
        <v>939</v>
      </c>
      <c r="J54" s="65" t="s">
        <v>21</v>
      </c>
      <c r="K54" s="65" t="s">
        <v>1924</v>
      </c>
      <c r="L54" s="67">
        <v>40954</v>
      </c>
      <c r="M54" s="69">
        <f>IF(Main[[#This Row],[Tech Start Date]]&lt;1/1/1990,"",IF(Main[[#This Row],[Class]]="C",WORKDAY(Main[[#This Row],[Tech Start Date]],9),IF(Main[[#This Row],[Class]]="B", WORKDAY(Main[[#This Row],[Tech Start Date]],6),IF(Main[[#This Row],[Class]]="A",WORKDAY(Main[[#This Row],[Tech Start Date]],2),""))))</f>
        <v>40962</v>
      </c>
      <c r="N54" s="69">
        <f>IF(Main[[#This Row],[Tech Start Date]]&lt;1/1/1990,"",IF(Main[[#This Row],[Class]]="C",WORKDAY(Main[[#This Row],[Tech Start Date]],19),IF(Main[[#This Row],[Class]]="B", WORKDAY(Main[[#This Row],[Tech Start Date]],12),IF(Main[[#This Row],[Class]]="A",WORKDAY(Main[[#This Row],[Tech Start Date]],4),""))))</f>
        <v>40970</v>
      </c>
      <c r="O54" s="69">
        <f>IF(Main[[#This Row],[Tech Start Date]]&lt;1/1/1990,"",IF(Main[[#This Row],[Class]]="C",WORKDAY(Main[[#This Row],[Tech Start Date]],23),IF(Main[[#This Row],[Class]]="B", WORKDAY(Main[[#This Row],[Tech Start Date]],15),IF(Main[[#This Row],[Class]]="A",WORKDAY(Main[[#This Row],[Tech Start Date]],5),""))))</f>
        <v>40975</v>
      </c>
      <c r="P54" s="69">
        <f>IF(Main[[#This Row],[Tech Start Date]]&lt;1/1/1990,"",IF(Main[[#This Row],[Class]]="C",WORKDAY(Main[[#This Row],[Tech Start Date]],28),IF(Main[[#This Row],[Class]]="B", WORKDAY(Main[[#This Row],[Tech Start Date]],19),IF(Main[[#This Row],[Class]]="A",WORKDAY(Main[[#This Row],[Tech Start Date]],9),""))))</f>
        <v>40981</v>
      </c>
      <c r="Q54" s="67">
        <v>40956</v>
      </c>
      <c r="R54" s="67">
        <v>40975</v>
      </c>
      <c r="S54" s="65" t="s">
        <v>11</v>
      </c>
      <c r="T54" s="70" t="s">
        <v>3912</v>
      </c>
      <c r="U54" s="65" t="s">
        <v>29</v>
      </c>
      <c r="V54" s="65" t="s">
        <v>1917</v>
      </c>
      <c r="W54" s="65" t="s">
        <v>1925</v>
      </c>
      <c r="X54" s="65" t="s">
        <v>2827</v>
      </c>
      <c r="Y54" s="65" t="s">
        <v>3913</v>
      </c>
      <c r="Z54" s="65" t="s">
        <v>129</v>
      </c>
      <c r="AA54" s="65" t="s">
        <v>3425</v>
      </c>
    </row>
    <row r="55" spans="1:27" ht="17.45" customHeight="1">
      <c r="A55" s="131">
        <f>IF(priority(Main[[#This Row],[Comments]])&lt;&gt;0, priority(Main[[#This Row],[Comments]]),"")</f>
        <v>14</v>
      </c>
      <c r="B55" s="99" t="s">
        <v>2758</v>
      </c>
      <c r="C55" s="65" t="s">
        <v>2759</v>
      </c>
      <c r="D55" s="66" t="s">
        <v>2760</v>
      </c>
      <c r="E55" s="67"/>
      <c r="F55" s="67">
        <v>41005</v>
      </c>
      <c r="G55" s="64">
        <f>IF(stdProdLT(Main[[#This Row],[Comments]])=0.1,"N/A",IF(stdProdLT(Main[[#This Row],[Comments]])=0,"",stdProdLT(Main[[#This Row],[Comments]])))</f>
        <v>112</v>
      </c>
      <c r="H55" s="68" t="str">
        <f>IF(AND(Main[[#This Row],[In Stock Date]]&lt;&gt;"",Main[[#This Row],[Revised Due Date]]&lt;&gt;""),Main[[#This Row],[In Stock Date]]-Main[[#This Row],[Revised Due Date]],"")</f>
        <v/>
      </c>
      <c r="I55" s="65" t="s">
        <v>126</v>
      </c>
      <c r="J55" s="65" t="s">
        <v>28</v>
      </c>
      <c r="K55" s="65" t="s">
        <v>1924</v>
      </c>
      <c r="L55" s="67"/>
      <c r="M55" s="69" t="str">
        <f>IF(Main[[#This Row],[Tech Start Date]]&lt;1/1/1990,"",IF(Main[[#This Row],[Class]]="C",WORKDAY(Main[[#This Row],[Tech Start Date]],9),IF(Main[[#This Row],[Class]]="B", WORKDAY(Main[[#This Row],[Tech Start Date]],6),IF(Main[[#This Row],[Class]]="A",WORKDAY(Main[[#This Row],[Tech Start Date]],2),""))))</f>
        <v/>
      </c>
      <c r="N55" s="69" t="str">
        <f>IF(Main[[#This Row],[Tech Start Date]]&lt;1/1/1990,"",IF(Main[[#This Row],[Class]]="C",WORKDAY(Main[[#This Row],[Tech Start Date]],19),IF(Main[[#This Row],[Class]]="B", WORKDAY(Main[[#This Row],[Tech Start Date]],12),IF(Main[[#This Row],[Class]]="A",WORKDAY(Main[[#This Row],[Tech Start Date]],4),""))))</f>
        <v/>
      </c>
      <c r="O55" s="69" t="str">
        <f>IF(Main[[#This Row],[Tech Start Date]]&lt;1/1/1990,"",IF(Main[[#This Row],[Class]]="C",WORKDAY(Main[[#This Row],[Tech Start Date]],23),IF(Main[[#This Row],[Class]]="B", WORKDAY(Main[[#This Row],[Tech Start Date]],15),IF(Main[[#This Row],[Class]]="A",WORKDAY(Main[[#This Row],[Tech Start Date]],5),""))))</f>
        <v/>
      </c>
      <c r="P55" s="69" t="str">
        <f>IF(Main[[#This Row],[Tech Start Date]]&lt;1/1/1990,"",IF(Main[[#This Row],[Class]]="C",WORKDAY(Main[[#This Row],[Tech Start Date]],28),IF(Main[[#This Row],[Class]]="B", WORKDAY(Main[[#This Row],[Tech Start Date]],19),IF(Main[[#This Row],[Class]]="A",WORKDAY(Main[[#This Row],[Tech Start Date]],9),""))))</f>
        <v/>
      </c>
      <c r="Q55" s="67">
        <v>40946</v>
      </c>
      <c r="R55" s="67"/>
      <c r="S55" s="65" t="s">
        <v>11</v>
      </c>
      <c r="T55" s="70" t="s">
        <v>2761</v>
      </c>
      <c r="U55" s="65" t="s">
        <v>14</v>
      </c>
      <c r="V55" s="65" t="s">
        <v>1917</v>
      </c>
      <c r="W55" s="65" t="s">
        <v>1925</v>
      </c>
      <c r="X55" s="65" t="s">
        <v>2863</v>
      </c>
      <c r="Y55" s="65" t="s">
        <v>3004</v>
      </c>
      <c r="Z55" s="65" t="s">
        <v>914</v>
      </c>
      <c r="AA55" s="65" t="s">
        <v>2863</v>
      </c>
    </row>
    <row r="56" spans="1:27" ht="17.45" customHeight="1">
      <c r="A56" s="131">
        <f>IF(priority(Main[[#This Row],[Comments]])&lt;&gt;0, priority(Main[[#This Row],[Comments]]),"")</f>
        <v>14</v>
      </c>
      <c r="B56" s="99" t="s">
        <v>3207</v>
      </c>
      <c r="C56" s="65" t="s">
        <v>3221</v>
      </c>
      <c r="D56" s="66" t="s">
        <v>3208</v>
      </c>
      <c r="E56" s="67">
        <v>40921.094768518517</v>
      </c>
      <c r="F56" s="67">
        <v>41122</v>
      </c>
      <c r="G56" s="64">
        <f>IF(stdProdLT(Main[[#This Row],[Comments]])=0.1,"N/A",IF(stdProdLT(Main[[#This Row],[Comments]])=0,"",stdProdLT(Main[[#This Row],[Comments]])))</f>
        <v>168</v>
      </c>
      <c r="H56" s="68">
        <f>IF(AND(Main[[#This Row],[In Stock Date]]&lt;&gt;"",Main[[#This Row],[Revised Due Date]]&lt;&gt;""),Main[[#This Row],[In Stock Date]]-Main[[#This Row],[Revised Due Date]],"")</f>
        <v>152</v>
      </c>
      <c r="I56" s="65" t="s">
        <v>44</v>
      </c>
      <c r="J56" s="65" t="s">
        <v>70</v>
      </c>
      <c r="K56" s="65" t="s">
        <v>1930</v>
      </c>
      <c r="L56" s="67">
        <v>40925</v>
      </c>
      <c r="M56" s="69">
        <f>IF(Main[[#This Row],[Tech Start Date]]&lt;1/1/1990,"",IF(Main[[#This Row],[Class]]="C",WORKDAY(Main[[#This Row],[Tech Start Date]],9),IF(Main[[#This Row],[Class]]="B", WORKDAY(Main[[#This Row],[Tech Start Date]],6),IF(Main[[#This Row],[Class]]="A",WORKDAY(Main[[#This Row],[Tech Start Date]],2),""))))</f>
        <v>40938</v>
      </c>
      <c r="N56" s="69">
        <f>IF(Main[[#This Row],[Tech Start Date]]&lt;1/1/1990,"",IF(Main[[#This Row],[Class]]="C",WORKDAY(Main[[#This Row],[Tech Start Date]],19),IF(Main[[#This Row],[Class]]="B", WORKDAY(Main[[#This Row],[Tech Start Date]],12),IF(Main[[#This Row],[Class]]="A",WORKDAY(Main[[#This Row],[Tech Start Date]],4),""))))</f>
        <v>40952</v>
      </c>
      <c r="O56" s="69">
        <f>IF(Main[[#This Row],[Tech Start Date]]&lt;1/1/1990,"",IF(Main[[#This Row],[Class]]="C",WORKDAY(Main[[#This Row],[Tech Start Date]],23),IF(Main[[#This Row],[Class]]="B", WORKDAY(Main[[#This Row],[Tech Start Date]],15),IF(Main[[#This Row],[Class]]="A",WORKDAY(Main[[#This Row],[Tech Start Date]],5),""))))</f>
        <v>40956</v>
      </c>
      <c r="P56" s="69">
        <f>IF(Main[[#This Row],[Tech Start Date]]&lt;1/1/1990,"",IF(Main[[#This Row],[Class]]="C",WORKDAY(Main[[#This Row],[Tech Start Date]],28),IF(Main[[#This Row],[Class]]="B", WORKDAY(Main[[#This Row],[Tech Start Date]],19),IF(Main[[#This Row],[Class]]="A",WORKDAY(Main[[#This Row],[Tech Start Date]],9),""))))</f>
        <v>40963</v>
      </c>
      <c r="Q56" s="67">
        <v>40953</v>
      </c>
      <c r="R56" s="67">
        <v>40970</v>
      </c>
      <c r="S56" s="65" t="s">
        <v>11</v>
      </c>
      <c r="T56" s="70" t="s">
        <v>3875</v>
      </c>
      <c r="U56" s="65" t="s">
        <v>29</v>
      </c>
      <c r="V56" s="65" t="s">
        <v>1920</v>
      </c>
      <c r="W56" s="65" t="s">
        <v>1923</v>
      </c>
      <c r="X56" s="65" t="s">
        <v>2854</v>
      </c>
      <c r="Y56" s="65" t="s">
        <v>2985</v>
      </c>
      <c r="Z56" s="65" t="s">
        <v>530</v>
      </c>
      <c r="AA56" s="65" t="s">
        <v>2854</v>
      </c>
    </row>
    <row r="57" spans="1:27" ht="17.45" customHeight="1">
      <c r="A57" s="131">
        <f>IF(priority(Main[[#This Row],[Comments]])&lt;&gt;0, priority(Main[[#This Row],[Comments]]),"")</f>
        <v>14</v>
      </c>
      <c r="B57" s="99" t="s">
        <v>3577</v>
      </c>
      <c r="C57" s="65" t="s">
        <v>3578</v>
      </c>
      <c r="D57" s="66" t="s">
        <v>3889</v>
      </c>
      <c r="E57" s="67">
        <v>40945.715231481481</v>
      </c>
      <c r="F57" s="67"/>
      <c r="G57" s="64" t="str">
        <f>IF(stdProdLT(Main[[#This Row],[Comments]])=0.1,"N/A",IF(stdProdLT(Main[[#This Row],[Comments]])=0,"",stdProdLT(Main[[#This Row],[Comments]])))</f>
        <v>N/A</v>
      </c>
      <c r="H57" s="68" t="str">
        <f>IF(AND(Main[[#This Row],[In Stock Date]]&lt;&gt;"",Main[[#This Row],[Revised Due Date]]&lt;&gt;""),Main[[#This Row],[In Stock Date]]-Main[[#This Row],[Revised Due Date]],"")</f>
        <v/>
      </c>
      <c r="I57" s="65" t="s">
        <v>942</v>
      </c>
      <c r="J57" s="65" t="s">
        <v>28</v>
      </c>
      <c r="K57" s="65" t="s">
        <v>1924</v>
      </c>
      <c r="L57" s="67">
        <v>40946</v>
      </c>
      <c r="M57" s="69">
        <f>IF(Main[[#This Row],[Tech Start Date]]&lt;1/1/1990,"",IF(Main[[#This Row],[Class]]="C",WORKDAY(Main[[#This Row],[Tech Start Date]],9),IF(Main[[#This Row],[Class]]="B", WORKDAY(Main[[#This Row],[Tech Start Date]],6),IF(Main[[#This Row],[Class]]="A",WORKDAY(Main[[#This Row],[Tech Start Date]],2),""))))</f>
        <v>40954</v>
      </c>
      <c r="N57" s="69">
        <f>IF(Main[[#This Row],[Tech Start Date]]&lt;1/1/1990,"",IF(Main[[#This Row],[Class]]="C",WORKDAY(Main[[#This Row],[Tech Start Date]],19),IF(Main[[#This Row],[Class]]="B", WORKDAY(Main[[#This Row],[Tech Start Date]],12),IF(Main[[#This Row],[Class]]="A",WORKDAY(Main[[#This Row],[Tech Start Date]],4),""))))</f>
        <v>40962</v>
      </c>
      <c r="O57" s="69">
        <f>IF(Main[[#This Row],[Tech Start Date]]&lt;1/1/1990,"",IF(Main[[#This Row],[Class]]="C",WORKDAY(Main[[#This Row],[Tech Start Date]],23),IF(Main[[#This Row],[Class]]="B", WORKDAY(Main[[#This Row],[Tech Start Date]],15),IF(Main[[#This Row],[Class]]="A",WORKDAY(Main[[#This Row],[Tech Start Date]],5),""))))</f>
        <v>40967</v>
      </c>
      <c r="P57" s="69">
        <f>IF(Main[[#This Row],[Tech Start Date]]&lt;1/1/1990,"",IF(Main[[#This Row],[Class]]="C",WORKDAY(Main[[#This Row],[Tech Start Date]],28),IF(Main[[#This Row],[Class]]="B", WORKDAY(Main[[#This Row],[Tech Start Date]],19),IF(Main[[#This Row],[Class]]="A",WORKDAY(Main[[#This Row],[Tech Start Date]],9),""))))</f>
        <v>40973</v>
      </c>
      <c r="Q57" s="67">
        <v>40952</v>
      </c>
      <c r="R57" s="67">
        <v>40973</v>
      </c>
      <c r="S57" s="65" t="s">
        <v>11</v>
      </c>
      <c r="T57" s="70" t="s">
        <v>3890</v>
      </c>
      <c r="U57" s="65" t="s">
        <v>29</v>
      </c>
      <c r="V57" s="65" t="s">
        <v>1918</v>
      </c>
      <c r="W57" s="65" t="s">
        <v>1919</v>
      </c>
      <c r="X57" s="65" t="s">
        <v>2822</v>
      </c>
      <c r="Y57" s="65" t="s">
        <v>4</v>
      </c>
      <c r="Z57" s="65" t="s">
        <v>2056</v>
      </c>
      <c r="AA57" s="65" t="s">
        <v>2822</v>
      </c>
    </row>
    <row r="58" spans="1:27" ht="17.45" customHeight="1">
      <c r="A58" s="131">
        <f>IF(priority(Main[[#This Row],[Comments]])&lt;&gt;0, priority(Main[[#This Row],[Comments]]),"")</f>
        <v>14</v>
      </c>
      <c r="B58" s="99" t="s">
        <v>3934</v>
      </c>
      <c r="C58" s="65" t="s">
        <v>506</v>
      </c>
      <c r="D58" s="66" t="s">
        <v>3935</v>
      </c>
      <c r="E58" s="67">
        <v>40959.590081018519</v>
      </c>
      <c r="F58" s="67">
        <v>40968</v>
      </c>
      <c r="G58" s="64" t="str">
        <f>IF(stdProdLT(Main[[#This Row],[Comments]])=0.1,"N/A",IF(stdProdLT(Main[[#This Row],[Comments]])=0,"",stdProdLT(Main[[#This Row],[Comments]])))</f>
        <v>N/A</v>
      </c>
      <c r="H58" s="68">
        <f>IF(AND(Main[[#This Row],[In Stock Date]]&lt;&gt;"",Main[[#This Row],[Revised Due Date]]&lt;&gt;""),Main[[#This Row],[In Stock Date]]-Main[[#This Row],[Revised Due Date]],"")</f>
        <v>-7</v>
      </c>
      <c r="I58" s="65" t="s">
        <v>939</v>
      </c>
      <c r="J58" s="65" t="s">
        <v>28</v>
      </c>
      <c r="K58" s="65" t="s">
        <v>1924</v>
      </c>
      <c r="L58" s="67">
        <v>40959</v>
      </c>
      <c r="M58" s="69">
        <f>IF(Main[[#This Row],[Tech Start Date]]&lt;1/1/1990,"",IF(Main[[#This Row],[Class]]="C",WORKDAY(Main[[#This Row],[Tech Start Date]],9),IF(Main[[#This Row],[Class]]="B", WORKDAY(Main[[#This Row],[Tech Start Date]],6),IF(Main[[#This Row],[Class]]="A",WORKDAY(Main[[#This Row],[Tech Start Date]],2),""))))</f>
        <v>40967</v>
      </c>
      <c r="N58" s="69">
        <f>IF(Main[[#This Row],[Tech Start Date]]&lt;1/1/1990,"",IF(Main[[#This Row],[Class]]="C",WORKDAY(Main[[#This Row],[Tech Start Date]],19),IF(Main[[#This Row],[Class]]="B", WORKDAY(Main[[#This Row],[Tech Start Date]],12),IF(Main[[#This Row],[Class]]="A",WORKDAY(Main[[#This Row],[Tech Start Date]],4),""))))</f>
        <v>40975</v>
      </c>
      <c r="O58" s="69">
        <f>IF(Main[[#This Row],[Tech Start Date]]&lt;1/1/1990,"",IF(Main[[#This Row],[Class]]="C",WORKDAY(Main[[#This Row],[Tech Start Date]],23),IF(Main[[#This Row],[Class]]="B", WORKDAY(Main[[#This Row],[Tech Start Date]],15),IF(Main[[#This Row],[Class]]="A",WORKDAY(Main[[#This Row],[Tech Start Date]],5),""))))</f>
        <v>40980</v>
      </c>
      <c r="P58" s="69">
        <f>IF(Main[[#This Row],[Tech Start Date]]&lt;1/1/1990,"",IF(Main[[#This Row],[Class]]="C",WORKDAY(Main[[#This Row],[Tech Start Date]],28),IF(Main[[#This Row],[Class]]="B", WORKDAY(Main[[#This Row],[Tech Start Date]],19),IF(Main[[#This Row],[Class]]="A",WORKDAY(Main[[#This Row],[Tech Start Date]],9),""))))</f>
        <v>40984</v>
      </c>
      <c r="Q58" s="67"/>
      <c r="R58" s="67">
        <v>40975</v>
      </c>
      <c r="S58" s="65" t="s">
        <v>11</v>
      </c>
      <c r="T58" s="70" t="s">
        <v>3936</v>
      </c>
      <c r="U58" s="65" t="s">
        <v>29</v>
      </c>
      <c r="V58" s="65" t="s">
        <v>1917</v>
      </c>
      <c r="W58" s="65" t="s">
        <v>1925</v>
      </c>
      <c r="X58" s="65" t="s">
        <v>50</v>
      </c>
      <c r="Y58" s="65" t="s">
        <v>3048</v>
      </c>
      <c r="Z58" s="65" t="s">
        <v>129</v>
      </c>
      <c r="AA58" s="65" t="s">
        <v>3425</v>
      </c>
    </row>
    <row r="59" spans="1:27" ht="17.45" customHeight="1">
      <c r="A59" s="131">
        <f>IF(priority(Main[[#This Row],[Comments]])&lt;&gt;0, priority(Main[[#This Row],[Comments]]),"")</f>
        <v>14.1</v>
      </c>
      <c r="B59" s="99" t="s">
        <v>3971</v>
      </c>
      <c r="C59" s="65" t="s">
        <v>3965</v>
      </c>
      <c r="D59" s="66" t="s">
        <v>3972</v>
      </c>
      <c r="E59" s="67">
        <v>40967.313819444447</v>
      </c>
      <c r="F59" s="67"/>
      <c r="G59" s="64">
        <f>IF(stdProdLT(Main[[#This Row],[Comments]])=0.1,"N/A",IF(stdProdLT(Main[[#This Row],[Comments]])=0,"",stdProdLT(Main[[#This Row],[Comments]])))</f>
        <v>112</v>
      </c>
      <c r="H59" s="68" t="str">
        <f>IF(AND(Main[[#This Row],[In Stock Date]]&lt;&gt;"",Main[[#This Row],[Revised Due Date]]&lt;&gt;""),Main[[#This Row],[In Stock Date]]-Main[[#This Row],[Revised Due Date]],"")</f>
        <v/>
      </c>
      <c r="I59" s="65" t="s">
        <v>939</v>
      </c>
      <c r="J59" s="65" t="s">
        <v>28</v>
      </c>
      <c r="K59" s="65" t="s">
        <v>1926</v>
      </c>
      <c r="L59" s="67">
        <v>40967</v>
      </c>
      <c r="M59" s="69">
        <f>IF(Main[[#This Row],[Tech Start Date]]&lt;1/1/1990,"",IF(Main[[#This Row],[Class]]="C",WORKDAY(Main[[#This Row],[Tech Start Date]],9),IF(Main[[#This Row],[Class]]="B", WORKDAY(Main[[#This Row],[Tech Start Date]],6),IF(Main[[#This Row],[Class]]="A",WORKDAY(Main[[#This Row],[Tech Start Date]],2),""))))</f>
        <v>40969</v>
      </c>
      <c r="N59" s="69">
        <f>IF(Main[[#This Row],[Tech Start Date]]&lt;1/1/1990,"",IF(Main[[#This Row],[Class]]="C",WORKDAY(Main[[#This Row],[Tech Start Date]],19),IF(Main[[#This Row],[Class]]="B", WORKDAY(Main[[#This Row],[Tech Start Date]],12),IF(Main[[#This Row],[Class]]="A",WORKDAY(Main[[#This Row],[Tech Start Date]],4),""))))</f>
        <v>40973</v>
      </c>
      <c r="O59" s="69">
        <f>IF(Main[[#This Row],[Tech Start Date]]&lt;1/1/1990,"",IF(Main[[#This Row],[Class]]="C",WORKDAY(Main[[#This Row],[Tech Start Date]],23),IF(Main[[#This Row],[Class]]="B", WORKDAY(Main[[#This Row],[Tech Start Date]],15),IF(Main[[#This Row],[Class]]="A",WORKDAY(Main[[#This Row],[Tech Start Date]],5),""))))</f>
        <v>40974</v>
      </c>
      <c r="P59" s="69">
        <f>IF(Main[[#This Row],[Tech Start Date]]&lt;1/1/1990,"",IF(Main[[#This Row],[Class]]="C",WORKDAY(Main[[#This Row],[Tech Start Date]],28),IF(Main[[#This Row],[Class]]="B", WORKDAY(Main[[#This Row],[Tech Start Date]],19),IF(Main[[#This Row],[Class]]="A",WORKDAY(Main[[#This Row],[Tech Start Date]],9),""))))</f>
        <v>40980</v>
      </c>
      <c r="Q59" s="67">
        <v>40973</v>
      </c>
      <c r="R59" s="67">
        <v>40977</v>
      </c>
      <c r="S59" s="65" t="s">
        <v>11</v>
      </c>
      <c r="T59" s="70" t="s">
        <v>3973</v>
      </c>
      <c r="U59" s="65" t="s">
        <v>29</v>
      </c>
      <c r="V59" s="65" t="s">
        <v>1917</v>
      </c>
      <c r="W59" s="65" t="s">
        <v>1925</v>
      </c>
      <c r="X59" s="65" t="s">
        <v>2917</v>
      </c>
      <c r="Y59" s="65" t="s">
        <v>4</v>
      </c>
      <c r="Z59" s="65" t="s">
        <v>129</v>
      </c>
      <c r="AA59" s="65" t="s">
        <v>3968</v>
      </c>
    </row>
    <row r="60" spans="1:27" ht="17.45" customHeight="1">
      <c r="A60" s="131">
        <f>IF(priority(Main[[#This Row],[Comments]])&lt;&gt;0, priority(Main[[#This Row],[Comments]]),"")</f>
        <v>14.2</v>
      </c>
      <c r="B60" s="99" t="s">
        <v>3964</v>
      </c>
      <c r="C60" s="65" t="s">
        <v>3965</v>
      </c>
      <c r="D60" s="66" t="s">
        <v>3966</v>
      </c>
      <c r="E60" s="67">
        <v>40967.308171296296</v>
      </c>
      <c r="F60" s="67">
        <v>41050</v>
      </c>
      <c r="G60" s="64">
        <f>IF(stdProdLT(Main[[#This Row],[Comments]])=0.1,"N/A",IF(stdProdLT(Main[[#This Row],[Comments]])=0,"",stdProdLT(Main[[#This Row],[Comments]])))</f>
        <v>112</v>
      </c>
      <c r="H60" s="68">
        <f>IF(AND(Main[[#This Row],[In Stock Date]]&lt;&gt;"",Main[[#This Row],[Revised Due Date]]&lt;&gt;""),Main[[#This Row],[In Stock Date]]-Main[[#This Row],[Revised Due Date]],"")</f>
        <v>73</v>
      </c>
      <c r="I60" s="65" t="s">
        <v>562</v>
      </c>
      <c r="J60" s="65" t="s">
        <v>28</v>
      </c>
      <c r="K60" s="65" t="s">
        <v>1924</v>
      </c>
      <c r="L60" s="67">
        <v>40967</v>
      </c>
      <c r="M60" s="69">
        <f>IF(Main[[#This Row],[Tech Start Date]]&lt;1/1/1990,"",IF(Main[[#This Row],[Class]]="C",WORKDAY(Main[[#This Row],[Tech Start Date]],9),IF(Main[[#This Row],[Class]]="B", WORKDAY(Main[[#This Row],[Tech Start Date]],6),IF(Main[[#This Row],[Class]]="A",WORKDAY(Main[[#This Row],[Tech Start Date]],2),""))))</f>
        <v>40975</v>
      </c>
      <c r="N60" s="69">
        <f>IF(Main[[#This Row],[Tech Start Date]]&lt;1/1/1990,"",IF(Main[[#This Row],[Class]]="C",WORKDAY(Main[[#This Row],[Tech Start Date]],19),IF(Main[[#This Row],[Class]]="B", WORKDAY(Main[[#This Row],[Tech Start Date]],12),IF(Main[[#This Row],[Class]]="A",WORKDAY(Main[[#This Row],[Tech Start Date]],4),""))))</f>
        <v>40983</v>
      </c>
      <c r="O60" s="69">
        <f>IF(Main[[#This Row],[Tech Start Date]]&lt;1/1/1990,"",IF(Main[[#This Row],[Class]]="C",WORKDAY(Main[[#This Row],[Tech Start Date]],23),IF(Main[[#This Row],[Class]]="B", WORKDAY(Main[[#This Row],[Tech Start Date]],15),IF(Main[[#This Row],[Class]]="A",WORKDAY(Main[[#This Row],[Tech Start Date]],5),""))))</f>
        <v>40988</v>
      </c>
      <c r="P60" s="69">
        <f>IF(Main[[#This Row],[Tech Start Date]]&lt;1/1/1990,"",IF(Main[[#This Row],[Class]]="C",WORKDAY(Main[[#This Row],[Tech Start Date]],28),IF(Main[[#This Row],[Class]]="B", WORKDAY(Main[[#This Row],[Tech Start Date]],19),IF(Main[[#This Row],[Class]]="A",WORKDAY(Main[[#This Row],[Tech Start Date]],9),""))))</f>
        <v>40994</v>
      </c>
      <c r="Q60" s="67">
        <v>40973</v>
      </c>
      <c r="R60" s="67">
        <v>40977</v>
      </c>
      <c r="S60" s="65" t="s">
        <v>11</v>
      </c>
      <c r="T60" s="70" t="s">
        <v>3967</v>
      </c>
      <c r="U60" s="65" t="s">
        <v>29</v>
      </c>
      <c r="V60" s="65" t="s">
        <v>1917</v>
      </c>
      <c r="W60" s="65" t="s">
        <v>1925</v>
      </c>
      <c r="X60" s="65" t="s">
        <v>2917</v>
      </c>
      <c r="Y60" s="65" t="s">
        <v>4</v>
      </c>
      <c r="Z60" s="65" t="s">
        <v>914</v>
      </c>
      <c r="AA60" s="65" t="s">
        <v>3968</v>
      </c>
    </row>
    <row r="61" spans="1:27" ht="17.45" customHeight="1">
      <c r="A61" s="131">
        <f>IF(priority(Main[[#This Row],[Comments]])&lt;&gt;0, priority(Main[[#This Row],[Comments]]),"")</f>
        <v>14.3</v>
      </c>
      <c r="B61" s="99" t="s">
        <v>3684</v>
      </c>
      <c r="C61" s="65" t="s">
        <v>4</v>
      </c>
      <c r="D61" s="66" t="s">
        <v>3685</v>
      </c>
      <c r="E61" s="67">
        <v>40961.53570601852</v>
      </c>
      <c r="F61" s="67"/>
      <c r="G61" s="64" t="str">
        <f>IF(stdProdLT(Main[[#This Row],[Comments]])=0.1,"N/A",IF(stdProdLT(Main[[#This Row],[Comments]])=0,"",stdProdLT(Main[[#This Row],[Comments]])))</f>
        <v>N/A</v>
      </c>
      <c r="H61" s="68" t="str">
        <f>IF(AND(Main[[#This Row],[In Stock Date]]&lt;&gt;"",Main[[#This Row],[Revised Due Date]]&lt;&gt;""),Main[[#This Row],[In Stock Date]]-Main[[#This Row],[Revised Due Date]],"")</f>
        <v/>
      </c>
      <c r="I61" s="65" t="s">
        <v>4</v>
      </c>
      <c r="J61" s="65" t="s">
        <v>4</v>
      </c>
      <c r="K61" s="65" t="s">
        <v>4</v>
      </c>
      <c r="L61" s="67"/>
      <c r="M61" s="69" t="str">
        <f>IF(Main[[#This Row],[Tech Start Date]]&lt;1/1/1990,"",IF(Main[[#This Row],[Class]]="C",WORKDAY(Main[[#This Row],[Tech Start Date]],9),IF(Main[[#This Row],[Class]]="B", WORKDAY(Main[[#This Row],[Tech Start Date]],6),IF(Main[[#This Row],[Class]]="A",WORKDAY(Main[[#This Row],[Tech Start Date]],2),""))))</f>
        <v/>
      </c>
      <c r="N61" s="69" t="str">
        <f>IF(Main[[#This Row],[Tech Start Date]]&lt;1/1/1990,"",IF(Main[[#This Row],[Class]]="C",WORKDAY(Main[[#This Row],[Tech Start Date]],19),IF(Main[[#This Row],[Class]]="B", WORKDAY(Main[[#This Row],[Tech Start Date]],12),IF(Main[[#This Row],[Class]]="A",WORKDAY(Main[[#This Row],[Tech Start Date]],4),""))))</f>
        <v/>
      </c>
      <c r="O61" s="69" t="str">
        <f>IF(Main[[#This Row],[Tech Start Date]]&lt;1/1/1990,"",IF(Main[[#This Row],[Class]]="C",WORKDAY(Main[[#This Row],[Tech Start Date]],23),IF(Main[[#This Row],[Class]]="B", WORKDAY(Main[[#This Row],[Tech Start Date]],15),IF(Main[[#This Row],[Class]]="A",WORKDAY(Main[[#This Row],[Tech Start Date]],5),""))))</f>
        <v/>
      </c>
      <c r="P61" s="69" t="str">
        <f>IF(Main[[#This Row],[Tech Start Date]]&lt;1/1/1990,"",IF(Main[[#This Row],[Class]]="C",WORKDAY(Main[[#This Row],[Tech Start Date]],28),IF(Main[[#This Row],[Class]]="B", WORKDAY(Main[[#This Row],[Tech Start Date]],19),IF(Main[[#This Row],[Class]]="A",WORKDAY(Main[[#This Row],[Tech Start Date]],9),""))))</f>
        <v/>
      </c>
      <c r="Q61" s="67">
        <v>40984</v>
      </c>
      <c r="R61" s="67"/>
      <c r="S61" s="65" t="s">
        <v>11</v>
      </c>
      <c r="T61" s="70" t="s">
        <v>3686</v>
      </c>
      <c r="U61" s="65" t="s">
        <v>7</v>
      </c>
      <c r="V61" s="65" t="s">
        <v>1917</v>
      </c>
      <c r="W61" s="65" t="s">
        <v>1931</v>
      </c>
      <c r="X61" s="65" t="s">
        <v>2827</v>
      </c>
      <c r="Y61" s="65" t="s">
        <v>2942</v>
      </c>
      <c r="Z61" s="65" t="s">
        <v>4</v>
      </c>
      <c r="AA61" s="65" t="s">
        <v>2827</v>
      </c>
    </row>
    <row r="62" spans="1:27" ht="17.45" customHeight="1">
      <c r="A62" s="131">
        <f>IF(priority(Main[[#This Row],[Comments]])&lt;&gt;0, priority(Main[[#This Row],[Comments]]),"")</f>
        <v>15</v>
      </c>
      <c r="B62" s="99" t="s">
        <v>3805</v>
      </c>
      <c r="C62" s="65" t="s">
        <v>3806</v>
      </c>
      <c r="D62" s="66" t="s">
        <v>3807</v>
      </c>
      <c r="E62" s="67">
        <v>40959.336805555555</v>
      </c>
      <c r="F62" s="67">
        <v>41091</v>
      </c>
      <c r="G62" s="64">
        <f>IF(stdProdLT(Main[[#This Row],[Comments]])=0.1,"N/A",IF(stdProdLT(Main[[#This Row],[Comments]])=0,"",stdProdLT(Main[[#This Row],[Comments]])))</f>
        <v>112</v>
      </c>
      <c r="H62" s="68" t="str">
        <f>IF(AND(Main[[#This Row],[In Stock Date]]&lt;&gt;"",Main[[#This Row],[Revised Due Date]]&lt;&gt;""),Main[[#This Row],[In Stock Date]]-Main[[#This Row],[Revised Due Date]],"")</f>
        <v/>
      </c>
      <c r="I62" s="65" t="s">
        <v>4</v>
      </c>
      <c r="J62" s="65" t="s">
        <v>4</v>
      </c>
      <c r="K62" s="65" t="s">
        <v>4</v>
      </c>
      <c r="L62" s="67"/>
      <c r="M62" s="69" t="str">
        <f>IF(Main[[#This Row],[Tech Start Date]]&lt;1/1/1990,"",IF(Main[[#This Row],[Class]]="C",WORKDAY(Main[[#This Row],[Tech Start Date]],9),IF(Main[[#This Row],[Class]]="B", WORKDAY(Main[[#This Row],[Tech Start Date]],6),IF(Main[[#This Row],[Class]]="A",WORKDAY(Main[[#This Row],[Tech Start Date]],2),""))))</f>
        <v/>
      </c>
      <c r="N62" s="69" t="str">
        <f>IF(Main[[#This Row],[Tech Start Date]]&lt;1/1/1990,"",IF(Main[[#This Row],[Class]]="C",WORKDAY(Main[[#This Row],[Tech Start Date]],19),IF(Main[[#This Row],[Class]]="B", WORKDAY(Main[[#This Row],[Tech Start Date]],12),IF(Main[[#This Row],[Class]]="A",WORKDAY(Main[[#This Row],[Tech Start Date]],4),""))))</f>
        <v/>
      </c>
      <c r="O62" s="69" t="str">
        <f>IF(Main[[#This Row],[Tech Start Date]]&lt;1/1/1990,"",IF(Main[[#This Row],[Class]]="C",WORKDAY(Main[[#This Row],[Tech Start Date]],23),IF(Main[[#This Row],[Class]]="B", WORKDAY(Main[[#This Row],[Tech Start Date]],15),IF(Main[[#This Row],[Class]]="A",WORKDAY(Main[[#This Row],[Tech Start Date]],5),""))))</f>
        <v/>
      </c>
      <c r="P62" s="69" t="str">
        <f>IF(Main[[#This Row],[Tech Start Date]]&lt;1/1/1990,"",IF(Main[[#This Row],[Class]]="C",WORKDAY(Main[[#This Row],[Tech Start Date]],28),IF(Main[[#This Row],[Class]]="B", WORKDAY(Main[[#This Row],[Tech Start Date]],19),IF(Main[[#This Row],[Class]]="A",WORKDAY(Main[[#This Row],[Tech Start Date]],9),""))))</f>
        <v/>
      </c>
      <c r="Q62" s="67">
        <v>40860</v>
      </c>
      <c r="R62" s="67"/>
      <c r="S62" s="65" t="s">
        <v>11</v>
      </c>
      <c r="T62" s="70" t="s">
        <v>3808</v>
      </c>
      <c r="U62" s="65" t="s">
        <v>7</v>
      </c>
      <c r="V62" s="65" t="s">
        <v>1917</v>
      </c>
      <c r="W62" s="65" t="s">
        <v>1922</v>
      </c>
      <c r="X62" s="65" t="s">
        <v>2866</v>
      </c>
      <c r="Y62" s="65" t="s">
        <v>4</v>
      </c>
      <c r="Z62" s="65" t="s">
        <v>4</v>
      </c>
      <c r="AA62" s="65" t="s">
        <v>2866</v>
      </c>
    </row>
    <row r="63" spans="1:27" ht="17.45" customHeight="1">
      <c r="A63" s="131">
        <f>IF(priority(Main[[#This Row],[Comments]])&lt;&gt;0, priority(Main[[#This Row],[Comments]]),"")</f>
        <v>15</v>
      </c>
      <c r="B63" s="99" t="s">
        <v>1997</v>
      </c>
      <c r="C63" s="65" t="s">
        <v>53</v>
      </c>
      <c r="D63" s="66" t="s">
        <v>3828</v>
      </c>
      <c r="E63" s="67">
        <v>40735.69803240741</v>
      </c>
      <c r="F63" s="67">
        <v>40836</v>
      </c>
      <c r="G63" s="64" t="str">
        <f>IF(stdProdLT(Main[[#This Row],[Comments]])=0.1,"N/A",IF(stdProdLT(Main[[#This Row],[Comments]])=0,"",stdProdLT(Main[[#This Row],[Comments]])))</f>
        <v>N/A</v>
      </c>
      <c r="H63" s="68">
        <f>IF(AND(Main[[#This Row],[In Stock Date]]&lt;&gt;"",Main[[#This Row],[Revised Due Date]]&lt;&gt;""),Main[[#This Row],[In Stock Date]]-Main[[#This Row],[Revised Due Date]],"")</f>
        <v>-141</v>
      </c>
      <c r="I63" s="65" t="s">
        <v>943</v>
      </c>
      <c r="J63" s="65" t="s">
        <v>28</v>
      </c>
      <c r="K63" s="65" t="s">
        <v>1924</v>
      </c>
      <c r="L63" s="67">
        <v>40756</v>
      </c>
      <c r="M63" s="69">
        <f>IF(Main[[#This Row],[Tech Start Date]]&lt;1/1/1990,"",IF(Main[[#This Row],[Class]]="C",WORKDAY(Main[[#This Row],[Tech Start Date]],9),IF(Main[[#This Row],[Class]]="B", WORKDAY(Main[[#This Row],[Tech Start Date]],6),IF(Main[[#This Row],[Class]]="A",WORKDAY(Main[[#This Row],[Tech Start Date]],2),""))))</f>
        <v>40764</v>
      </c>
      <c r="N63" s="69">
        <f>IF(Main[[#This Row],[Tech Start Date]]&lt;1/1/1990,"",IF(Main[[#This Row],[Class]]="C",WORKDAY(Main[[#This Row],[Tech Start Date]],19),IF(Main[[#This Row],[Class]]="B", WORKDAY(Main[[#This Row],[Tech Start Date]],12),IF(Main[[#This Row],[Class]]="A",WORKDAY(Main[[#This Row],[Tech Start Date]],4),""))))</f>
        <v>40772</v>
      </c>
      <c r="O63" s="69">
        <f>IF(Main[[#This Row],[Tech Start Date]]&lt;1/1/1990,"",IF(Main[[#This Row],[Class]]="C",WORKDAY(Main[[#This Row],[Tech Start Date]],23),IF(Main[[#This Row],[Class]]="B", WORKDAY(Main[[#This Row],[Tech Start Date]],15),IF(Main[[#This Row],[Class]]="A",WORKDAY(Main[[#This Row],[Tech Start Date]],5),""))))</f>
        <v>40777</v>
      </c>
      <c r="P63" s="69">
        <f>IF(Main[[#This Row],[Tech Start Date]]&lt;1/1/1990,"",IF(Main[[#This Row],[Class]]="C",WORKDAY(Main[[#This Row],[Tech Start Date]],28),IF(Main[[#This Row],[Class]]="B", WORKDAY(Main[[#This Row],[Tech Start Date]],19),IF(Main[[#This Row],[Class]]="A",WORKDAY(Main[[#This Row],[Tech Start Date]],9),""))))</f>
        <v>40781</v>
      </c>
      <c r="Q63" s="67"/>
      <c r="R63" s="67">
        <v>40977</v>
      </c>
      <c r="S63" s="65" t="s">
        <v>11</v>
      </c>
      <c r="T63" s="70" t="s">
        <v>3829</v>
      </c>
      <c r="U63" s="65" t="s">
        <v>29</v>
      </c>
      <c r="V63" s="65" t="s">
        <v>1918</v>
      </c>
      <c r="W63" s="65" t="s">
        <v>1919</v>
      </c>
      <c r="X63" s="65" t="s">
        <v>2822</v>
      </c>
      <c r="Y63" s="65" t="s">
        <v>2999</v>
      </c>
      <c r="Z63" s="65" t="s">
        <v>2056</v>
      </c>
      <c r="AA63" s="65" t="s">
        <v>3486</v>
      </c>
    </row>
    <row r="64" spans="1:27" ht="17.45" customHeight="1">
      <c r="A64" s="131">
        <f>IF(priority(Main[[#This Row],[Comments]])&lt;&gt;0, priority(Main[[#This Row],[Comments]]),"")</f>
        <v>16</v>
      </c>
      <c r="B64" s="99" t="s">
        <v>2590</v>
      </c>
      <c r="C64" s="65" t="s">
        <v>3251</v>
      </c>
      <c r="D64" s="66" t="s">
        <v>3861</v>
      </c>
      <c r="E64" s="67">
        <v>40848.443101851852</v>
      </c>
      <c r="F64" s="67">
        <v>41153</v>
      </c>
      <c r="G64" s="64">
        <f>IF(stdProdLT(Main[[#This Row],[Comments]])=0.1,"N/A",IF(stdProdLT(Main[[#This Row],[Comments]])=0,"",stdProdLT(Main[[#This Row],[Comments]])))</f>
        <v>126</v>
      </c>
      <c r="H64" s="68">
        <f>IF(AND(Main[[#This Row],[In Stock Date]]&lt;&gt;"",Main[[#This Row],[Revised Due Date]]&lt;&gt;""),Main[[#This Row],[In Stock Date]]-Main[[#This Row],[Revised Due Date]],"")</f>
        <v>183</v>
      </c>
      <c r="I64" s="65" t="s">
        <v>399</v>
      </c>
      <c r="J64" s="65" t="s">
        <v>51</v>
      </c>
      <c r="K64" s="71" t="s">
        <v>1924</v>
      </c>
      <c r="L64" s="67">
        <v>40918</v>
      </c>
      <c r="M64" s="69">
        <f>IF(Main[[#This Row],[Tech Start Date]]&lt;1/1/1990,"",IF(Main[[#This Row],[Class]]="C",WORKDAY(Main[[#This Row],[Tech Start Date]],9),IF(Main[[#This Row],[Class]]="B", WORKDAY(Main[[#This Row],[Tech Start Date]],6),IF(Main[[#This Row],[Class]]="A",WORKDAY(Main[[#This Row],[Tech Start Date]],2),""))))</f>
        <v>40926</v>
      </c>
      <c r="N64" s="69">
        <f>IF(Main[[#This Row],[Tech Start Date]]&lt;1/1/1990,"",IF(Main[[#This Row],[Class]]="C",WORKDAY(Main[[#This Row],[Tech Start Date]],19),IF(Main[[#This Row],[Class]]="B", WORKDAY(Main[[#This Row],[Tech Start Date]],12),IF(Main[[#This Row],[Class]]="A",WORKDAY(Main[[#This Row],[Tech Start Date]],4),""))))</f>
        <v>40934</v>
      </c>
      <c r="O64" s="69">
        <f>IF(Main[[#This Row],[Tech Start Date]]&lt;1/1/1990,"",IF(Main[[#This Row],[Class]]="C",WORKDAY(Main[[#This Row],[Tech Start Date]],23),IF(Main[[#This Row],[Class]]="B", WORKDAY(Main[[#This Row],[Tech Start Date]],15),IF(Main[[#This Row],[Class]]="A",WORKDAY(Main[[#This Row],[Tech Start Date]],5),""))))</f>
        <v>40939</v>
      </c>
      <c r="P64" s="69">
        <f>IF(Main[[#This Row],[Tech Start Date]]&lt;1/1/1990,"",IF(Main[[#This Row],[Class]]="C",WORKDAY(Main[[#This Row],[Tech Start Date]],28),IF(Main[[#This Row],[Class]]="B", WORKDAY(Main[[#This Row],[Tech Start Date]],19),IF(Main[[#This Row],[Class]]="A",WORKDAY(Main[[#This Row],[Tech Start Date]],9),""))))</f>
        <v>40945</v>
      </c>
      <c r="Q64" s="67">
        <v>41153</v>
      </c>
      <c r="R64" s="67">
        <v>40970</v>
      </c>
      <c r="S64" s="65" t="s">
        <v>11</v>
      </c>
      <c r="T64" s="70" t="s">
        <v>3862</v>
      </c>
      <c r="U64" s="65" t="s">
        <v>29</v>
      </c>
      <c r="V64" s="65" t="s">
        <v>1917</v>
      </c>
      <c r="W64" s="65" t="s">
        <v>1923</v>
      </c>
      <c r="X64" s="65" t="s">
        <v>2915</v>
      </c>
      <c r="Y64" s="65" t="s">
        <v>2936</v>
      </c>
      <c r="Z64" s="65" t="s">
        <v>129</v>
      </c>
      <c r="AA64" s="65" t="s">
        <v>2915</v>
      </c>
    </row>
    <row r="65" spans="1:27" ht="17.45" customHeight="1">
      <c r="A65" s="131">
        <f>IF(priority(Main[[#This Row],[Comments]])&lt;&gt;0, priority(Main[[#This Row],[Comments]]),"")</f>
        <v>16</v>
      </c>
      <c r="B65" s="99" t="s">
        <v>3937</v>
      </c>
      <c r="C65" s="65" t="s">
        <v>3938</v>
      </c>
      <c r="D65" s="66" t="s">
        <v>3939</v>
      </c>
      <c r="E65" s="67">
        <v>40956.217731481483</v>
      </c>
      <c r="F65" s="67">
        <v>41105</v>
      </c>
      <c r="G65" s="64">
        <f>IF(stdProdLT(Main[[#This Row],[Comments]])=0.1,"N/A",IF(stdProdLT(Main[[#This Row],[Comments]])=0,"",stdProdLT(Main[[#This Row],[Comments]])))</f>
        <v>140</v>
      </c>
      <c r="H65" s="68">
        <f>IF(AND(Main[[#This Row],[In Stock Date]]&lt;&gt;"",Main[[#This Row],[Revised Due Date]]&lt;&gt;""),Main[[#This Row],[In Stock Date]]-Main[[#This Row],[Revised Due Date]],"")</f>
        <v>124</v>
      </c>
      <c r="I65" s="65" t="s">
        <v>130</v>
      </c>
      <c r="J65" s="65" t="s">
        <v>70</v>
      </c>
      <c r="K65" s="65" t="s">
        <v>1926</v>
      </c>
      <c r="L65" s="67">
        <v>40960</v>
      </c>
      <c r="M65" s="69">
        <f>IF(Main[[#This Row],[Tech Start Date]]&lt;1/1/1990,"",IF(Main[[#This Row],[Class]]="C",WORKDAY(Main[[#This Row],[Tech Start Date]],9),IF(Main[[#This Row],[Class]]="B", WORKDAY(Main[[#This Row],[Tech Start Date]],6),IF(Main[[#This Row],[Class]]="A",WORKDAY(Main[[#This Row],[Tech Start Date]],2),""))))</f>
        <v>40962</v>
      </c>
      <c r="N65" s="69">
        <f>IF(Main[[#This Row],[Tech Start Date]]&lt;1/1/1990,"",IF(Main[[#This Row],[Class]]="C",WORKDAY(Main[[#This Row],[Tech Start Date]],19),IF(Main[[#This Row],[Class]]="B", WORKDAY(Main[[#This Row],[Tech Start Date]],12),IF(Main[[#This Row],[Class]]="A",WORKDAY(Main[[#This Row],[Tech Start Date]],4),""))))</f>
        <v>40966</v>
      </c>
      <c r="O65" s="69">
        <f>IF(Main[[#This Row],[Tech Start Date]]&lt;1/1/1990,"",IF(Main[[#This Row],[Class]]="C",WORKDAY(Main[[#This Row],[Tech Start Date]],23),IF(Main[[#This Row],[Class]]="B", WORKDAY(Main[[#This Row],[Tech Start Date]],15),IF(Main[[#This Row],[Class]]="A",WORKDAY(Main[[#This Row],[Tech Start Date]],5),""))))</f>
        <v>40967</v>
      </c>
      <c r="P65" s="69">
        <f>IF(Main[[#This Row],[Tech Start Date]]&lt;1/1/1990,"",IF(Main[[#This Row],[Class]]="C",WORKDAY(Main[[#This Row],[Tech Start Date]],28),IF(Main[[#This Row],[Class]]="B", WORKDAY(Main[[#This Row],[Tech Start Date]],19),IF(Main[[#This Row],[Class]]="A",WORKDAY(Main[[#This Row],[Tech Start Date]],9),""))))</f>
        <v>40973</v>
      </c>
      <c r="Q65" s="67">
        <v>41000</v>
      </c>
      <c r="R65" s="67">
        <v>40981</v>
      </c>
      <c r="S65" s="65" t="s">
        <v>11</v>
      </c>
      <c r="T65" s="70" t="s">
        <v>3940</v>
      </c>
      <c r="U65" s="65" t="s">
        <v>29</v>
      </c>
      <c r="V65" s="65" t="s">
        <v>1927</v>
      </c>
      <c r="W65" s="65" t="s">
        <v>1923</v>
      </c>
      <c r="X65" s="65" t="s">
        <v>2852</v>
      </c>
      <c r="Y65" s="65" t="s">
        <v>3252</v>
      </c>
      <c r="Z65" s="65" t="s">
        <v>530</v>
      </c>
      <c r="AA65" s="65" t="s">
        <v>2852</v>
      </c>
    </row>
    <row r="66" spans="1:27" ht="17.45" customHeight="1">
      <c r="A66" s="131">
        <f>IF(priority(Main[[#This Row],[Comments]])&lt;&gt;0, priority(Main[[#This Row],[Comments]]),"")</f>
        <v>16.2</v>
      </c>
      <c r="B66" s="99" t="s">
        <v>2405</v>
      </c>
      <c r="C66" s="65" t="s">
        <v>31</v>
      </c>
      <c r="D66" s="66" t="s">
        <v>2406</v>
      </c>
      <c r="E66" s="67"/>
      <c r="F66" s="67">
        <v>41000</v>
      </c>
      <c r="G66" s="64">
        <f>IF(stdProdLT(Main[[#This Row],[Comments]])=0.1,"N/A",IF(stdProdLT(Main[[#This Row],[Comments]])=0,"",stdProdLT(Main[[#This Row],[Comments]])))</f>
        <v>140</v>
      </c>
      <c r="H66" s="68" t="str">
        <f>IF(AND(Main[[#This Row],[In Stock Date]]&lt;&gt;"",Main[[#This Row],[Revised Due Date]]&lt;&gt;""),Main[[#This Row],[In Stock Date]]-Main[[#This Row],[Revised Due Date]],"")</f>
        <v/>
      </c>
      <c r="I66" s="65" t="s">
        <v>4</v>
      </c>
      <c r="J66" s="65" t="s">
        <v>4</v>
      </c>
      <c r="K66" s="65" t="s">
        <v>4</v>
      </c>
      <c r="L66" s="67"/>
      <c r="M66" s="69" t="str">
        <f>IF(Main[[#This Row],[Tech Start Date]]&lt;1/1/1990,"",IF(Main[[#This Row],[Class]]="C",WORKDAY(Main[[#This Row],[Tech Start Date]],9),IF(Main[[#This Row],[Class]]="B", WORKDAY(Main[[#This Row],[Tech Start Date]],6),IF(Main[[#This Row],[Class]]="A",WORKDAY(Main[[#This Row],[Tech Start Date]],2),""))))</f>
        <v/>
      </c>
      <c r="N66" s="69" t="str">
        <f>IF(Main[[#This Row],[Tech Start Date]]&lt;1/1/1990,"",IF(Main[[#This Row],[Class]]="C",WORKDAY(Main[[#This Row],[Tech Start Date]],19),IF(Main[[#This Row],[Class]]="B", WORKDAY(Main[[#This Row],[Tech Start Date]],12),IF(Main[[#This Row],[Class]]="A",WORKDAY(Main[[#This Row],[Tech Start Date]],4),""))))</f>
        <v/>
      </c>
      <c r="O66" s="69" t="str">
        <f>IF(Main[[#This Row],[Tech Start Date]]&lt;1/1/1990,"",IF(Main[[#This Row],[Class]]="C",WORKDAY(Main[[#This Row],[Tech Start Date]],23),IF(Main[[#This Row],[Class]]="B", WORKDAY(Main[[#This Row],[Tech Start Date]],15),IF(Main[[#This Row],[Class]]="A",WORKDAY(Main[[#This Row],[Tech Start Date]],5),""))))</f>
        <v/>
      </c>
      <c r="P66" s="69" t="str">
        <f>IF(Main[[#This Row],[Tech Start Date]]&lt;1/1/1990,"",IF(Main[[#This Row],[Class]]="C",WORKDAY(Main[[#This Row],[Tech Start Date]],28),IF(Main[[#This Row],[Class]]="B", WORKDAY(Main[[#This Row],[Tech Start Date]],19),IF(Main[[#This Row],[Class]]="A",WORKDAY(Main[[#This Row],[Tech Start Date]],9),""))))</f>
        <v/>
      </c>
      <c r="Q66" s="67">
        <v>40916</v>
      </c>
      <c r="R66" s="67"/>
      <c r="S66" s="65" t="s">
        <v>11</v>
      </c>
      <c r="T66" s="70" t="s">
        <v>2407</v>
      </c>
      <c r="U66" s="65" t="s">
        <v>14</v>
      </c>
      <c r="V66" s="65" t="s">
        <v>1927</v>
      </c>
      <c r="W66" s="65" t="s">
        <v>1923</v>
      </c>
      <c r="X66" s="65" t="s">
        <v>2846</v>
      </c>
      <c r="Y66" s="65" t="s">
        <v>3095</v>
      </c>
      <c r="Z66" s="65" t="s">
        <v>4</v>
      </c>
      <c r="AA66" s="65" t="s">
        <v>2846</v>
      </c>
    </row>
    <row r="67" spans="1:27" ht="17.45" customHeight="1">
      <c r="A67" s="131">
        <f>IF(priority(Main[[#This Row],[Comments]])&lt;&gt;0, priority(Main[[#This Row],[Comments]]),"")</f>
        <v>17</v>
      </c>
      <c r="B67" s="99" t="s">
        <v>1224</v>
      </c>
      <c r="C67" s="65" t="s">
        <v>33</v>
      </c>
      <c r="D67" s="66" t="s">
        <v>326</v>
      </c>
      <c r="E67" s="67"/>
      <c r="F67" s="67">
        <v>40695</v>
      </c>
      <c r="G67" s="64" t="str">
        <f>IF(stdProdLT(Main[[#This Row],[Comments]])=0.1,"N/A",IF(stdProdLT(Main[[#This Row],[Comments]])=0,"",stdProdLT(Main[[#This Row],[Comments]])))</f>
        <v/>
      </c>
      <c r="H67" s="68" t="str">
        <f>IF(AND(Main[[#This Row],[In Stock Date]]&lt;&gt;"",Main[[#This Row],[Revised Due Date]]&lt;&gt;""),Main[[#This Row],[In Stock Date]]-Main[[#This Row],[Revised Due Date]],"")</f>
        <v/>
      </c>
      <c r="I67" s="65" t="s">
        <v>108</v>
      </c>
      <c r="J67" s="65" t="s">
        <v>28</v>
      </c>
      <c r="K67" s="65" t="s">
        <v>4</v>
      </c>
      <c r="L67" s="67"/>
      <c r="M67" s="69" t="str">
        <f>IF(Main[[#This Row],[Tech Start Date]]&lt;1/1/1990,"",IF(Main[[#This Row],[Class]]="C",WORKDAY(Main[[#This Row],[Tech Start Date]],9),IF(Main[[#This Row],[Class]]="B", WORKDAY(Main[[#This Row],[Tech Start Date]],6),IF(Main[[#This Row],[Class]]="A",WORKDAY(Main[[#This Row],[Tech Start Date]],2),""))))</f>
        <v/>
      </c>
      <c r="N67" s="69" t="str">
        <f>IF(Main[[#This Row],[Tech Start Date]]&lt;1/1/1990,"",IF(Main[[#This Row],[Class]]="C",WORKDAY(Main[[#This Row],[Tech Start Date]],19),IF(Main[[#This Row],[Class]]="B", WORKDAY(Main[[#This Row],[Tech Start Date]],12),IF(Main[[#This Row],[Class]]="A",WORKDAY(Main[[#This Row],[Tech Start Date]],4),""))))</f>
        <v/>
      </c>
      <c r="O67" s="69" t="str">
        <f>IF(Main[[#This Row],[Tech Start Date]]&lt;1/1/1990,"",IF(Main[[#This Row],[Class]]="C",WORKDAY(Main[[#This Row],[Tech Start Date]],23),IF(Main[[#This Row],[Class]]="B", WORKDAY(Main[[#This Row],[Tech Start Date]],15),IF(Main[[#This Row],[Class]]="A",WORKDAY(Main[[#This Row],[Tech Start Date]],5),""))))</f>
        <v/>
      </c>
      <c r="P67" s="69" t="str">
        <f>IF(Main[[#This Row],[Tech Start Date]]&lt;1/1/1990,"",IF(Main[[#This Row],[Class]]="C",WORKDAY(Main[[#This Row],[Tech Start Date]],28),IF(Main[[#This Row],[Class]]="B", WORKDAY(Main[[#This Row],[Tech Start Date]],19),IF(Main[[#This Row],[Class]]="A",WORKDAY(Main[[#This Row],[Tech Start Date]],9),""))))</f>
        <v/>
      </c>
      <c r="Q67" s="67">
        <v>40695</v>
      </c>
      <c r="R67" s="67"/>
      <c r="S67" s="65" t="s">
        <v>11</v>
      </c>
      <c r="T67" s="70" t="s">
        <v>327</v>
      </c>
      <c r="U67" s="65" t="s">
        <v>14</v>
      </c>
      <c r="V67" s="65" t="s">
        <v>1918</v>
      </c>
      <c r="W67" s="65" t="s">
        <v>1922</v>
      </c>
      <c r="X67" s="65" t="s">
        <v>2881</v>
      </c>
      <c r="Y67" s="65" t="s">
        <v>3027</v>
      </c>
      <c r="Z67" s="65" t="s">
        <v>3165</v>
      </c>
      <c r="AA67" s="65" t="s">
        <v>2881</v>
      </c>
    </row>
    <row r="68" spans="1:27" ht="17.45" customHeight="1">
      <c r="A68" s="131">
        <f>IF(priority(Main[[#This Row],[Comments]])&lt;&gt;0, priority(Main[[#This Row],[Comments]]),"")</f>
        <v>17</v>
      </c>
      <c r="B68" s="99" t="s">
        <v>2026</v>
      </c>
      <c r="C68" s="65" t="s">
        <v>2027</v>
      </c>
      <c r="D68" s="66" t="s">
        <v>2138</v>
      </c>
      <c r="E68" s="67"/>
      <c r="F68" s="67">
        <v>40752</v>
      </c>
      <c r="G68" s="64">
        <f>IF(stdProdLT(Main[[#This Row],[Comments]])=0.1,"N/A",IF(stdProdLT(Main[[#This Row],[Comments]])=0,"",stdProdLT(Main[[#This Row],[Comments]])))</f>
        <v>42</v>
      </c>
      <c r="H68" s="68">
        <f>IF(AND(Main[[#This Row],[In Stock Date]]&lt;&gt;"",Main[[#This Row],[Revised Due Date]]&lt;&gt;""),Main[[#This Row],[In Stock Date]]-Main[[#This Row],[Revised Due Date]],"")</f>
        <v>-32</v>
      </c>
      <c r="I68" s="65" t="s">
        <v>958</v>
      </c>
      <c r="J68" s="65" t="s">
        <v>28</v>
      </c>
      <c r="K68" s="65" t="s">
        <v>1924</v>
      </c>
      <c r="L68" s="67">
        <v>40745</v>
      </c>
      <c r="M68" s="69">
        <f>IF(Main[[#This Row],[Tech Start Date]]&lt;1/1/1990,"",IF(Main[[#This Row],[Class]]="C",WORKDAY(Main[[#This Row],[Tech Start Date]],9),IF(Main[[#This Row],[Class]]="B", WORKDAY(Main[[#This Row],[Tech Start Date]],6),IF(Main[[#This Row],[Class]]="A",WORKDAY(Main[[#This Row],[Tech Start Date]],2),""))))</f>
        <v>40753</v>
      </c>
      <c r="N68" s="69">
        <f>IF(Main[[#This Row],[Tech Start Date]]&lt;1/1/1990,"",IF(Main[[#This Row],[Class]]="C",WORKDAY(Main[[#This Row],[Tech Start Date]],19),IF(Main[[#This Row],[Class]]="B", WORKDAY(Main[[#This Row],[Tech Start Date]],12),IF(Main[[#This Row],[Class]]="A",WORKDAY(Main[[#This Row],[Tech Start Date]],4),""))))</f>
        <v>40763</v>
      </c>
      <c r="O68" s="69">
        <f>IF(Main[[#This Row],[Tech Start Date]]&lt;1/1/1990,"",IF(Main[[#This Row],[Class]]="C",WORKDAY(Main[[#This Row],[Tech Start Date]],23),IF(Main[[#This Row],[Class]]="B", WORKDAY(Main[[#This Row],[Tech Start Date]],15),IF(Main[[#This Row],[Class]]="A",WORKDAY(Main[[#This Row],[Tech Start Date]],5),""))))</f>
        <v>40766</v>
      </c>
      <c r="P68" s="69">
        <f>IF(Main[[#This Row],[Tech Start Date]]&lt;1/1/1990,"",IF(Main[[#This Row],[Class]]="C",WORKDAY(Main[[#This Row],[Tech Start Date]],28),IF(Main[[#This Row],[Class]]="B", WORKDAY(Main[[#This Row],[Tech Start Date]],19),IF(Main[[#This Row],[Class]]="A",WORKDAY(Main[[#This Row],[Tech Start Date]],9),""))))</f>
        <v>40772</v>
      </c>
      <c r="Q68" s="67">
        <v>40752</v>
      </c>
      <c r="R68" s="67">
        <v>40784</v>
      </c>
      <c r="S68" s="65" t="s">
        <v>11</v>
      </c>
      <c r="T68" s="70" t="s">
        <v>2139</v>
      </c>
      <c r="U68" s="65" t="s">
        <v>14</v>
      </c>
      <c r="V68" s="65" t="s">
        <v>1918</v>
      </c>
      <c r="W68" s="65" t="s">
        <v>1919</v>
      </c>
      <c r="X68" s="65" t="s">
        <v>2822</v>
      </c>
      <c r="Y68" s="65" t="s">
        <v>2934</v>
      </c>
      <c r="Z68" s="65" t="s">
        <v>2056</v>
      </c>
      <c r="AA68" s="65" t="s">
        <v>2822</v>
      </c>
    </row>
    <row r="69" spans="1:27" ht="17.45" customHeight="1">
      <c r="A69" s="131">
        <f>IF(priority(Main[[#This Row],[Comments]])&lt;&gt;0, priority(Main[[#This Row],[Comments]]),"")</f>
        <v>17</v>
      </c>
      <c r="B69" s="99" t="s">
        <v>1164</v>
      </c>
      <c r="C69" s="65" t="s">
        <v>1969</v>
      </c>
      <c r="D69" s="66" t="s">
        <v>217</v>
      </c>
      <c r="E69" s="67"/>
      <c r="F69" s="67">
        <v>40724</v>
      </c>
      <c r="G69" s="64" t="str">
        <f>IF(stdProdLT(Main[[#This Row],[Comments]])=0.1,"N/A",IF(stdProdLT(Main[[#This Row],[Comments]])=0,"",stdProdLT(Main[[#This Row],[Comments]])))</f>
        <v/>
      </c>
      <c r="H69" s="68">
        <f>IF(AND(Main[[#This Row],[In Stock Date]]&lt;&gt;"",Main[[#This Row],[Revised Due Date]]&lt;&gt;""),Main[[#This Row],[In Stock Date]]-Main[[#This Row],[Revised Due Date]],"")</f>
        <v>-176</v>
      </c>
      <c r="I69" s="65" t="s">
        <v>944</v>
      </c>
      <c r="J69" s="65" t="s">
        <v>28</v>
      </c>
      <c r="K69" s="65" t="s">
        <v>1924</v>
      </c>
      <c r="L69" s="67">
        <v>40835</v>
      </c>
      <c r="M69" s="69">
        <f>IF(Main[[#This Row],[Tech Start Date]]&lt;1/1/1990,"",IF(Main[[#This Row],[Class]]="C",WORKDAY(Main[[#This Row],[Tech Start Date]],9),IF(Main[[#This Row],[Class]]="B", WORKDAY(Main[[#This Row],[Tech Start Date]],6),IF(Main[[#This Row],[Class]]="A",WORKDAY(Main[[#This Row],[Tech Start Date]],2),""))))</f>
        <v>40843</v>
      </c>
      <c r="N69" s="69">
        <f>IF(Main[[#This Row],[Tech Start Date]]&lt;1/1/1990,"",IF(Main[[#This Row],[Class]]="C",WORKDAY(Main[[#This Row],[Tech Start Date]],19),IF(Main[[#This Row],[Class]]="B", WORKDAY(Main[[#This Row],[Tech Start Date]],12),IF(Main[[#This Row],[Class]]="A",WORKDAY(Main[[#This Row],[Tech Start Date]],4),""))))</f>
        <v>40851</v>
      </c>
      <c r="O69" s="69">
        <f>IF(Main[[#This Row],[Tech Start Date]]&lt;1/1/1990,"",IF(Main[[#This Row],[Class]]="C",WORKDAY(Main[[#This Row],[Tech Start Date]],23),IF(Main[[#This Row],[Class]]="B", WORKDAY(Main[[#This Row],[Tech Start Date]],15),IF(Main[[#This Row],[Class]]="A",WORKDAY(Main[[#This Row],[Tech Start Date]],5),""))))</f>
        <v>40856</v>
      </c>
      <c r="P69" s="69">
        <f>IF(Main[[#This Row],[Tech Start Date]]&lt;1/1/1990,"",IF(Main[[#This Row],[Class]]="C",WORKDAY(Main[[#This Row],[Tech Start Date]],28),IF(Main[[#This Row],[Class]]="B", WORKDAY(Main[[#This Row],[Tech Start Date]],19),IF(Main[[#This Row],[Class]]="A",WORKDAY(Main[[#This Row],[Tech Start Date]],9),""))))</f>
        <v>40862</v>
      </c>
      <c r="Q69" s="67">
        <v>40724</v>
      </c>
      <c r="R69" s="67">
        <v>40900</v>
      </c>
      <c r="S69" s="65" t="s">
        <v>11</v>
      </c>
      <c r="T69" s="70" t="s">
        <v>2808</v>
      </c>
      <c r="U69" s="65" t="s">
        <v>14</v>
      </c>
      <c r="V69" s="65" t="s">
        <v>1918</v>
      </c>
      <c r="W69" s="65" t="s">
        <v>1925</v>
      </c>
      <c r="X69" s="65" t="s">
        <v>2863</v>
      </c>
      <c r="Y69" s="65" t="s">
        <v>3004</v>
      </c>
      <c r="Z69" s="65" t="s">
        <v>2056</v>
      </c>
      <c r="AA69" s="65" t="s">
        <v>2863</v>
      </c>
    </row>
    <row r="70" spans="1:27" ht="17.45" customHeight="1">
      <c r="A70" s="131">
        <f>IF(priority(Main[[#This Row],[Comments]])&lt;&gt;0, priority(Main[[#This Row],[Comments]]),"")</f>
        <v>17</v>
      </c>
      <c r="B70" s="99" t="s">
        <v>3209</v>
      </c>
      <c r="C70" s="65" t="s">
        <v>3221</v>
      </c>
      <c r="D70" s="66" t="s">
        <v>3210</v>
      </c>
      <c r="E70" s="67"/>
      <c r="F70" s="67">
        <v>41122</v>
      </c>
      <c r="G70" s="64">
        <f>IF(stdProdLT(Main[[#This Row],[Comments]])=0.1,"N/A",IF(stdProdLT(Main[[#This Row],[Comments]])=0,"",stdProdLT(Main[[#This Row],[Comments]])))</f>
        <v>168</v>
      </c>
      <c r="H70" s="68">
        <f>IF(AND(Main[[#This Row],[In Stock Date]]&lt;&gt;"",Main[[#This Row],[Revised Due Date]]&lt;&gt;""),Main[[#This Row],[In Stock Date]]-Main[[#This Row],[Revised Due Date]],"")</f>
        <v>173</v>
      </c>
      <c r="I70" s="65" t="s">
        <v>44</v>
      </c>
      <c r="J70" s="65" t="s">
        <v>28</v>
      </c>
      <c r="K70" s="65" t="s">
        <v>1930</v>
      </c>
      <c r="L70" s="67">
        <v>40925</v>
      </c>
      <c r="M70" s="69">
        <f>IF(Main[[#This Row],[Tech Start Date]]&lt;1/1/1990,"",IF(Main[[#This Row],[Class]]="C",WORKDAY(Main[[#This Row],[Tech Start Date]],9),IF(Main[[#This Row],[Class]]="B", WORKDAY(Main[[#This Row],[Tech Start Date]],6),IF(Main[[#This Row],[Class]]="A",WORKDAY(Main[[#This Row],[Tech Start Date]],2),""))))</f>
        <v>40938</v>
      </c>
      <c r="N70" s="69">
        <f>IF(Main[[#This Row],[Tech Start Date]]&lt;1/1/1990,"",IF(Main[[#This Row],[Class]]="C",WORKDAY(Main[[#This Row],[Tech Start Date]],19),IF(Main[[#This Row],[Class]]="B", WORKDAY(Main[[#This Row],[Tech Start Date]],12),IF(Main[[#This Row],[Class]]="A",WORKDAY(Main[[#This Row],[Tech Start Date]],4),""))))</f>
        <v>40952</v>
      </c>
      <c r="O70" s="69">
        <f>IF(Main[[#This Row],[Tech Start Date]]&lt;1/1/1990,"",IF(Main[[#This Row],[Class]]="C",WORKDAY(Main[[#This Row],[Tech Start Date]],23),IF(Main[[#This Row],[Class]]="B", WORKDAY(Main[[#This Row],[Tech Start Date]],15),IF(Main[[#This Row],[Class]]="A",WORKDAY(Main[[#This Row],[Tech Start Date]],5),""))))</f>
        <v>40956</v>
      </c>
      <c r="P70" s="69">
        <f>IF(Main[[#This Row],[Tech Start Date]]&lt;1/1/1990,"",IF(Main[[#This Row],[Class]]="C",WORKDAY(Main[[#This Row],[Tech Start Date]],28),IF(Main[[#This Row],[Class]]="B", WORKDAY(Main[[#This Row],[Tech Start Date]],19),IF(Main[[#This Row],[Class]]="A",WORKDAY(Main[[#This Row],[Tech Start Date]],9),""))))</f>
        <v>40963</v>
      </c>
      <c r="Q70" s="67">
        <v>40973</v>
      </c>
      <c r="R70" s="67">
        <v>40949</v>
      </c>
      <c r="S70" s="65" t="s">
        <v>11</v>
      </c>
      <c r="T70" s="70" t="s">
        <v>3874</v>
      </c>
      <c r="U70" s="65" t="s">
        <v>14</v>
      </c>
      <c r="V70" s="65" t="s">
        <v>1920</v>
      </c>
      <c r="W70" s="65" t="s">
        <v>1923</v>
      </c>
      <c r="X70" s="65" t="s">
        <v>2854</v>
      </c>
      <c r="Y70" s="65" t="s">
        <v>2985</v>
      </c>
      <c r="Z70" s="65" t="s">
        <v>530</v>
      </c>
      <c r="AA70" s="65" t="s">
        <v>2854</v>
      </c>
    </row>
    <row r="71" spans="1:27" ht="17.45" customHeight="1">
      <c r="A71" s="131">
        <f>IF(priority(Main[[#This Row],[Comments]])&lt;&gt;0, priority(Main[[#This Row],[Comments]]),"")</f>
        <v>17</v>
      </c>
      <c r="B71" s="99" t="s">
        <v>3584</v>
      </c>
      <c r="C71" s="65" t="s">
        <v>3533</v>
      </c>
      <c r="D71" s="66" t="s">
        <v>3897</v>
      </c>
      <c r="E71" s="67">
        <v>40946.686157407406</v>
      </c>
      <c r="F71" s="67">
        <v>41122</v>
      </c>
      <c r="G71" s="64">
        <f>IF(stdProdLT(Main[[#This Row],[Comments]])=0.1,"N/A",IF(stdProdLT(Main[[#This Row],[Comments]])=0,"",stdProdLT(Main[[#This Row],[Comments]])))</f>
        <v>126</v>
      </c>
      <c r="H71" s="68">
        <f>IF(AND(Main[[#This Row],[In Stock Date]]&lt;&gt;"",Main[[#This Row],[Revised Due Date]]&lt;&gt;""),Main[[#This Row],[In Stock Date]]-Main[[#This Row],[Revised Due Date]],"")</f>
        <v>140</v>
      </c>
      <c r="I71" s="65" t="s">
        <v>914</v>
      </c>
      <c r="J71" s="65" t="s">
        <v>52</v>
      </c>
      <c r="K71" s="65" t="s">
        <v>1924</v>
      </c>
      <c r="L71" s="67">
        <v>40948</v>
      </c>
      <c r="M71" s="69">
        <f>IF(Main[[#This Row],[Tech Start Date]]&lt;1/1/1990,"",IF(Main[[#This Row],[Class]]="C",WORKDAY(Main[[#This Row],[Tech Start Date]],9),IF(Main[[#This Row],[Class]]="B", WORKDAY(Main[[#This Row],[Tech Start Date]],6),IF(Main[[#This Row],[Class]]="A",WORKDAY(Main[[#This Row],[Tech Start Date]],2),""))))</f>
        <v>40956</v>
      </c>
      <c r="N71" s="69">
        <f>IF(Main[[#This Row],[Tech Start Date]]&lt;1/1/1990,"",IF(Main[[#This Row],[Class]]="C",WORKDAY(Main[[#This Row],[Tech Start Date]],19),IF(Main[[#This Row],[Class]]="B", WORKDAY(Main[[#This Row],[Tech Start Date]],12),IF(Main[[#This Row],[Class]]="A",WORKDAY(Main[[#This Row],[Tech Start Date]],4),""))))</f>
        <v>40966</v>
      </c>
      <c r="O71" s="69">
        <f>IF(Main[[#This Row],[Tech Start Date]]&lt;1/1/1990,"",IF(Main[[#This Row],[Class]]="C",WORKDAY(Main[[#This Row],[Tech Start Date]],23),IF(Main[[#This Row],[Class]]="B", WORKDAY(Main[[#This Row],[Tech Start Date]],15),IF(Main[[#This Row],[Class]]="A",WORKDAY(Main[[#This Row],[Tech Start Date]],5),""))))</f>
        <v>40969</v>
      </c>
      <c r="P71" s="69">
        <f>IF(Main[[#This Row],[Tech Start Date]]&lt;1/1/1990,"",IF(Main[[#This Row],[Class]]="C",WORKDAY(Main[[#This Row],[Tech Start Date]],28),IF(Main[[#This Row],[Class]]="B", WORKDAY(Main[[#This Row],[Tech Start Date]],19),IF(Main[[#This Row],[Class]]="A",WORKDAY(Main[[#This Row],[Tech Start Date]],9),""))))</f>
        <v>40975</v>
      </c>
      <c r="Q71" s="67"/>
      <c r="R71" s="67">
        <v>40982</v>
      </c>
      <c r="S71" s="65" t="s">
        <v>11</v>
      </c>
      <c r="T71" s="70" t="s">
        <v>3898</v>
      </c>
      <c r="U71" s="65" t="s">
        <v>29</v>
      </c>
      <c r="V71" s="65" t="s">
        <v>1917</v>
      </c>
      <c r="W71" s="65" t="s">
        <v>1923</v>
      </c>
      <c r="X71" s="65" t="s">
        <v>2845</v>
      </c>
      <c r="Y71" s="65" t="s">
        <v>2976</v>
      </c>
      <c r="Z71" s="65" t="s">
        <v>129</v>
      </c>
      <c r="AA71" s="65" t="s">
        <v>2845</v>
      </c>
    </row>
    <row r="72" spans="1:27" ht="17.45" customHeight="1">
      <c r="A72" s="131">
        <f>IF(priority(Main[[#This Row],[Comments]])&lt;&gt;0, priority(Main[[#This Row],[Comments]]),"")</f>
        <v>17</v>
      </c>
      <c r="B72" s="99" t="s">
        <v>3345</v>
      </c>
      <c r="C72" s="65" t="s">
        <v>2359</v>
      </c>
      <c r="D72" s="66" t="s">
        <v>3346</v>
      </c>
      <c r="E72" s="67">
        <v>40939.118807870371</v>
      </c>
      <c r="F72" s="67">
        <v>41030</v>
      </c>
      <c r="G72" s="64">
        <f>IF(stdProdLT(Main[[#This Row],[Comments]])=0.1,"N/A",IF(stdProdLT(Main[[#This Row],[Comments]])=0,"",stdProdLT(Main[[#This Row],[Comments]])))</f>
        <v>98</v>
      </c>
      <c r="H72" s="68">
        <f>IF(AND(Main[[#This Row],[In Stock Date]]&lt;&gt;"",Main[[#This Row],[Revised Due Date]]&lt;&gt;""),Main[[#This Row],[In Stock Date]]-Main[[#This Row],[Revised Due Date]],"")</f>
        <v>47</v>
      </c>
      <c r="I72" s="65" t="s">
        <v>44</v>
      </c>
      <c r="J72" s="65" t="s">
        <v>52</v>
      </c>
      <c r="K72" s="65" t="s">
        <v>1924</v>
      </c>
      <c r="L72" s="67">
        <v>40954</v>
      </c>
      <c r="M72" s="69">
        <f>IF(Main[[#This Row],[Tech Start Date]]&lt;1/1/1990,"",IF(Main[[#This Row],[Class]]="C",WORKDAY(Main[[#This Row],[Tech Start Date]],9),IF(Main[[#This Row],[Class]]="B", WORKDAY(Main[[#This Row],[Tech Start Date]],6),IF(Main[[#This Row],[Class]]="A",WORKDAY(Main[[#This Row],[Tech Start Date]],2),""))))</f>
        <v>40962</v>
      </c>
      <c r="N72" s="69">
        <f>IF(Main[[#This Row],[Tech Start Date]]&lt;1/1/1990,"",IF(Main[[#This Row],[Class]]="C",WORKDAY(Main[[#This Row],[Tech Start Date]],19),IF(Main[[#This Row],[Class]]="B", WORKDAY(Main[[#This Row],[Tech Start Date]],12),IF(Main[[#This Row],[Class]]="A",WORKDAY(Main[[#This Row],[Tech Start Date]],4),""))))</f>
        <v>40970</v>
      </c>
      <c r="O72" s="69">
        <f>IF(Main[[#This Row],[Tech Start Date]]&lt;1/1/1990,"",IF(Main[[#This Row],[Class]]="C",WORKDAY(Main[[#This Row],[Tech Start Date]],23),IF(Main[[#This Row],[Class]]="B", WORKDAY(Main[[#This Row],[Tech Start Date]],15),IF(Main[[#This Row],[Class]]="A",WORKDAY(Main[[#This Row],[Tech Start Date]],5),""))))</f>
        <v>40975</v>
      </c>
      <c r="P72" s="69">
        <f>IF(Main[[#This Row],[Tech Start Date]]&lt;1/1/1990,"",IF(Main[[#This Row],[Class]]="C",WORKDAY(Main[[#This Row],[Tech Start Date]],28),IF(Main[[#This Row],[Class]]="B", WORKDAY(Main[[#This Row],[Tech Start Date]],19),IF(Main[[#This Row],[Class]]="A",WORKDAY(Main[[#This Row],[Tech Start Date]],9),""))))</f>
        <v>40981</v>
      </c>
      <c r="Q72" s="67">
        <v>40890</v>
      </c>
      <c r="R72" s="67">
        <v>40983</v>
      </c>
      <c r="S72" s="65" t="s">
        <v>11</v>
      </c>
      <c r="T72" s="70" t="s">
        <v>3909</v>
      </c>
      <c r="U72" s="65" t="s">
        <v>29</v>
      </c>
      <c r="V72" s="65" t="s">
        <v>1927</v>
      </c>
      <c r="W72" s="65" t="s">
        <v>1925</v>
      </c>
      <c r="X72" s="65" t="s">
        <v>2849</v>
      </c>
      <c r="Y72" s="65" t="s">
        <v>4</v>
      </c>
      <c r="Z72" s="65" t="s">
        <v>530</v>
      </c>
      <c r="AA72" s="65" t="s">
        <v>2849</v>
      </c>
    </row>
    <row r="73" spans="1:27" ht="17.45" customHeight="1">
      <c r="A73" s="131">
        <f>IF(priority(Main[[#This Row],[Comments]])&lt;&gt;0, priority(Main[[#This Row],[Comments]]),"")</f>
        <v>18</v>
      </c>
      <c r="B73" s="99" t="s">
        <v>1235</v>
      </c>
      <c r="C73" s="65" t="s">
        <v>294</v>
      </c>
      <c r="D73" s="66" t="s">
        <v>2315</v>
      </c>
      <c r="E73" s="67">
        <v>40466.671342592592</v>
      </c>
      <c r="F73" s="67"/>
      <c r="G73" s="64" t="str">
        <f>IF(stdProdLT(Main[[#This Row],[Comments]])=0.1,"N/A",IF(stdProdLT(Main[[#This Row],[Comments]])=0,"",stdProdLT(Main[[#This Row],[Comments]])))</f>
        <v/>
      </c>
      <c r="H73" s="68" t="str">
        <f>IF(AND(Main[[#This Row],[In Stock Date]]&lt;&gt;"",Main[[#This Row],[Revised Due Date]]&lt;&gt;""),Main[[#This Row],[In Stock Date]]-Main[[#This Row],[Revised Due Date]],"")</f>
        <v/>
      </c>
      <c r="I73" s="65" t="s">
        <v>4</v>
      </c>
      <c r="J73" s="65" t="s">
        <v>28</v>
      </c>
      <c r="K73" s="65" t="s">
        <v>4</v>
      </c>
      <c r="L73" s="67"/>
      <c r="M73" s="69" t="str">
        <f>IF(Main[[#This Row],[Tech Start Date]]&lt;1/1/1990,"",IF(Main[[#This Row],[Class]]="C",WORKDAY(Main[[#This Row],[Tech Start Date]],9),IF(Main[[#This Row],[Class]]="B", WORKDAY(Main[[#This Row],[Tech Start Date]],6),IF(Main[[#This Row],[Class]]="A",WORKDAY(Main[[#This Row],[Tech Start Date]],2),""))))</f>
        <v/>
      </c>
      <c r="N73" s="69" t="str">
        <f>IF(Main[[#This Row],[Tech Start Date]]&lt;1/1/1990,"",IF(Main[[#This Row],[Class]]="C",WORKDAY(Main[[#This Row],[Tech Start Date]],19),IF(Main[[#This Row],[Class]]="B", WORKDAY(Main[[#This Row],[Tech Start Date]],12),IF(Main[[#This Row],[Class]]="A",WORKDAY(Main[[#This Row],[Tech Start Date]],4),""))))</f>
        <v/>
      </c>
      <c r="O73" s="69" t="str">
        <f>IF(Main[[#This Row],[Tech Start Date]]&lt;1/1/1990,"",IF(Main[[#This Row],[Class]]="C",WORKDAY(Main[[#This Row],[Tech Start Date]],23),IF(Main[[#This Row],[Class]]="B", WORKDAY(Main[[#This Row],[Tech Start Date]],15),IF(Main[[#This Row],[Class]]="A",WORKDAY(Main[[#This Row],[Tech Start Date]],5),""))))</f>
        <v/>
      </c>
      <c r="P73" s="69" t="str">
        <f>IF(Main[[#This Row],[Tech Start Date]]&lt;1/1/1990,"",IF(Main[[#This Row],[Class]]="C",WORKDAY(Main[[#This Row],[Tech Start Date]],28),IF(Main[[#This Row],[Class]]="B", WORKDAY(Main[[#This Row],[Tech Start Date]],19),IF(Main[[#This Row],[Class]]="A",WORKDAY(Main[[#This Row],[Tech Start Date]],9),""))))</f>
        <v/>
      </c>
      <c r="Q73" s="67"/>
      <c r="R73" s="67"/>
      <c r="S73" s="65" t="s">
        <v>6</v>
      </c>
      <c r="T73" s="70" t="s">
        <v>2663</v>
      </c>
      <c r="U73" s="65" t="s">
        <v>7</v>
      </c>
      <c r="V73" s="65" t="s">
        <v>1917</v>
      </c>
      <c r="W73" s="65" t="s">
        <v>1925</v>
      </c>
      <c r="X73" s="65" t="s">
        <v>885</v>
      </c>
      <c r="Y73" s="65" t="s">
        <v>2969</v>
      </c>
      <c r="Z73" s="65" t="s">
        <v>129</v>
      </c>
      <c r="AA73" s="65" t="s">
        <v>885</v>
      </c>
    </row>
    <row r="74" spans="1:27" ht="17.45" customHeight="1">
      <c r="A74" s="131">
        <f>IF(priority(Main[[#This Row],[Comments]])&lt;&gt;0, priority(Main[[#This Row],[Comments]]),"")</f>
        <v>18</v>
      </c>
      <c r="B74" s="99" t="s">
        <v>2540</v>
      </c>
      <c r="C74" s="65" t="s">
        <v>3251</v>
      </c>
      <c r="D74" s="66" t="s">
        <v>3859</v>
      </c>
      <c r="E74" s="67">
        <v>40848.481932870367</v>
      </c>
      <c r="F74" s="67">
        <v>41153</v>
      </c>
      <c r="G74" s="64">
        <f>IF(stdProdLT(Main[[#This Row],[Comments]])=0.1,"N/A",IF(stdProdLT(Main[[#This Row],[Comments]])=0,"",stdProdLT(Main[[#This Row],[Comments]])))</f>
        <v>126</v>
      </c>
      <c r="H74" s="68">
        <f>IF(AND(Main[[#This Row],[In Stock Date]]&lt;&gt;"",Main[[#This Row],[Revised Due Date]]&lt;&gt;""),Main[[#This Row],[In Stock Date]]-Main[[#This Row],[Revised Due Date]],"")</f>
        <v>183</v>
      </c>
      <c r="I74" s="65" t="s">
        <v>399</v>
      </c>
      <c r="J74" s="65" t="s">
        <v>51</v>
      </c>
      <c r="K74" s="65" t="s">
        <v>1924</v>
      </c>
      <c r="L74" s="67">
        <v>40918</v>
      </c>
      <c r="M74" s="69">
        <f>IF(Main[[#This Row],[Tech Start Date]]&lt;1/1/1990,"",IF(Main[[#This Row],[Class]]="C",WORKDAY(Main[[#This Row],[Tech Start Date]],9),IF(Main[[#This Row],[Class]]="B", WORKDAY(Main[[#This Row],[Tech Start Date]],6),IF(Main[[#This Row],[Class]]="A",WORKDAY(Main[[#This Row],[Tech Start Date]],2),""))))</f>
        <v>40926</v>
      </c>
      <c r="N74" s="69">
        <f>IF(Main[[#This Row],[Tech Start Date]]&lt;1/1/1990,"",IF(Main[[#This Row],[Class]]="C",WORKDAY(Main[[#This Row],[Tech Start Date]],19),IF(Main[[#This Row],[Class]]="B", WORKDAY(Main[[#This Row],[Tech Start Date]],12),IF(Main[[#This Row],[Class]]="A",WORKDAY(Main[[#This Row],[Tech Start Date]],4),""))))</f>
        <v>40934</v>
      </c>
      <c r="O74" s="69">
        <f>IF(Main[[#This Row],[Tech Start Date]]&lt;1/1/1990,"",IF(Main[[#This Row],[Class]]="C",WORKDAY(Main[[#This Row],[Tech Start Date]],23),IF(Main[[#This Row],[Class]]="B", WORKDAY(Main[[#This Row],[Tech Start Date]],15),IF(Main[[#This Row],[Class]]="A",WORKDAY(Main[[#This Row],[Tech Start Date]],5),""))))</f>
        <v>40939</v>
      </c>
      <c r="P74" s="69">
        <f>IF(Main[[#This Row],[Tech Start Date]]&lt;1/1/1990,"",IF(Main[[#This Row],[Class]]="C",WORKDAY(Main[[#This Row],[Tech Start Date]],28),IF(Main[[#This Row],[Class]]="B", WORKDAY(Main[[#This Row],[Tech Start Date]],19),IF(Main[[#This Row],[Class]]="A",WORKDAY(Main[[#This Row],[Tech Start Date]],9),""))))</f>
        <v>40945</v>
      </c>
      <c r="Q74" s="67">
        <v>41153</v>
      </c>
      <c r="R74" s="67">
        <v>40970</v>
      </c>
      <c r="S74" s="65" t="s">
        <v>11</v>
      </c>
      <c r="T74" s="70" t="s">
        <v>3860</v>
      </c>
      <c r="U74" s="65" t="s">
        <v>29</v>
      </c>
      <c r="V74" s="65" t="s">
        <v>1917</v>
      </c>
      <c r="W74" s="65" t="s">
        <v>1923</v>
      </c>
      <c r="X74" s="65" t="s">
        <v>2915</v>
      </c>
      <c r="Y74" s="65" t="s">
        <v>2936</v>
      </c>
      <c r="Z74" s="65" t="s">
        <v>129</v>
      </c>
      <c r="AA74" s="65" t="s">
        <v>2915</v>
      </c>
    </row>
    <row r="75" spans="1:27" ht="17.45" customHeight="1">
      <c r="A75" s="131">
        <f>IF(priority(Main[[#This Row],[Comments]])&lt;&gt;0, priority(Main[[#This Row],[Comments]]),"")</f>
        <v>19</v>
      </c>
      <c r="B75" s="99" t="s">
        <v>1584</v>
      </c>
      <c r="C75" s="65" t="s">
        <v>122</v>
      </c>
      <c r="D75" s="66" t="s">
        <v>663</v>
      </c>
      <c r="E75" s="67"/>
      <c r="F75" s="67">
        <v>40704</v>
      </c>
      <c r="G75" s="64" t="str">
        <f>IF(stdProdLT(Main[[#This Row],[Comments]])=0.1,"N/A",IF(stdProdLT(Main[[#This Row],[Comments]])=0,"",stdProdLT(Main[[#This Row],[Comments]])))</f>
        <v/>
      </c>
      <c r="H75" s="68" t="str">
        <f>IF(AND(Main[[#This Row],[In Stock Date]]&lt;&gt;"",Main[[#This Row],[Revised Due Date]]&lt;&gt;""),Main[[#This Row],[In Stock Date]]-Main[[#This Row],[Revised Due Date]],"")</f>
        <v/>
      </c>
      <c r="I75" s="65" t="s">
        <v>4</v>
      </c>
      <c r="J75" s="65" t="s">
        <v>28</v>
      </c>
      <c r="K75" s="65" t="s">
        <v>1926</v>
      </c>
      <c r="L75" s="67"/>
      <c r="M75" s="69" t="str">
        <f>IF(Main[[#This Row],[Tech Start Date]]&lt;1/1/1990,"",IF(Main[[#This Row],[Class]]="C",WORKDAY(Main[[#This Row],[Tech Start Date]],9),IF(Main[[#This Row],[Class]]="B", WORKDAY(Main[[#This Row],[Tech Start Date]],6),IF(Main[[#This Row],[Class]]="A",WORKDAY(Main[[#This Row],[Tech Start Date]],2),""))))</f>
        <v/>
      </c>
      <c r="N75" s="69" t="str">
        <f>IF(Main[[#This Row],[Tech Start Date]]&lt;1/1/1990,"",IF(Main[[#This Row],[Class]]="C",WORKDAY(Main[[#This Row],[Tech Start Date]],19),IF(Main[[#This Row],[Class]]="B", WORKDAY(Main[[#This Row],[Tech Start Date]],12),IF(Main[[#This Row],[Class]]="A",WORKDAY(Main[[#This Row],[Tech Start Date]],4),""))))</f>
        <v/>
      </c>
      <c r="O75" s="69" t="str">
        <f>IF(Main[[#This Row],[Tech Start Date]]&lt;1/1/1990,"",IF(Main[[#This Row],[Class]]="C",WORKDAY(Main[[#This Row],[Tech Start Date]],23),IF(Main[[#This Row],[Class]]="B", WORKDAY(Main[[#This Row],[Tech Start Date]],15),IF(Main[[#This Row],[Class]]="A",WORKDAY(Main[[#This Row],[Tech Start Date]],5),""))))</f>
        <v/>
      </c>
      <c r="P75" s="69" t="str">
        <f>IF(Main[[#This Row],[Tech Start Date]]&lt;1/1/1990,"",IF(Main[[#This Row],[Class]]="C",WORKDAY(Main[[#This Row],[Tech Start Date]],28),IF(Main[[#This Row],[Class]]="B", WORKDAY(Main[[#This Row],[Tech Start Date]],19),IF(Main[[#This Row],[Class]]="A",WORKDAY(Main[[#This Row],[Tech Start Date]],9),""))))</f>
        <v/>
      </c>
      <c r="Q75" s="67">
        <v>40704</v>
      </c>
      <c r="R75" s="67"/>
      <c r="S75" s="65" t="s">
        <v>11</v>
      </c>
      <c r="T75" s="70" t="s">
        <v>1982</v>
      </c>
      <c r="U75" s="65" t="s">
        <v>14</v>
      </c>
      <c r="V75" s="65" t="s">
        <v>1917</v>
      </c>
      <c r="W75" s="65" t="s">
        <v>1919</v>
      </c>
      <c r="X75" s="65" t="s">
        <v>2858</v>
      </c>
      <c r="Y75" s="65" t="s">
        <v>2996</v>
      </c>
      <c r="Z75" s="65" t="s">
        <v>129</v>
      </c>
      <c r="AA75" s="65" t="s">
        <v>2858</v>
      </c>
    </row>
    <row r="76" spans="1:27" ht="17.45" customHeight="1">
      <c r="A76" s="131">
        <f>IF(priority(Main[[#This Row],[Comments]])&lt;&gt;0, priority(Main[[#This Row],[Comments]]),"")</f>
        <v>19</v>
      </c>
      <c r="B76" s="99" t="s">
        <v>3317</v>
      </c>
      <c r="C76" s="65" t="s">
        <v>3271</v>
      </c>
      <c r="D76" s="66" t="s">
        <v>3493</v>
      </c>
      <c r="E76" s="67">
        <v>40934.65960648148</v>
      </c>
      <c r="F76" s="67">
        <v>41065</v>
      </c>
      <c r="G76" s="64">
        <f>IF(stdProdLT(Main[[#This Row],[Comments]])=0.1,"N/A",IF(stdProdLT(Main[[#This Row],[Comments]])=0,"",stdProdLT(Main[[#This Row],[Comments]])))</f>
        <v>84</v>
      </c>
      <c r="H76" s="68">
        <f>IF(AND(Main[[#This Row],[In Stock Date]]&lt;&gt;"",Main[[#This Row],[Revised Due Date]]&lt;&gt;""),Main[[#This Row],[In Stock Date]]-Main[[#This Row],[Revised Due Date]],"")</f>
        <v>82</v>
      </c>
      <c r="I76" s="65" t="s">
        <v>896</v>
      </c>
      <c r="J76" s="65" t="s">
        <v>28</v>
      </c>
      <c r="K76" s="65" t="s">
        <v>1924</v>
      </c>
      <c r="L76" s="67">
        <v>40954</v>
      </c>
      <c r="M76" s="69">
        <f>IF(Main[[#This Row],[Tech Start Date]]&lt;1/1/1990,"",IF(Main[[#This Row],[Class]]="C",WORKDAY(Main[[#This Row],[Tech Start Date]],9),IF(Main[[#This Row],[Class]]="B", WORKDAY(Main[[#This Row],[Tech Start Date]],6),IF(Main[[#This Row],[Class]]="A",WORKDAY(Main[[#This Row],[Tech Start Date]],2),""))))</f>
        <v>40962</v>
      </c>
      <c r="N76" s="69">
        <f>IF(Main[[#This Row],[Tech Start Date]]&lt;1/1/1990,"",IF(Main[[#This Row],[Class]]="C",WORKDAY(Main[[#This Row],[Tech Start Date]],19),IF(Main[[#This Row],[Class]]="B", WORKDAY(Main[[#This Row],[Tech Start Date]],12),IF(Main[[#This Row],[Class]]="A",WORKDAY(Main[[#This Row],[Tech Start Date]],4),""))))</f>
        <v>40970</v>
      </c>
      <c r="O76" s="69">
        <f>IF(Main[[#This Row],[Tech Start Date]]&lt;1/1/1990,"",IF(Main[[#This Row],[Class]]="C",WORKDAY(Main[[#This Row],[Tech Start Date]],23),IF(Main[[#This Row],[Class]]="B", WORKDAY(Main[[#This Row],[Tech Start Date]],15),IF(Main[[#This Row],[Class]]="A",WORKDAY(Main[[#This Row],[Tech Start Date]],5),""))))</f>
        <v>40975</v>
      </c>
      <c r="P76" s="69">
        <f>IF(Main[[#This Row],[Tech Start Date]]&lt;1/1/1990,"",IF(Main[[#This Row],[Class]]="C",WORKDAY(Main[[#This Row],[Tech Start Date]],28),IF(Main[[#This Row],[Class]]="B", WORKDAY(Main[[#This Row],[Tech Start Date]],19),IF(Main[[#This Row],[Class]]="A",WORKDAY(Main[[#This Row],[Tech Start Date]],9),""))))</f>
        <v>40981</v>
      </c>
      <c r="Q76" s="67">
        <v>40983</v>
      </c>
      <c r="R76" s="67">
        <v>40983</v>
      </c>
      <c r="S76" s="65" t="s">
        <v>11</v>
      </c>
      <c r="T76" s="70" t="s">
        <v>3905</v>
      </c>
      <c r="U76" s="65" t="s">
        <v>29</v>
      </c>
      <c r="V76" s="65" t="s">
        <v>1917</v>
      </c>
      <c r="W76" s="65" t="s">
        <v>1925</v>
      </c>
      <c r="X76" s="65" t="s">
        <v>2835</v>
      </c>
      <c r="Y76" s="65" t="s">
        <v>2957</v>
      </c>
      <c r="Z76" s="65" t="s">
        <v>129</v>
      </c>
      <c r="AA76" s="65" t="s">
        <v>2835</v>
      </c>
    </row>
    <row r="77" spans="1:27" ht="17.45" customHeight="1">
      <c r="A77" s="131">
        <f>IF(priority(Main[[#This Row],[Comments]])&lt;&gt;0, priority(Main[[#This Row],[Comments]]),"")</f>
        <v>20</v>
      </c>
      <c r="B77" s="99" t="s">
        <v>1904</v>
      </c>
      <c r="C77" s="65" t="s">
        <v>954</v>
      </c>
      <c r="D77" s="66" t="s">
        <v>2040</v>
      </c>
      <c r="E77" s="67"/>
      <c r="F77" s="67"/>
      <c r="G77" s="64">
        <f>IF(stdProdLT(Main[[#This Row],[Comments]])=0.1,"N/A",IF(stdProdLT(Main[[#This Row],[Comments]])=0,"",stdProdLT(Main[[#This Row],[Comments]])))</f>
        <v>112</v>
      </c>
      <c r="H77" s="68" t="str">
        <f>IF(AND(Main[[#This Row],[In Stock Date]]&lt;&gt;"",Main[[#This Row],[Revised Due Date]]&lt;&gt;""),Main[[#This Row],[In Stock Date]]-Main[[#This Row],[Revised Due Date]],"")</f>
        <v/>
      </c>
      <c r="I77" s="65" t="s">
        <v>50</v>
      </c>
      <c r="J77" s="65" t="s">
        <v>52</v>
      </c>
      <c r="K77" s="65" t="s">
        <v>1930</v>
      </c>
      <c r="L77" s="67"/>
      <c r="M77" s="69" t="str">
        <f>IF(Main[[#This Row],[Tech Start Date]]&lt;1/1/1990,"",IF(Main[[#This Row],[Class]]="C",WORKDAY(Main[[#This Row],[Tech Start Date]],9),IF(Main[[#This Row],[Class]]="B", WORKDAY(Main[[#This Row],[Tech Start Date]],6),IF(Main[[#This Row],[Class]]="A",WORKDAY(Main[[#This Row],[Tech Start Date]],2),""))))</f>
        <v/>
      </c>
      <c r="N77" s="69" t="str">
        <f>IF(Main[[#This Row],[Tech Start Date]]&lt;1/1/1990,"",IF(Main[[#This Row],[Class]]="C",WORKDAY(Main[[#This Row],[Tech Start Date]],19),IF(Main[[#This Row],[Class]]="B", WORKDAY(Main[[#This Row],[Tech Start Date]],12),IF(Main[[#This Row],[Class]]="A",WORKDAY(Main[[#This Row],[Tech Start Date]],4),""))))</f>
        <v/>
      </c>
      <c r="O77" s="69" t="str">
        <f>IF(Main[[#This Row],[Tech Start Date]]&lt;1/1/1990,"",IF(Main[[#This Row],[Class]]="C",WORKDAY(Main[[#This Row],[Tech Start Date]],23),IF(Main[[#This Row],[Class]]="B", WORKDAY(Main[[#This Row],[Tech Start Date]],15),IF(Main[[#This Row],[Class]]="A",WORKDAY(Main[[#This Row],[Tech Start Date]],5),""))))</f>
        <v/>
      </c>
      <c r="P77" s="69" t="str">
        <f>IF(Main[[#This Row],[Tech Start Date]]&lt;1/1/1990,"",IF(Main[[#This Row],[Class]]="C",WORKDAY(Main[[#This Row],[Tech Start Date]],28),IF(Main[[#This Row],[Class]]="B", WORKDAY(Main[[#This Row],[Tech Start Date]],19),IF(Main[[#This Row],[Class]]="A",WORKDAY(Main[[#This Row],[Tech Start Date]],9),""))))</f>
        <v/>
      </c>
      <c r="Q77" s="67">
        <v>40598</v>
      </c>
      <c r="R77" s="67">
        <v>40786</v>
      </c>
      <c r="S77" s="65" t="s">
        <v>11</v>
      </c>
      <c r="T77" s="70" t="s">
        <v>2126</v>
      </c>
      <c r="U77" s="65" t="s">
        <v>14</v>
      </c>
      <c r="V77" s="65" t="s">
        <v>1918</v>
      </c>
      <c r="W77" s="65" t="s">
        <v>1919</v>
      </c>
      <c r="X77" s="65" t="s">
        <v>2822</v>
      </c>
      <c r="Y77" s="65" t="s">
        <v>2934</v>
      </c>
      <c r="Z77" s="65" t="s">
        <v>2056</v>
      </c>
      <c r="AA77" s="65" t="s">
        <v>2822</v>
      </c>
    </row>
    <row r="78" spans="1:27" ht="17.45" customHeight="1">
      <c r="A78" s="131">
        <f>IF(priority(Main[[#This Row],[Comments]])&lt;&gt;0, priority(Main[[#This Row],[Comments]]),"")</f>
        <v>20</v>
      </c>
      <c r="B78" s="99" t="s">
        <v>1956</v>
      </c>
      <c r="C78" s="65" t="s">
        <v>4</v>
      </c>
      <c r="D78" s="66" t="s">
        <v>2274</v>
      </c>
      <c r="E78" s="67">
        <v>40722.471516203703</v>
      </c>
      <c r="F78" s="67"/>
      <c r="G78" s="64" t="str">
        <f>IF(stdProdLT(Main[[#This Row],[Comments]])=0.1,"N/A",IF(stdProdLT(Main[[#This Row],[Comments]])=0,"",stdProdLT(Main[[#This Row],[Comments]])))</f>
        <v>N/A</v>
      </c>
      <c r="H78" s="68" t="str">
        <f>IF(AND(Main[[#This Row],[In Stock Date]]&lt;&gt;"",Main[[#This Row],[Revised Due Date]]&lt;&gt;""),Main[[#This Row],[In Stock Date]]-Main[[#This Row],[Revised Due Date]],"")</f>
        <v/>
      </c>
      <c r="I78" s="65" t="s">
        <v>914</v>
      </c>
      <c r="J78" s="65" t="s">
        <v>21</v>
      </c>
      <c r="K78" s="65" t="s">
        <v>1926</v>
      </c>
      <c r="L78" s="67"/>
      <c r="M78" s="69" t="str">
        <f>IF(Main[[#This Row],[Tech Start Date]]&lt;1/1/1990,"",IF(Main[[#This Row],[Class]]="C",WORKDAY(Main[[#This Row],[Tech Start Date]],9),IF(Main[[#This Row],[Class]]="B", WORKDAY(Main[[#This Row],[Tech Start Date]],6),IF(Main[[#This Row],[Class]]="A",WORKDAY(Main[[#This Row],[Tech Start Date]],2),""))))</f>
        <v/>
      </c>
      <c r="N78" s="69" t="str">
        <f>IF(Main[[#This Row],[Tech Start Date]]&lt;1/1/1990,"",IF(Main[[#This Row],[Class]]="C",WORKDAY(Main[[#This Row],[Tech Start Date]],19),IF(Main[[#This Row],[Class]]="B", WORKDAY(Main[[#This Row],[Tech Start Date]],12),IF(Main[[#This Row],[Class]]="A",WORKDAY(Main[[#This Row],[Tech Start Date]],4),""))))</f>
        <v/>
      </c>
      <c r="O78" s="69" t="str">
        <f>IF(Main[[#This Row],[Tech Start Date]]&lt;1/1/1990,"",IF(Main[[#This Row],[Class]]="C",WORKDAY(Main[[#This Row],[Tech Start Date]],23),IF(Main[[#This Row],[Class]]="B", WORKDAY(Main[[#This Row],[Tech Start Date]],15),IF(Main[[#This Row],[Class]]="A",WORKDAY(Main[[#This Row],[Tech Start Date]],5),""))))</f>
        <v/>
      </c>
      <c r="P78" s="69" t="str">
        <f>IF(Main[[#This Row],[Tech Start Date]]&lt;1/1/1990,"",IF(Main[[#This Row],[Class]]="C",WORKDAY(Main[[#This Row],[Tech Start Date]],28),IF(Main[[#This Row],[Class]]="B", WORKDAY(Main[[#This Row],[Tech Start Date]],19),IF(Main[[#This Row],[Class]]="A",WORKDAY(Main[[#This Row],[Tech Start Date]],9),""))))</f>
        <v/>
      </c>
      <c r="Q78" s="67">
        <v>40753</v>
      </c>
      <c r="R78" s="67">
        <v>40756</v>
      </c>
      <c r="S78" s="65" t="s">
        <v>6</v>
      </c>
      <c r="T78" s="70" t="s">
        <v>2662</v>
      </c>
      <c r="U78" s="65" t="s">
        <v>29</v>
      </c>
      <c r="V78" s="65" t="s">
        <v>1917</v>
      </c>
      <c r="W78" s="65" t="s">
        <v>1921</v>
      </c>
      <c r="X78" s="65" t="s">
        <v>2824</v>
      </c>
      <c r="Y78" s="65" t="s">
        <v>2935</v>
      </c>
      <c r="Z78" s="65" t="s">
        <v>129</v>
      </c>
      <c r="AA78" s="65" t="s">
        <v>2824</v>
      </c>
    </row>
    <row r="79" spans="1:27" ht="17.45" customHeight="1">
      <c r="A79" s="131">
        <f>IF(priority(Main[[#This Row],[Comments]])&lt;&gt;0, priority(Main[[#This Row],[Comments]]),"")</f>
        <v>20</v>
      </c>
      <c r="B79" s="99" t="s">
        <v>2648</v>
      </c>
      <c r="C79" s="65" t="s">
        <v>53</v>
      </c>
      <c r="D79" s="66" t="s">
        <v>2649</v>
      </c>
      <c r="E79" s="67"/>
      <c r="F79" s="67"/>
      <c r="G79" s="64" t="str">
        <f>IF(stdProdLT(Main[[#This Row],[Comments]])=0.1,"N/A",IF(stdProdLT(Main[[#This Row],[Comments]])=0,"",stdProdLT(Main[[#This Row],[Comments]])))</f>
        <v>N/A</v>
      </c>
      <c r="H79" s="68" t="str">
        <f>IF(AND(Main[[#This Row],[In Stock Date]]&lt;&gt;"",Main[[#This Row],[Revised Due Date]]&lt;&gt;""),Main[[#This Row],[In Stock Date]]-Main[[#This Row],[Revised Due Date]],"")</f>
        <v/>
      </c>
      <c r="I79" s="65" t="s">
        <v>943</v>
      </c>
      <c r="J79" s="65" t="s">
        <v>28</v>
      </c>
      <c r="K79" s="65" t="s">
        <v>1924</v>
      </c>
      <c r="L79" s="67">
        <v>40854</v>
      </c>
      <c r="M79" s="69">
        <f>IF(Main[[#This Row],[Tech Start Date]]&lt;1/1/1990,"",IF(Main[[#This Row],[Class]]="C",WORKDAY(Main[[#This Row],[Tech Start Date]],9),IF(Main[[#This Row],[Class]]="B", WORKDAY(Main[[#This Row],[Tech Start Date]],6),IF(Main[[#This Row],[Class]]="A",WORKDAY(Main[[#This Row],[Tech Start Date]],2),""))))</f>
        <v>40862</v>
      </c>
      <c r="N79" s="69">
        <f>IF(Main[[#This Row],[Tech Start Date]]&lt;1/1/1990,"",IF(Main[[#This Row],[Class]]="C",WORKDAY(Main[[#This Row],[Tech Start Date]],19),IF(Main[[#This Row],[Class]]="B", WORKDAY(Main[[#This Row],[Tech Start Date]],12),IF(Main[[#This Row],[Class]]="A",WORKDAY(Main[[#This Row],[Tech Start Date]],4),""))))</f>
        <v>40870</v>
      </c>
      <c r="O79" s="69">
        <f>IF(Main[[#This Row],[Tech Start Date]]&lt;1/1/1990,"",IF(Main[[#This Row],[Class]]="C",WORKDAY(Main[[#This Row],[Tech Start Date]],23),IF(Main[[#This Row],[Class]]="B", WORKDAY(Main[[#This Row],[Tech Start Date]],15),IF(Main[[#This Row],[Class]]="A",WORKDAY(Main[[#This Row],[Tech Start Date]],5),""))))</f>
        <v>40875</v>
      </c>
      <c r="P79" s="69">
        <f>IF(Main[[#This Row],[Tech Start Date]]&lt;1/1/1990,"",IF(Main[[#This Row],[Class]]="C",WORKDAY(Main[[#This Row],[Tech Start Date]],28),IF(Main[[#This Row],[Class]]="B", WORKDAY(Main[[#This Row],[Tech Start Date]],19),IF(Main[[#This Row],[Class]]="A",WORKDAY(Main[[#This Row],[Tech Start Date]],9),""))))</f>
        <v>40879</v>
      </c>
      <c r="Q79" s="67">
        <v>40883</v>
      </c>
      <c r="R79" s="67">
        <v>40877</v>
      </c>
      <c r="S79" s="65" t="s">
        <v>11</v>
      </c>
      <c r="T79" s="70" t="s">
        <v>2650</v>
      </c>
      <c r="U79" s="65" t="s">
        <v>14</v>
      </c>
      <c r="V79" s="65" t="s">
        <v>1918</v>
      </c>
      <c r="W79" s="65" t="s">
        <v>1919</v>
      </c>
      <c r="X79" s="65" t="s">
        <v>2822</v>
      </c>
      <c r="Y79" s="65" t="s">
        <v>2999</v>
      </c>
      <c r="Z79" s="65" t="s">
        <v>2056</v>
      </c>
      <c r="AA79" s="65" t="s">
        <v>2822</v>
      </c>
    </row>
    <row r="80" spans="1:27" ht="17.45" customHeight="1">
      <c r="A80" s="131">
        <f>IF(priority(Main[[#This Row],[Comments]])&lt;&gt;0, priority(Main[[#This Row],[Comments]]),"")</f>
        <v>20</v>
      </c>
      <c r="B80" s="99" t="s">
        <v>3270</v>
      </c>
      <c r="C80" s="65" t="s">
        <v>3271</v>
      </c>
      <c r="D80" s="66" t="s">
        <v>3341</v>
      </c>
      <c r="E80" s="67">
        <v>40934.707789351851</v>
      </c>
      <c r="F80" s="67">
        <v>41065</v>
      </c>
      <c r="G80" s="64">
        <f>IF(stdProdLT(Main[[#This Row],[Comments]])=0.1,"N/A",IF(stdProdLT(Main[[#This Row],[Comments]])=0,"",stdProdLT(Main[[#This Row],[Comments]])))</f>
        <v>84</v>
      </c>
      <c r="H80" s="68">
        <f>IF(AND(Main[[#This Row],[In Stock Date]]&lt;&gt;"",Main[[#This Row],[Revised Due Date]]&lt;&gt;""),Main[[#This Row],[In Stock Date]]-Main[[#This Row],[Revised Due Date]],"")</f>
        <v>82</v>
      </c>
      <c r="I80" s="65" t="s">
        <v>896</v>
      </c>
      <c r="J80" s="65" t="s">
        <v>4</v>
      </c>
      <c r="K80" s="65" t="s">
        <v>1930</v>
      </c>
      <c r="L80" s="67">
        <v>40956</v>
      </c>
      <c r="M80" s="69">
        <f>IF(Main[[#This Row],[Tech Start Date]]&lt;1/1/1990,"",IF(Main[[#This Row],[Class]]="C",WORKDAY(Main[[#This Row],[Tech Start Date]],9),IF(Main[[#This Row],[Class]]="B", WORKDAY(Main[[#This Row],[Tech Start Date]],6),IF(Main[[#This Row],[Class]]="A",WORKDAY(Main[[#This Row],[Tech Start Date]],2),""))))</f>
        <v>40969</v>
      </c>
      <c r="N80" s="69">
        <f>IF(Main[[#This Row],[Tech Start Date]]&lt;1/1/1990,"",IF(Main[[#This Row],[Class]]="C",WORKDAY(Main[[#This Row],[Tech Start Date]],19),IF(Main[[#This Row],[Class]]="B", WORKDAY(Main[[#This Row],[Tech Start Date]],12),IF(Main[[#This Row],[Class]]="A",WORKDAY(Main[[#This Row],[Tech Start Date]],4),""))))</f>
        <v>40983</v>
      </c>
      <c r="O80" s="69">
        <f>IF(Main[[#This Row],[Tech Start Date]]&lt;1/1/1990,"",IF(Main[[#This Row],[Class]]="C",WORKDAY(Main[[#This Row],[Tech Start Date]],23),IF(Main[[#This Row],[Class]]="B", WORKDAY(Main[[#This Row],[Tech Start Date]],15),IF(Main[[#This Row],[Class]]="A",WORKDAY(Main[[#This Row],[Tech Start Date]],5),""))))</f>
        <v>40989</v>
      </c>
      <c r="P80" s="69">
        <f>IF(Main[[#This Row],[Tech Start Date]]&lt;1/1/1990,"",IF(Main[[#This Row],[Class]]="C",WORKDAY(Main[[#This Row],[Tech Start Date]],28),IF(Main[[#This Row],[Class]]="B", WORKDAY(Main[[#This Row],[Tech Start Date]],19),IF(Main[[#This Row],[Class]]="A",WORKDAY(Main[[#This Row],[Tech Start Date]],9),""))))</f>
        <v>40996</v>
      </c>
      <c r="Q80" s="67">
        <v>40945</v>
      </c>
      <c r="R80" s="67">
        <v>40983</v>
      </c>
      <c r="S80" s="65" t="s">
        <v>11</v>
      </c>
      <c r="T80" s="70" t="s">
        <v>3919</v>
      </c>
      <c r="U80" s="65" t="s">
        <v>29</v>
      </c>
      <c r="V80" s="65" t="s">
        <v>1917</v>
      </c>
      <c r="W80" s="65" t="s">
        <v>1925</v>
      </c>
      <c r="X80" s="65" t="s">
        <v>2835</v>
      </c>
      <c r="Y80" s="65" t="s">
        <v>2957</v>
      </c>
      <c r="Z80" s="65" t="s">
        <v>129</v>
      </c>
      <c r="AA80" s="65" t="s">
        <v>2835</v>
      </c>
    </row>
    <row r="81" spans="1:27" ht="17.45" customHeight="1">
      <c r="A81" s="131">
        <f>IF(priority(Main[[#This Row],[Comments]])&lt;&gt;0, priority(Main[[#This Row],[Comments]]),"")</f>
        <v>20</v>
      </c>
      <c r="B81" s="99" t="s">
        <v>3953</v>
      </c>
      <c r="C81" s="65" t="s">
        <v>31</v>
      </c>
      <c r="D81" s="66" t="s">
        <v>3954</v>
      </c>
      <c r="E81" s="67">
        <v>40960.080937500003</v>
      </c>
      <c r="F81" s="67">
        <v>41091</v>
      </c>
      <c r="G81" s="64">
        <f>IF(stdProdLT(Main[[#This Row],[Comments]])=0.1,"N/A",IF(stdProdLT(Main[[#This Row],[Comments]])=0,"",stdProdLT(Main[[#This Row],[Comments]])))</f>
        <v>140</v>
      </c>
      <c r="H81" s="68">
        <f>IF(AND(Main[[#This Row],[In Stock Date]]&lt;&gt;"",Main[[#This Row],[Revised Due Date]]&lt;&gt;""),Main[[#This Row],[In Stock Date]]-Main[[#This Row],[Revised Due Date]],"")</f>
        <v>96</v>
      </c>
      <c r="I81" s="65" t="s">
        <v>239</v>
      </c>
      <c r="J81" s="65" t="s">
        <v>21</v>
      </c>
      <c r="K81" s="65" t="s">
        <v>1924</v>
      </c>
      <c r="L81" s="67">
        <v>40960</v>
      </c>
      <c r="M81" s="69">
        <f>IF(Main[[#This Row],[Tech Start Date]]&lt;1/1/1990,"",IF(Main[[#This Row],[Class]]="C",WORKDAY(Main[[#This Row],[Tech Start Date]],9),IF(Main[[#This Row],[Class]]="B", WORKDAY(Main[[#This Row],[Tech Start Date]],6),IF(Main[[#This Row],[Class]]="A",WORKDAY(Main[[#This Row],[Tech Start Date]],2),""))))</f>
        <v>40968</v>
      </c>
      <c r="N81" s="69">
        <f>IF(Main[[#This Row],[Tech Start Date]]&lt;1/1/1990,"",IF(Main[[#This Row],[Class]]="C",WORKDAY(Main[[#This Row],[Tech Start Date]],19),IF(Main[[#This Row],[Class]]="B", WORKDAY(Main[[#This Row],[Tech Start Date]],12),IF(Main[[#This Row],[Class]]="A",WORKDAY(Main[[#This Row],[Tech Start Date]],4),""))))</f>
        <v>40976</v>
      </c>
      <c r="O81" s="69">
        <f>IF(Main[[#This Row],[Tech Start Date]]&lt;1/1/1990,"",IF(Main[[#This Row],[Class]]="C",WORKDAY(Main[[#This Row],[Tech Start Date]],23),IF(Main[[#This Row],[Class]]="B", WORKDAY(Main[[#This Row],[Tech Start Date]],15),IF(Main[[#This Row],[Class]]="A",WORKDAY(Main[[#This Row],[Tech Start Date]],5),""))))</f>
        <v>40981</v>
      </c>
      <c r="P81" s="69">
        <f>IF(Main[[#This Row],[Tech Start Date]]&lt;1/1/1990,"",IF(Main[[#This Row],[Class]]="C",WORKDAY(Main[[#This Row],[Tech Start Date]],28),IF(Main[[#This Row],[Class]]="B", WORKDAY(Main[[#This Row],[Tech Start Date]],19),IF(Main[[#This Row],[Class]]="A",WORKDAY(Main[[#This Row],[Tech Start Date]],9),""))))</f>
        <v>40987</v>
      </c>
      <c r="Q81" s="67">
        <v>40995</v>
      </c>
      <c r="R81" s="67">
        <v>40995</v>
      </c>
      <c r="S81" s="65" t="s">
        <v>11</v>
      </c>
      <c r="T81" s="70" t="s">
        <v>3955</v>
      </c>
      <c r="U81" s="65" t="s">
        <v>29</v>
      </c>
      <c r="V81" s="65" t="s">
        <v>1927</v>
      </c>
      <c r="W81" s="65" t="s">
        <v>1922</v>
      </c>
      <c r="X81" s="65" t="s">
        <v>2851</v>
      </c>
      <c r="Y81" s="65" t="s">
        <v>3956</v>
      </c>
      <c r="Z81" s="65" t="s">
        <v>69</v>
      </c>
      <c r="AA81" s="65" t="s">
        <v>2851</v>
      </c>
    </row>
    <row r="82" spans="1:27" ht="17.45" customHeight="1">
      <c r="A82" s="131">
        <f>IF(priority(Main[[#This Row],[Comments]])&lt;&gt;0, priority(Main[[#This Row],[Comments]]),"")</f>
        <v>21</v>
      </c>
      <c r="B82" s="99" t="s">
        <v>2221</v>
      </c>
      <c r="C82" s="65" t="s">
        <v>33</v>
      </c>
      <c r="D82" s="66" t="s">
        <v>2222</v>
      </c>
      <c r="E82" s="67">
        <v>40799.635092592594</v>
      </c>
      <c r="F82" s="67">
        <v>41122</v>
      </c>
      <c r="G82" s="64">
        <f>IF(stdProdLT(Main[[#This Row],[Comments]])=0.1,"N/A",IF(stdProdLT(Main[[#This Row],[Comments]])=0,"",stdProdLT(Main[[#This Row],[Comments]])))</f>
        <v>126</v>
      </c>
      <c r="H82" s="68">
        <f>IF(AND(Main[[#This Row],[In Stock Date]]&lt;&gt;"",Main[[#This Row],[Revised Due Date]]&lt;&gt;""),Main[[#This Row],[In Stock Date]]-Main[[#This Row],[Revised Due Date]],"")</f>
        <v>145</v>
      </c>
      <c r="I82" s="65" t="s">
        <v>306</v>
      </c>
      <c r="J82" s="65" t="s">
        <v>52</v>
      </c>
      <c r="K82" s="65" t="s">
        <v>1930</v>
      </c>
      <c r="L82" s="67">
        <v>40813</v>
      </c>
      <c r="M82" s="69">
        <f>IF(Main[[#This Row],[Tech Start Date]]&lt;1/1/1990,"",IF(Main[[#This Row],[Class]]="C",WORKDAY(Main[[#This Row],[Tech Start Date]],9),IF(Main[[#This Row],[Class]]="B", WORKDAY(Main[[#This Row],[Tech Start Date]],6),IF(Main[[#This Row],[Class]]="A",WORKDAY(Main[[#This Row],[Tech Start Date]],2),""))))</f>
        <v>40826</v>
      </c>
      <c r="N82" s="69">
        <f>IF(Main[[#This Row],[Tech Start Date]]&lt;1/1/1990,"",IF(Main[[#This Row],[Class]]="C",WORKDAY(Main[[#This Row],[Tech Start Date]],19),IF(Main[[#This Row],[Class]]="B", WORKDAY(Main[[#This Row],[Tech Start Date]],12),IF(Main[[#This Row],[Class]]="A",WORKDAY(Main[[#This Row],[Tech Start Date]],4),""))))</f>
        <v>40840</v>
      </c>
      <c r="O82" s="69">
        <f>IF(Main[[#This Row],[Tech Start Date]]&lt;1/1/1990,"",IF(Main[[#This Row],[Class]]="C",WORKDAY(Main[[#This Row],[Tech Start Date]],23),IF(Main[[#This Row],[Class]]="B", WORKDAY(Main[[#This Row],[Tech Start Date]],15),IF(Main[[#This Row],[Class]]="A",WORKDAY(Main[[#This Row],[Tech Start Date]],5),""))))</f>
        <v>40844</v>
      </c>
      <c r="P82" s="69">
        <f>IF(Main[[#This Row],[Tech Start Date]]&lt;1/1/1990,"",IF(Main[[#This Row],[Class]]="C",WORKDAY(Main[[#This Row],[Tech Start Date]],28),IF(Main[[#This Row],[Class]]="B", WORKDAY(Main[[#This Row],[Tech Start Date]],19),IF(Main[[#This Row],[Class]]="A",WORKDAY(Main[[#This Row],[Tech Start Date]],9),""))))</f>
        <v>40851</v>
      </c>
      <c r="Q82" s="67">
        <v>40965</v>
      </c>
      <c r="R82" s="67">
        <v>40977</v>
      </c>
      <c r="S82" s="65" t="s">
        <v>11</v>
      </c>
      <c r="T82" s="70" t="s">
        <v>3838</v>
      </c>
      <c r="U82" s="65" t="s">
        <v>29</v>
      </c>
      <c r="V82" s="65" t="s">
        <v>1920</v>
      </c>
      <c r="W82" s="65" t="s">
        <v>1925</v>
      </c>
      <c r="X82" s="65" t="s">
        <v>2897</v>
      </c>
      <c r="Y82" s="65" t="s">
        <v>3108</v>
      </c>
      <c r="Z82" s="65" t="s">
        <v>81</v>
      </c>
      <c r="AA82" s="65" t="s">
        <v>2897</v>
      </c>
    </row>
    <row r="83" spans="1:27" ht="17.45" customHeight="1">
      <c r="A83" s="131">
        <f>IF(priority(Main[[#This Row],[Comments]])&lt;&gt;0, priority(Main[[#This Row],[Comments]]),"")</f>
        <v>21</v>
      </c>
      <c r="B83" s="99" t="s">
        <v>3901</v>
      </c>
      <c r="C83" s="65" t="s">
        <v>3902</v>
      </c>
      <c r="D83" s="66" t="s">
        <v>3903</v>
      </c>
      <c r="E83" s="67">
        <v>40953.697708333333</v>
      </c>
      <c r="F83" s="67">
        <v>41154</v>
      </c>
      <c r="G83" s="64">
        <f>IF(stdProdLT(Main[[#This Row],[Comments]])=0.1,"N/A",IF(stdProdLT(Main[[#This Row],[Comments]])=0,"",stdProdLT(Main[[#This Row],[Comments]])))</f>
        <v>126</v>
      </c>
      <c r="H83" s="68">
        <f>IF(AND(Main[[#This Row],[In Stock Date]]&lt;&gt;"",Main[[#This Row],[Revised Due Date]]&lt;&gt;""),Main[[#This Row],[In Stock Date]]-Main[[#This Row],[Revised Due Date]],"")</f>
        <v>165</v>
      </c>
      <c r="I83" s="65" t="s">
        <v>562</v>
      </c>
      <c r="J83" s="65" t="s">
        <v>28</v>
      </c>
      <c r="K83" s="65" t="s">
        <v>1924</v>
      </c>
      <c r="L83" s="67">
        <v>40954</v>
      </c>
      <c r="M83" s="69">
        <f>IF(Main[[#This Row],[Tech Start Date]]&lt;1/1/1990,"",IF(Main[[#This Row],[Class]]="C",WORKDAY(Main[[#This Row],[Tech Start Date]],9),IF(Main[[#This Row],[Class]]="B", WORKDAY(Main[[#This Row],[Tech Start Date]],6),IF(Main[[#This Row],[Class]]="A",WORKDAY(Main[[#This Row],[Tech Start Date]],2),""))))</f>
        <v>40962</v>
      </c>
      <c r="N83" s="69">
        <f>IF(Main[[#This Row],[Tech Start Date]]&lt;1/1/1990,"",IF(Main[[#This Row],[Class]]="C",WORKDAY(Main[[#This Row],[Tech Start Date]],19),IF(Main[[#This Row],[Class]]="B", WORKDAY(Main[[#This Row],[Tech Start Date]],12),IF(Main[[#This Row],[Class]]="A",WORKDAY(Main[[#This Row],[Tech Start Date]],4),""))))</f>
        <v>40970</v>
      </c>
      <c r="O83" s="69">
        <f>IF(Main[[#This Row],[Tech Start Date]]&lt;1/1/1990,"",IF(Main[[#This Row],[Class]]="C",WORKDAY(Main[[#This Row],[Tech Start Date]],23),IF(Main[[#This Row],[Class]]="B", WORKDAY(Main[[#This Row],[Tech Start Date]],15),IF(Main[[#This Row],[Class]]="A",WORKDAY(Main[[#This Row],[Tech Start Date]],5),""))))</f>
        <v>40975</v>
      </c>
      <c r="P83" s="69">
        <f>IF(Main[[#This Row],[Tech Start Date]]&lt;1/1/1990,"",IF(Main[[#This Row],[Class]]="C",WORKDAY(Main[[#This Row],[Tech Start Date]],28),IF(Main[[#This Row],[Class]]="B", WORKDAY(Main[[#This Row],[Tech Start Date]],19),IF(Main[[#This Row],[Class]]="A",WORKDAY(Main[[#This Row],[Tech Start Date]],9),""))))</f>
        <v>40981</v>
      </c>
      <c r="Q83" s="67"/>
      <c r="R83" s="67">
        <v>40989</v>
      </c>
      <c r="S83" s="65" t="s">
        <v>11</v>
      </c>
      <c r="T83" s="70" t="s">
        <v>3904</v>
      </c>
      <c r="U83" s="65" t="s">
        <v>29</v>
      </c>
      <c r="V83" s="65" t="s">
        <v>1917</v>
      </c>
      <c r="W83" s="65" t="s">
        <v>1923</v>
      </c>
      <c r="X83" s="65" t="s">
        <v>2858</v>
      </c>
      <c r="Y83" s="65" t="s">
        <v>2996</v>
      </c>
      <c r="Z83" s="65" t="s">
        <v>129</v>
      </c>
      <c r="AA83" s="65" t="s">
        <v>2858</v>
      </c>
    </row>
    <row r="84" spans="1:27" ht="17.45" customHeight="1">
      <c r="A84" s="131">
        <f>IF(priority(Main[[#This Row],[Comments]])&lt;&gt;0, priority(Main[[#This Row],[Comments]]),"")</f>
        <v>22</v>
      </c>
      <c r="B84" s="99" t="s">
        <v>1683</v>
      </c>
      <c r="C84" s="65" t="s">
        <v>4</v>
      </c>
      <c r="D84" s="66" t="s">
        <v>2313</v>
      </c>
      <c r="E84" s="67">
        <v>40715.570891203701</v>
      </c>
      <c r="F84" s="67"/>
      <c r="G84" s="64" t="str">
        <f>IF(stdProdLT(Main[[#This Row],[Comments]])=0.1,"N/A",IF(stdProdLT(Main[[#This Row],[Comments]])=0,"",stdProdLT(Main[[#This Row],[Comments]])))</f>
        <v>N/A</v>
      </c>
      <c r="H84" s="68" t="str">
        <f>IF(AND(Main[[#This Row],[In Stock Date]]&lt;&gt;"",Main[[#This Row],[Revised Due Date]]&lt;&gt;""),Main[[#This Row],[In Stock Date]]-Main[[#This Row],[Revised Due Date]],"")</f>
        <v/>
      </c>
      <c r="I84" s="65" t="s">
        <v>914</v>
      </c>
      <c r="J84" s="65" t="s">
        <v>52</v>
      </c>
      <c r="K84" s="65" t="s">
        <v>4</v>
      </c>
      <c r="L84" s="67"/>
      <c r="M84" s="69" t="str">
        <f>IF(Main[[#This Row],[Tech Start Date]]&lt;1/1/1990,"",IF(Main[[#This Row],[Class]]="C",WORKDAY(Main[[#This Row],[Tech Start Date]],9),IF(Main[[#This Row],[Class]]="B", WORKDAY(Main[[#This Row],[Tech Start Date]],6),IF(Main[[#This Row],[Class]]="A",WORKDAY(Main[[#This Row],[Tech Start Date]],2),""))))</f>
        <v/>
      </c>
      <c r="N84" s="69" t="str">
        <f>IF(Main[[#This Row],[Tech Start Date]]&lt;1/1/1990,"",IF(Main[[#This Row],[Class]]="C",WORKDAY(Main[[#This Row],[Tech Start Date]],19),IF(Main[[#This Row],[Class]]="B", WORKDAY(Main[[#This Row],[Tech Start Date]],12),IF(Main[[#This Row],[Class]]="A",WORKDAY(Main[[#This Row],[Tech Start Date]],4),""))))</f>
        <v/>
      </c>
      <c r="O84" s="69" t="str">
        <f>IF(Main[[#This Row],[Tech Start Date]]&lt;1/1/1990,"",IF(Main[[#This Row],[Class]]="C",WORKDAY(Main[[#This Row],[Tech Start Date]],23),IF(Main[[#This Row],[Class]]="B", WORKDAY(Main[[#This Row],[Tech Start Date]],15),IF(Main[[#This Row],[Class]]="A",WORKDAY(Main[[#This Row],[Tech Start Date]],5),""))))</f>
        <v/>
      </c>
      <c r="P84" s="69" t="str">
        <f>IF(Main[[#This Row],[Tech Start Date]]&lt;1/1/1990,"",IF(Main[[#This Row],[Class]]="C",WORKDAY(Main[[#This Row],[Tech Start Date]],28),IF(Main[[#This Row],[Class]]="B", WORKDAY(Main[[#This Row],[Tech Start Date]],19),IF(Main[[#This Row],[Class]]="A",WORKDAY(Main[[#This Row],[Tech Start Date]],9),""))))</f>
        <v/>
      </c>
      <c r="Q84" s="67">
        <v>40733</v>
      </c>
      <c r="R84" s="67">
        <v>40756</v>
      </c>
      <c r="S84" s="65" t="s">
        <v>6</v>
      </c>
      <c r="T84" s="70" t="s">
        <v>2568</v>
      </c>
      <c r="U84" s="65" t="s">
        <v>29</v>
      </c>
      <c r="V84" s="65" t="s">
        <v>1917</v>
      </c>
      <c r="W84" s="65" t="s">
        <v>1921</v>
      </c>
      <c r="X84" s="65" t="s">
        <v>2842</v>
      </c>
      <c r="Y84" s="65" t="s">
        <v>2971</v>
      </c>
      <c r="Z84" s="65" t="s">
        <v>4</v>
      </c>
      <c r="AA84" s="65" t="s">
        <v>2842</v>
      </c>
    </row>
    <row r="85" spans="1:27" ht="17.45" customHeight="1">
      <c r="A85" s="131">
        <f>IF(priority(Main[[#This Row],[Comments]])&lt;&gt;0, priority(Main[[#This Row],[Comments]]),"")</f>
        <v>22</v>
      </c>
      <c r="B85" s="99" t="s">
        <v>3906</v>
      </c>
      <c r="C85" s="65" t="s">
        <v>3902</v>
      </c>
      <c r="D85" s="66" t="s">
        <v>3907</v>
      </c>
      <c r="E85" s="67">
        <v>40953.687349537038</v>
      </c>
      <c r="F85" s="67">
        <v>41154</v>
      </c>
      <c r="G85" s="64">
        <f>IF(stdProdLT(Main[[#This Row],[Comments]])=0.1,"N/A",IF(stdProdLT(Main[[#This Row],[Comments]])=0,"",stdProdLT(Main[[#This Row],[Comments]])))</f>
        <v>126</v>
      </c>
      <c r="H85" s="68">
        <f>IF(AND(Main[[#This Row],[In Stock Date]]&lt;&gt;"",Main[[#This Row],[Revised Due Date]]&lt;&gt;""),Main[[#This Row],[In Stock Date]]-Main[[#This Row],[Revised Due Date]],"")</f>
        <v>165</v>
      </c>
      <c r="I85" s="65" t="s">
        <v>914</v>
      </c>
      <c r="J85" s="65" t="s">
        <v>52</v>
      </c>
      <c r="K85" s="65" t="s">
        <v>1924</v>
      </c>
      <c r="L85" s="67">
        <v>40954</v>
      </c>
      <c r="M85" s="69">
        <f>IF(Main[[#This Row],[Tech Start Date]]&lt;1/1/1990,"",IF(Main[[#This Row],[Class]]="C",WORKDAY(Main[[#This Row],[Tech Start Date]],9),IF(Main[[#This Row],[Class]]="B", WORKDAY(Main[[#This Row],[Tech Start Date]],6),IF(Main[[#This Row],[Class]]="A",WORKDAY(Main[[#This Row],[Tech Start Date]],2),""))))</f>
        <v>40962</v>
      </c>
      <c r="N85" s="69">
        <f>IF(Main[[#This Row],[Tech Start Date]]&lt;1/1/1990,"",IF(Main[[#This Row],[Class]]="C",WORKDAY(Main[[#This Row],[Tech Start Date]],19),IF(Main[[#This Row],[Class]]="B", WORKDAY(Main[[#This Row],[Tech Start Date]],12),IF(Main[[#This Row],[Class]]="A",WORKDAY(Main[[#This Row],[Tech Start Date]],4),""))))</f>
        <v>40970</v>
      </c>
      <c r="O85" s="69">
        <f>IF(Main[[#This Row],[Tech Start Date]]&lt;1/1/1990,"",IF(Main[[#This Row],[Class]]="C",WORKDAY(Main[[#This Row],[Tech Start Date]],23),IF(Main[[#This Row],[Class]]="B", WORKDAY(Main[[#This Row],[Tech Start Date]],15),IF(Main[[#This Row],[Class]]="A",WORKDAY(Main[[#This Row],[Tech Start Date]],5),""))))</f>
        <v>40975</v>
      </c>
      <c r="P85" s="69">
        <f>IF(Main[[#This Row],[Tech Start Date]]&lt;1/1/1990,"",IF(Main[[#This Row],[Class]]="C",WORKDAY(Main[[#This Row],[Tech Start Date]],28),IF(Main[[#This Row],[Class]]="B", WORKDAY(Main[[#This Row],[Tech Start Date]],19),IF(Main[[#This Row],[Class]]="A",WORKDAY(Main[[#This Row],[Tech Start Date]],9),""))))</f>
        <v>40981</v>
      </c>
      <c r="Q85" s="67"/>
      <c r="R85" s="67">
        <v>40989</v>
      </c>
      <c r="S85" s="65" t="s">
        <v>11</v>
      </c>
      <c r="T85" s="70" t="s">
        <v>3908</v>
      </c>
      <c r="U85" s="65" t="s">
        <v>29</v>
      </c>
      <c r="V85" s="65" t="s">
        <v>1917</v>
      </c>
      <c r="W85" s="65" t="s">
        <v>1923</v>
      </c>
      <c r="X85" s="65" t="s">
        <v>2858</v>
      </c>
      <c r="Y85" s="65" t="s">
        <v>2996</v>
      </c>
      <c r="Z85" s="65" t="s">
        <v>129</v>
      </c>
      <c r="AA85" s="65" t="s">
        <v>2858</v>
      </c>
    </row>
    <row r="86" spans="1:27" ht="17.45" customHeight="1">
      <c r="A86" s="131">
        <f>IF(priority(Main[[#This Row],[Comments]])&lt;&gt;0, priority(Main[[#This Row],[Comments]]),"")</f>
        <v>23</v>
      </c>
      <c r="B86" s="99" t="s">
        <v>3214</v>
      </c>
      <c r="C86" s="65" t="s">
        <v>3215</v>
      </c>
      <c r="D86" s="66" t="s">
        <v>3380</v>
      </c>
      <c r="E86" s="67">
        <v>40920.494050925925</v>
      </c>
      <c r="F86" s="67">
        <v>41197</v>
      </c>
      <c r="G86" s="64">
        <f>IF(stdProdLT(Main[[#This Row],[Comments]])=0.1,"N/A",IF(stdProdLT(Main[[#This Row],[Comments]])=0,"",stdProdLT(Main[[#This Row],[Comments]])))</f>
        <v>126</v>
      </c>
      <c r="H86" s="68">
        <f>IF(AND(Main[[#This Row],[In Stock Date]]&lt;&gt;"",Main[[#This Row],[Revised Due Date]]&lt;&gt;""),Main[[#This Row],[In Stock Date]]-Main[[#This Row],[Revised Due Date]],"")</f>
        <v>220</v>
      </c>
      <c r="I86" s="65" t="s">
        <v>914</v>
      </c>
      <c r="J86" s="65" t="s">
        <v>52</v>
      </c>
      <c r="K86" s="71" t="s">
        <v>1924</v>
      </c>
      <c r="L86" s="67">
        <v>40921</v>
      </c>
      <c r="M86" s="69">
        <f>IF(Main[[#This Row],[Tech Start Date]]&lt;1/1/1990,"",IF(Main[[#This Row],[Class]]="C",WORKDAY(Main[[#This Row],[Tech Start Date]],9),IF(Main[[#This Row],[Class]]="B", WORKDAY(Main[[#This Row],[Tech Start Date]],6),IF(Main[[#This Row],[Class]]="A",WORKDAY(Main[[#This Row],[Tech Start Date]],2),""))))</f>
        <v>40931</v>
      </c>
      <c r="N86" s="69">
        <f>IF(Main[[#This Row],[Tech Start Date]]&lt;1/1/1990,"",IF(Main[[#This Row],[Class]]="C",WORKDAY(Main[[#This Row],[Tech Start Date]],19),IF(Main[[#This Row],[Class]]="B", WORKDAY(Main[[#This Row],[Tech Start Date]],12),IF(Main[[#This Row],[Class]]="A",WORKDAY(Main[[#This Row],[Tech Start Date]],4),""))))</f>
        <v>40939</v>
      </c>
      <c r="O86" s="69">
        <f>IF(Main[[#This Row],[Tech Start Date]]&lt;1/1/1990,"",IF(Main[[#This Row],[Class]]="C",WORKDAY(Main[[#This Row],[Tech Start Date]],23),IF(Main[[#This Row],[Class]]="B", WORKDAY(Main[[#This Row],[Tech Start Date]],15),IF(Main[[#This Row],[Class]]="A",WORKDAY(Main[[#This Row],[Tech Start Date]],5),""))))</f>
        <v>40942</v>
      </c>
      <c r="P86" s="69">
        <f>IF(Main[[#This Row],[Tech Start Date]]&lt;1/1/1990,"",IF(Main[[#This Row],[Class]]="C",WORKDAY(Main[[#This Row],[Tech Start Date]],28),IF(Main[[#This Row],[Class]]="B", WORKDAY(Main[[#This Row],[Tech Start Date]],19),IF(Main[[#This Row],[Class]]="A",WORKDAY(Main[[#This Row],[Tech Start Date]],9),""))))</f>
        <v>40948</v>
      </c>
      <c r="Q86" s="67">
        <v>41197</v>
      </c>
      <c r="R86" s="67">
        <v>40977</v>
      </c>
      <c r="S86" s="65" t="s">
        <v>11</v>
      </c>
      <c r="T86" s="70" t="s">
        <v>3865</v>
      </c>
      <c r="U86" s="65" t="s">
        <v>29</v>
      </c>
      <c r="V86" s="65" t="s">
        <v>1917</v>
      </c>
      <c r="W86" s="65" t="s">
        <v>1923</v>
      </c>
      <c r="X86" s="65" t="s">
        <v>2858</v>
      </c>
      <c r="Y86" s="65" t="s">
        <v>2996</v>
      </c>
      <c r="Z86" s="65" t="s">
        <v>129</v>
      </c>
      <c r="AA86" s="65" t="s">
        <v>2858</v>
      </c>
    </row>
    <row r="87" spans="1:27" ht="17.45" customHeight="1">
      <c r="A87" s="131">
        <f>IF(priority(Main[[#This Row],[Comments]])&lt;&gt;0, priority(Main[[#This Row],[Comments]]),"")</f>
        <v>23</v>
      </c>
      <c r="B87" s="99" t="s">
        <v>3943</v>
      </c>
      <c r="C87" s="65" t="s">
        <v>33</v>
      </c>
      <c r="D87" s="66" t="s">
        <v>3944</v>
      </c>
      <c r="E87" s="67">
        <v>40953.124837962961</v>
      </c>
      <c r="F87" s="67">
        <v>41000</v>
      </c>
      <c r="G87" s="64" t="str">
        <f>IF(stdProdLT(Main[[#This Row],[Comments]])=0.1,"N/A",IF(stdProdLT(Main[[#This Row],[Comments]])=0,"",stdProdLT(Main[[#This Row],[Comments]])))</f>
        <v>N/A</v>
      </c>
      <c r="H87" s="68">
        <f>IF(AND(Main[[#This Row],[In Stock Date]]&lt;&gt;"",Main[[#This Row],[Revised Due Date]]&lt;&gt;""),Main[[#This Row],[In Stock Date]]-Main[[#This Row],[Revised Due Date]],"")</f>
        <v>33</v>
      </c>
      <c r="I87" s="65" t="s">
        <v>530</v>
      </c>
      <c r="J87" s="65" t="s">
        <v>52</v>
      </c>
      <c r="K87" s="65" t="s">
        <v>1926</v>
      </c>
      <c r="L87" s="67">
        <v>40960</v>
      </c>
      <c r="M87" s="69">
        <f>IF(Main[[#This Row],[Tech Start Date]]&lt;1/1/1990,"",IF(Main[[#This Row],[Class]]="C",WORKDAY(Main[[#This Row],[Tech Start Date]],9),IF(Main[[#This Row],[Class]]="B", WORKDAY(Main[[#This Row],[Tech Start Date]],6),IF(Main[[#This Row],[Class]]="A",WORKDAY(Main[[#This Row],[Tech Start Date]],2),""))))</f>
        <v>40962</v>
      </c>
      <c r="N87" s="69">
        <f>IF(Main[[#This Row],[Tech Start Date]]&lt;1/1/1990,"",IF(Main[[#This Row],[Class]]="C",WORKDAY(Main[[#This Row],[Tech Start Date]],19),IF(Main[[#This Row],[Class]]="B", WORKDAY(Main[[#This Row],[Tech Start Date]],12),IF(Main[[#This Row],[Class]]="A",WORKDAY(Main[[#This Row],[Tech Start Date]],4),""))))</f>
        <v>40966</v>
      </c>
      <c r="O87" s="69">
        <f>IF(Main[[#This Row],[Tech Start Date]]&lt;1/1/1990,"",IF(Main[[#This Row],[Class]]="C",WORKDAY(Main[[#This Row],[Tech Start Date]],23),IF(Main[[#This Row],[Class]]="B", WORKDAY(Main[[#This Row],[Tech Start Date]],15),IF(Main[[#This Row],[Class]]="A",WORKDAY(Main[[#This Row],[Tech Start Date]],5),""))))</f>
        <v>40967</v>
      </c>
      <c r="P87" s="69">
        <f>IF(Main[[#This Row],[Tech Start Date]]&lt;1/1/1990,"",IF(Main[[#This Row],[Class]]="C",WORKDAY(Main[[#This Row],[Tech Start Date]],28),IF(Main[[#This Row],[Class]]="B", WORKDAY(Main[[#This Row],[Tech Start Date]],19),IF(Main[[#This Row],[Class]]="A",WORKDAY(Main[[#This Row],[Tech Start Date]],9),""))))</f>
        <v>40973</v>
      </c>
      <c r="Q87" s="67">
        <v>40967</v>
      </c>
      <c r="R87" s="67">
        <v>40967</v>
      </c>
      <c r="S87" s="65" t="s">
        <v>11</v>
      </c>
      <c r="T87" s="70" t="s">
        <v>3945</v>
      </c>
      <c r="U87" s="65" t="s">
        <v>29</v>
      </c>
      <c r="V87" s="65" t="s">
        <v>1927</v>
      </c>
      <c r="W87" s="65" t="s">
        <v>1922</v>
      </c>
      <c r="X87" s="65" t="s">
        <v>2881</v>
      </c>
      <c r="Y87" s="65" t="s">
        <v>3027</v>
      </c>
      <c r="Z87" s="65" t="s">
        <v>530</v>
      </c>
      <c r="AA87" s="65" t="s">
        <v>2881</v>
      </c>
    </row>
    <row r="88" spans="1:27" ht="17.45" customHeight="1">
      <c r="A88" s="131">
        <f>IF(priority(Main[[#This Row],[Comments]])&lt;&gt;0, priority(Main[[#This Row],[Comments]]),"")</f>
        <v>24</v>
      </c>
      <c r="B88" s="99" t="s">
        <v>1559</v>
      </c>
      <c r="C88" s="65" t="s">
        <v>4</v>
      </c>
      <c r="D88" s="66" t="s">
        <v>2304</v>
      </c>
      <c r="E88" s="67">
        <v>40710.712175925924</v>
      </c>
      <c r="F88" s="67"/>
      <c r="G88" s="64" t="str">
        <f>IF(stdProdLT(Main[[#This Row],[Comments]])=0.1,"N/A",IF(stdProdLT(Main[[#This Row],[Comments]])=0,"",stdProdLT(Main[[#This Row],[Comments]])))</f>
        <v>N/A</v>
      </c>
      <c r="H88" s="68" t="str">
        <f>IF(AND(Main[[#This Row],[In Stock Date]]&lt;&gt;"",Main[[#This Row],[Revised Due Date]]&lt;&gt;""),Main[[#This Row],[In Stock Date]]-Main[[#This Row],[Revised Due Date]],"")</f>
        <v/>
      </c>
      <c r="I88" s="65" t="s">
        <v>914</v>
      </c>
      <c r="J88" s="65" t="s">
        <v>4</v>
      </c>
      <c r="K88" s="65" t="s">
        <v>4</v>
      </c>
      <c r="L88" s="67"/>
      <c r="M88" s="69" t="str">
        <f>IF(Main[[#This Row],[Tech Start Date]]&lt;1/1/1990,"",IF(Main[[#This Row],[Class]]="C",WORKDAY(Main[[#This Row],[Tech Start Date]],9),IF(Main[[#This Row],[Class]]="B", WORKDAY(Main[[#This Row],[Tech Start Date]],6),IF(Main[[#This Row],[Class]]="A",WORKDAY(Main[[#This Row],[Tech Start Date]],2),""))))</f>
        <v/>
      </c>
      <c r="N88" s="69" t="str">
        <f>IF(Main[[#This Row],[Tech Start Date]]&lt;1/1/1990,"",IF(Main[[#This Row],[Class]]="C",WORKDAY(Main[[#This Row],[Tech Start Date]],19),IF(Main[[#This Row],[Class]]="B", WORKDAY(Main[[#This Row],[Tech Start Date]],12),IF(Main[[#This Row],[Class]]="A",WORKDAY(Main[[#This Row],[Tech Start Date]],4),""))))</f>
        <v/>
      </c>
      <c r="O88" s="69" t="str">
        <f>IF(Main[[#This Row],[Tech Start Date]]&lt;1/1/1990,"",IF(Main[[#This Row],[Class]]="C",WORKDAY(Main[[#This Row],[Tech Start Date]],23),IF(Main[[#This Row],[Class]]="B", WORKDAY(Main[[#This Row],[Tech Start Date]],15),IF(Main[[#This Row],[Class]]="A",WORKDAY(Main[[#This Row],[Tech Start Date]],5),""))))</f>
        <v/>
      </c>
      <c r="P88" s="69" t="str">
        <f>IF(Main[[#This Row],[Tech Start Date]]&lt;1/1/1990,"",IF(Main[[#This Row],[Class]]="C",WORKDAY(Main[[#This Row],[Tech Start Date]],28),IF(Main[[#This Row],[Class]]="B", WORKDAY(Main[[#This Row],[Tech Start Date]],19),IF(Main[[#This Row],[Class]]="A",WORKDAY(Main[[#This Row],[Tech Start Date]],9),""))))</f>
        <v/>
      </c>
      <c r="Q88" s="67"/>
      <c r="R88" s="67">
        <v>40756</v>
      </c>
      <c r="S88" s="65" t="s">
        <v>6</v>
      </c>
      <c r="T88" s="70" t="s">
        <v>2266</v>
      </c>
      <c r="U88" s="65" t="s">
        <v>29</v>
      </c>
      <c r="V88" s="65" t="s">
        <v>1917</v>
      </c>
      <c r="W88" s="65" t="s">
        <v>1921</v>
      </c>
      <c r="X88" s="65" t="s">
        <v>2872</v>
      </c>
      <c r="Y88" s="65" t="s">
        <v>3006</v>
      </c>
      <c r="Z88" s="65" t="s">
        <v>4</v>
      </c>
      <c r="AA88" s="65" t="s">
        <v>2872</v>
      </c>
    </row>
    <row r="89" spans="1:27" ht="17.45" customHeight="1">
      <c r="A89" s="131">
        <f>IF(priority(Main[[#This Row],[Comments]])&lt;&gt;0, priority(Main[[#This Row],[Comments]]),"")</f>
        <v>24</v>
      </c>
      <c r="B89" s="99" t="s">
        <v>3378</v>
      </c>
      <c r="C89" s="65" t="s">
        <v>2680</v>
      </c>
      <c r="D89" s="66" t="s">
        <v>3891</v>
      </c>
      <c r="E89" s="67">
        <v>40939.753379629627</v>
      </c>
      <c r="F89" s="67">
        <v>41013</v>
      </c>
      <c r="G89" s="64" t="str">
        <f>IF(stdProdLT(Main[[#This Row],[Comments]])=0.1,"N/A",IF(stdProdLT(Main[[#This Row],[Comments]])=0,"",stdProdLT(Main[[#This Row],[Comments]])))</f>
        <v>N/A</v>
      </c>
      <c r="H89" s="68">
        <f>IF(AND(Main[[#This Row],[In Stock Date]]&lt;&gt;"",Main[[#This Row],[Revised Due Date]]&lt;&gt;""),Main[[#This Row],[In Stock Date]]-Main[[#This Row],[Revised Due Date]],"")</f>
        <v>46</v>
      </c>
      <c r="I89" s="65" t="s">
        <v>2211</v>
      </c>
      <c r="J89" s="65" t="s">
        <v>75</v>
      </c>
      <c r="K89" s="65" t="s">
        <v>1926</v>
      </c>
      <c r="L89" s="67">
        <v>40946</v>
      </c>
      <c r="M89" s="69">
        <f>IF(Main[[#This Row],[Tech Start Date]]&lt;1/1/1990,"",IF(Main[[#This Row],[Class]]="C",WORKDAY(Main[[#This Row],[Tech Start Date]],9),IF(Main[[#This Row],[Class]]="B", WORKDAY(Main[[#This Row],[Tech Start Date]],6),IF(Main[[#This Row],[Class]]="A",WORKDAY(Main[[#This Row],[Tech Start Date]],2),""))))</f>
        <v>40948</v>
      </c>
      <c r="N89" s="69">
        <f>IF(Main[[#This Row],[Tech Start Date]]&lt;1/1/1990,"",IF(Main[[#This Row],[Class]]="C",WORKDAY(Main[[#This Row],[Tech Start Date]],19),IF(Main[[#This Row],[Class]]="B", WORKDAY(Main[[#This Row],[Tech Start Date]],12),IF(Main[[#This Row],[Class]]="A",WORKDAY(Main[[#This Row],[Tech Start Date]],4),""))))</f>
        <v>40952</v>
      </c>
      <c r="O89" s="69">
        <f>IF(Main[[#This Row],[Tech Start Date]]&lt;1/1/1990,"",IF(Main[[#This Row],[Class]]="C",WORKDAY(Main[[#This Row],[Tech Start Date]],23),IF(Main[[#This Row],[Class]]="B", WORKDAY(Main[[#This Row],[Tech Start Date]],15),IF(Main[[#This Row],[Class]]="A",WORKDAY(Main[[#This Row],[Tech Start Date]],5),""))))</f>
        <v>40953</v>
      </c>
      <c r="P89" s="69">
        <f>IF(Main[[#This Row],[Tech Start Date]]&lt;1/1/1990,"",IF(Main[[#This Row],[Class]]="C",WORKDAY(Main[[#This Row],[Tech Start Date]],28),IF(Main[[#This Row],[Class]]="B", WORKDAY(Main[[#This Row],[Tech Start Date]],19),IF(Main[[#This Row],[Class]]="A",WORKDAY(Main[[#This Row],[Tech Start Date]],9),""))))</f>
        <v>40959</v>
      </c>
      <c r="Q89" s="67">
        <v>40915</v>
      </c>
      <c r="R89" s="67">
        <v>40967</v>
      </c>
      <c r="S89" s="65" t="s">
        <v>11</v>
      </c>
      <c r="T89" s="70" t="s">
        <v>3892</v>
      </c>
      <c r="U89" s="65" t="s">
        <v>29</v>
      </c>
      <c r="V89" s="65" t="s">
        <v>1927</v>
      </c>
      <c r="W89" s="65" t="s">
        <v>1925</v>
      </c>
      <c r="X89" s="65" t="s">
        <v>3379</v>
      </c>
      <c r="Y89" s="65" t="s">
        <v>4</v>
      </c>
      <c r="Z89" s="65" t="s">
        <v>530</v>
      </c>
      <c r="AA89" s="65" t="s">
        <v>3379</v>
      </c>
    </row>
    <row r="90" spans="1:27" ht="17.45" customHeight="1">
      <c r="A90" s="131">
        <f>IF(priority(Main[[#This Row],[Comments]])&lt;&gt;0, priority(Main[[#This Row],[Comments]]),"")</f>
        <v>24</v>
      </c>
      <c r="B90" s="99" t="s">
        <v>3924</v>
      </c>
      <c r="C90" s="65" t="s">
        <v>3925</v>
      </c>
      <c r="D90" s="66" t="s">
        <v>3926</v>
      </c>
      <c r="E90" s="67">
        <v>40953.469097222223</v>
      </c>
      <c r="F90" s="67">
        <v>41183</v>
      </c>
      <c r="G90" s="64">
        <f>IF(stdProdLT(Main[[#This Row],[Comments]])=0.1,"N/A",IF(stdProdLT(Main[[#This Row],[Comments]])=0,"",stdProdLT(Main[[#This Row],[Comments]])))</f>
        <v>84</v>
      </c>
      <c r="H90" s="68">
        <f>IF(AND(Main[[#This Row],[In Stock Date]]&lt;&gt;"",Main[[#This Row],[Revised Due Date]]&lt;&gt;""),Main[[#This Row],[In Stock Date]]-Main[[#This Row],[Revised Due Date]],"")</f>
        <v>209</v>
      </c>
      <c r="I90" s="65" t="s">
        <v>939</v>
      </c>
      <c r="J90" s="65" t="s">
        <v>28</v>
      </c>
      <c r="K90" s="65" t="s">
        <v>1926</v>
      </c>
      <c r="L90" s="67">
        <v>40959</v>
      </c>
      <c r="M90" s="69">
        <f>IF(Main[[#This Row],[Tech Start Date]]&lt;1/1/1990,"",IF(Main[[#This Row],[Class]]="C",WORKDAY(Main[[#This Row],[Tech Start Date]],9),IF(Main[[#This Row],[Class]]="B", WORKDAY(Main[[#This Row],[Tech Start Date]],6),IF(Main[[#This Row],[Class]]="A",WORKDAY(Main[[#This Row],[Tech Start Date]],2),""))))</f>
        <v>40961</v>
      </c>
      <c r="N90" s="69">
        <f>IF(Main[[#This Row],[Tech Start Date]]&lt;1/1/1990,"",IF(Main[[#This Row],[Class]]="C",WORKDAY(Main[[#This Row],[Tech Start Date]],19),IF(Main[[#This Row],[Class]]="B", WORKDAY(Main[[#This Row],[Tech Start Date]],12),IF(Main[[#This Row],[Class]]="A",WORKDAY(Main[[#This Row],[Tech Start Date]],4),""))))</f>
        <v>40963</v>
      </c>
      <c r="O90" s="69">
        <f>IF(Main[[#This Row],[Tech Start Date]]&lt;1/1/1990,"",IF(Main[[#This Row],[Class]]="C",WORKDAY(Main[[#This Row],[Tech Start Date]],23),IF(Main[[#This Row],[Class]]="B", WORKDAY(Main[[#This Row],[Tech Start Date]],15),IF(Main[[#This Row],[Class]]="A",WORKDAY(Main[[#This Row],[Tech Start Date]],5),""))))</f>
        <v>40966</v>
      </c>
      <c r="P90" s="69">
        <f>IF(Main[[#This Row],[Tech Start Date]]&lt;1/1/1990,"",IF(Main[[#This Row],[Class]]="C",WORKDAY(Main[[#This Row],[Tech Start Date]],28),IF(Main[[#This Row],[Class]]="B", WORKDAY(Main[[#This Row],[Tech Start Date]],19),IF(Main[[#This Row],[Class]]="A",WORKDAY(Main[[#This Row],[Tech Start Date]],9),""))))</f>
        <v>40970</v>
      </c>
      <c r="Q90" s="67"/>
      <c r="R90" s="67">
        <v>40974</v>
      </c>
      <c r="S90" s="65" t="s">
        <v>11</v>
      </c>
      <c r="T90" s="70" t="s">
        <v>3927</v>
      </c>
      <c r="U90" s="65" t="s">
        <v>534</v>
      </c>
      <c r="V90" s="65" t="s">
        <v>1917</v>
      </c>
      <c r="W90" s="65" t="s">
        <v>1922</v>
      </c>
      <c r="X90" s="65" t="s">
        <v>2823</v>
      </c>
      <c r="Y90" s="65" t="s">
        <v>3136</v>
      </c>
      <c r="Z90" s="65" t="s">
        <v>129</v>
      </c>
      <c r="AA90" s="65" t="s">
        <v>2823</v>
      </c>
    </row>
    <row r="91" spans="1:27" ht="17.45" customHeight="1">
      <c r="A91" s="131">
        <f>IF(priority(Main[[#This Row],[Comments]])&lt;&gt;0, priority(Main[[#This Row],[Comments]]),"")</f>
        <v>25</v>
      </c>
      <c r="B91" s="99" t="s">
        <v>3241</v>
      </c>
      <c r="C91" s="65" t="s">
        <v>2774</v>
      </c>
      <c r="D91" s="66" t="s">
        <v>2817</v>
      </c>
      <c r="E91" s="67"/>
      <c r="F91" s="67"/>
      <c r="G91" s="64">
        <f>IF(stdProdLT(Main[[#This Row],[Comments]])=0.1,"N/A",IF(stdProdLT(Main[[#This Row],[Comments]])=0,"",stdProdLT(Main[[#This Row],[Comments]])))</f>
        <v>98</v>
      </c>
      <c r="H91" s="68" t="str">
        <f>IF(AND(Main[[#This Row],[In Stock Date]]&lt;&gt;"",Main[[#This Row],[Revised Due Date]]&lt;&gt;""),Main[[#This Row],[In Stock Date]]-Main[[#This Row],[Revised Due Date]],"")</f>
        <v/>
      </c>
      <c r="I91" s="65" t="s">
        <v>4</v>
      </c>
      <c r="J91" s="65" t="s">
        <v>4</v>
      </c>
      <c r="K91" s="65" t="s">
        <v>4</v>
      </c>
      <c r="L91" s="67"/>
      <c r="M91" s="69" t="str">
        <f>IF(Main[[#This Row],[Tech Start Date]]&lt;1/1/1990,"",IF(Main[[#This Row],[Class]]="C",WORKDAY(Main[[#This Row],[Tech Start Date]],9),IF(Main[[#This Row],[Class]]="B", WORKDAY(Main[[#This Row],[Tech Start Date]],6),IF(Main[[#This Row],[Class]]="A",WORKDAY(Main[[#This Row],[Tech Start Date]],2),""))))</f>
        <v/>
      </c>
      <c r="N91" s="69" t="str">
        <f>IF(Main[[#This Row],[Tech Start Date]]&lt;1/1/1990,"",IF(Main[[#This Row],[Class]]="C",WORKDAY(Main[[#This Row],[Tech Start Date]],19),IF(Main[[#This Row],[Class]]="B", WORKDAY(Main[[#This Row],[Tech Start Date]],12),IF(Main[[#This Row],[Class]]="A",WORKDAY(Main[[#This Row],[Tech Start Date]],4),""))))</f>
        <v/>
      </c>
      <c r="O91" s="69" t="str">
        <f>IF(Main[[#This Row],[Tech Start Date]]&lt;1/1/1990,"",IF(Main[[#This Row],[Class]]="C",WORKDAY(Main[[#This Row],[Tech Start Date]],23),IF(Main[[#This Row],[Class]]="B", WORKDAY(Main[[#This Row],[Tech Start Date]],15),IF(Main[[#This Row],[Class]]="A",WORKDAY(Main[[#This Row],[Tech Start Date]],5),""))))</f>
        <v/>
      </c>
      <c r="P91" s="69" t="str">
        <f>IF(Main[[#This Row],[Tech Start Date]]&lt;1/1/1990,"",IF(Main[[#This Row],[Class]]="C",WORKDAY(Main[[#This Row],[Tech Start Date]],28),IF(Main[[#This Row],[Class]]="B", WORKDAY(Main[[#This Row],[Tech Start Date]],19),IF(Main[[#This Row],[Class]]="A",WORKDAY(Main[[#This Row],[Tech Start Date]],9),""))))</f>
        <v/>
      </c>
      <c r="Q91" s="67">
        <v>40889</v>
      </c>
      <c r="R91" s="67"/>
      <c r="S91" s="65" t="s">
        <v>11</v>
      </c>
      <c r="T91" s="70" t="s">
        <v>3234</v>
      </c>
      <c r="U91" s="65" t="s">
        <v>12</v>
      </c>
      <c r="V91" s="65" t="s">
        <v>1917</v>
      </c>
      <c r="W91" s="65" t="s">
        <v>1923</v>
      </c>
      <c r="X91" s="65" t="s">
        <v>3242</v>
      </c>
      <c r="Y91" s="65" t="s">
        <v>4</v>
      </c>
      <c r="Z91" s="65" t="s">
        <v>4</v>
      </c>
      <c r="AA91" s="65" t="s">
        <v>2860</v>
      </c>
    </row>
    <row r="92" spans="1:27" ht="17.45" customHeight="1">
      <c r="A92" s="131">
        <f>IF(priority(Main[[#This Row],[Comments]])&lt;&gt;0, priority(Main[[#This Row],[Comments]]),"")</f>
        <v>26</v>
      </c>
      <c r="B92" s="99" t="s">
        <v>2697</v>
      </c>
      <c r="C92" s="65" t="s">
        <v>2698</v>
      </c>
      <c r="D92" s="66" t="s">
        <v>3240</v>
      </c>
      <c r="E92" s="67">
        <v>40899.118032407408</v>
      </c>
      <c r="F92" s="67">
        <v>41122</v>
      </c>
      <c r="G92" s="64">
        <f>IF(stdProdLT(Main[[#This Row],[Comments]])=0.1,"N/A",IF(stdProdLT(Main[[#This Row],[Comments]])=0,"",stdProdLT(Main[[#This Row],[Comments]])))</f>
        <v>84</v>
      </c>
      <c r="H92" s="68">
        <f>IF(AND(Main[[#This Row],[In Stock Date]]&lt;&gt;"",Main[[#This Row],[Revised Due Date]]&lt;&gt;""),Main[[#This Row],[In Stock Date]]-Main[[#This Row],[Revised Due Date]],"")</f>
        <v>138</v>
      </c>
      <c r="I92" s="65" t="s">
        <v>896</v>
      </c>
      <c r="J92" s="65" t="s">
        <v>52</v>
      </c>
      <c r="K92" s="65" t="s">
        <v>1930</v>
      </c>
      <c r="L92" s="67"/>
      <c r="M92" s="69" t="str">
        <f>IF(Main[[#This Row],[Tech Start Date]]&lt;1/1/1990,"",IF(Main[[#This Row],[Class]]="C",WORKDAY(Main[[#This Row],[Tech Start Date]],9),IF(Main[[#This Row],[Class]]="B", WORKDAY(Main[[#This Row],[Tech Start Date]],6),IF(Main[[#This Row],[Class]]="A",WORKDAY(Main[[#This Row],[Tech Start Date]],2),""))))</f>
        <v/>
      </c>
      <c r="N92" s="69" t="str">
        <f>IF(Main[[#This Row],[Tech Start Date]]&lt;1/1/1990,"",IF(Main[[#This Row],[Class]]="C",WORKDAY(Main[[#This Row],[Tech Start Date]],19),IF(Main[[#This Row],[Class]]="B", WORKDAY(Main[[#This Row],[Tech Start Date]],12),IF(Main[[#This Row],[Class]]="A",WORKDAY(Main[[#This Row],[Tech Start Date]],4),""))))</f>
        <v/>
      </c>
      <c r="O92" s="69" t="str">
        <f>IF(Main[[#This Row],[Tech Start Date]]&lt;1/1/1990,"",IF(Main[[#This Row],[Class]]="C",WORKDAY(Main[[#This Row],[Tech Start Date]],23),IF(Main[[#This Row],[Class]]="B", WORKDAY(Main[[#This Row],[Tech Start Date]],15),IF(Main[[#This Row],[Class]]="A",WORKDAY(Main[[#This Row],[Tech Start Date]],5),""))))</f>
        <v/>
      </c>
      <c r="P92" s="69" t="str">
        <f>IF(Main[[#This Row],[Tech Start Date]]&lt;1/1/1990,"",IF(Main[[#This Row],[Class]]="C",WORKDAY(Main[[#This Row],[Tech Start Date]],28),IF(Main[[#This Row],[Class]]="B", WORKDAY(Main[[#This Row],[Tech Start Date]],19),IF(Main[[#This Row],[Class]]="A",WORKDAY(Main[[#This Row],[Tech Start Date]],9),""))))</f>
        <v/>
      </c>
      <c r="Q92" s="67">
        <v>40960</v>
      </c>
      <c r="R92" s="67">
        <v>40984</v>
      </c>
      <c r="S92" s="65" t="s">
        <v>11</v>
      </c>
      <c r="T92" s="70" t="s">
        <v>3614</v>
      </c>
      <c r="U92" s="65" t="s">
        <v>29</v>
      </c>
      <c r="V92" s="65" t="s">
        <v>1917</v>
      </c>
      <c r="W92" s="65" t="s">
        <v>1923</v>
      </c>
      <c r="X92" s="65" t="s">
        <v>2841</v>
      </c>
      <c r="Y92" s="65" t="s">
        <v>4</v>
      </c>
      <c r="Z92" s="65" t="s">
        <v>914</v>
      </c>
      <c r="AA92" s="65" t="s">
        <v>2841</v>
      </c>
    </row>
    <row r="93" spans="1:27" ht="17.45" customHeight="1">
      <c r="A93" s="131">
        <f>IF(priority(Main[[#This Row],[Comments]])&lt;&gt;0, priority(Main[[#This Row],[Comments]]),"")</f>
        <v>26</v>
      </c>
      <c r="B93" s="99" t="s">
        <v>1462</v>
      </c>
      <c r="C93" s="65" t="s">
        <v>4</v>
      </c>
      <c r="D93" s="66" t="s">
        <v>2317</v>
      </c>
      <c r="E93" s="67">
        <v>40702.622164351851</v>
      </c>
      <c r="F93" s="67"/>
      <c r="G93" s="64" t="str">
        <f>IF(stdProdLT(Main[[#This Row],[Comments]])=0.1,"N/A",IF(stdProdLT(Main[[#This Row],[Comments]])=0,"",stdProdLT(Main[[#This Row],[Comments]])))</f>
        <v>N/A</v>
      </c>
      <c r="H93" s="68" t="str">
        <f>IF(AND(Main[[#This Row],[In Stock Date]]&lt;&gt;"",Main[[#This Row],[Revised Due Date]]&lt;&gt;""),Main[[#This Row],[In Stock Date]]-Main[[#This Row],[Revised Due Date]],"")</f>
        <v/>
      </c>
      <c r="I93" s="65" t="s">
        <v>914</v>
      </c>
      <c r="J93" s="65" t="s">
        <v>52</v>
      </c>
      <c r="K93" s="65" t="s">
        <v>4</v>
      </c>
      <c r="L93" s="67"/>
      <c r="M93" s="69" t="str">
        <f>IF(Main[[#This Row],[Tech Start Date]]&lt;1/1/1990,"",IF(Main[[#This Row],[Class]]="C",WORKDAY(Main[[#This Row],[Tech Start Date]],9),IF(Main[[#This Row],[Class]]="B", WORKDAY(Main[[#This Row],[Tech Start Date]],6),IF(Main[[#This Row],[Class]]="A",WORKDAY(Main[[#This Row],[Tech Start Date]],2),""))))</f>
        <v/>
      </c>
      <c r="N93" s="69" t="str">
        <f>IF(Main[[#This Row],[Tech Start Date]]&lt;1/1/1990,"",IF(Main[[#This Row],[Class]]="C",WORKDAY(Main[[#This Row],[Tech Start Date]],19),IF(Main[[#This Row],[Class]]="B", WORKDAY(Main[[#This Row],[Tech Start Date]],12),IF(Main[[#This Row],[Class]]="A",WORKDAY(Main[[#This Row],[Tech Start Date]],4),""))))</f>
        <v/>
      </c>
      <c r="O93" s="69" t="str">
        <f>IF(Main[[#This Row],[Tech Start Date]]&lt;1/1/1990,"",IF(Main[[#This Row],[Class]]="C",WORKDAY(Main[[#This Row],[Tech Start Date]],23),IF(Main[[#This Row],[Class]]="B", WORKDAY(Main[[#This Row],[Tech Start Date]],15),IF(Main[[#This Row],[Class]]="A",WORKDAY(Main[[#This Row],[Tech Start Date]],5),""))))</f>
        <v/>
      </c>
      <c r="P93" s="69" t="str">
        <f>IF(Main[[#This Row],[Tech Start Date]]&lt;1/1/1990,"",IF(Main[[#This Row],[Class]]="C",WORKDAY(Main[[#This Row],[Tech Start Date]],28),IF(Main[[#This Row],[Class]]="B", WORKDAY(Main[[#This Row],[Tech Start Date]],19),IF(Main[[#This Row],[Class]]="A",WORKDAY(Main[[#This Row],[Tech Start Date]],9),""))))</f>
        <v/>
      </c>
      <c r="Q93" s="67"/>
      <c r="R93" s="67">
        <v>40756</v>
      </c>
      <c r="S93" s="65" t="s">
        <v>6</v>
      </c>
      <c r="T93" s="70" t="s">
        <v>2265</v>
      </c>
      <c r="U93" s="65" t="s">
        <v>29</v>
      </c>
      <c r="V93" s="65" t="s">
        <v>1917</v>
      </c>
      <c r="W93" s="65" t="s">
        <v>1921</v>
      </c>
      <c r="X93" s="65" t="s">
        <v>914</v>
      </c>
      <c r="Y93" s="65" t="s">
        <v>3063</v>
      </c>
      <c r="Z93" s="65" t="s">
        <v>4</v>
      </c>
      <c r="AA93" s="65" t="s">
        <v>914</v>
      </c>
    </row>
    <row r="94" spans="1:27" ht="17.45" customHeight="1">
      <c r="A94" s="131">
        <f>IF(priority(Main[[#This Row],[Comments]])&lt;&gt;0, priority(Main[[#This Row],[Comments]]),"")</f>
        <v>26</v>
      </c>
      <c r="B94" s="99" t="s">
        <v>1907</v>
      </c>
      <c r="C94" s="65" t="s">
        <v>956</v>
      </c>
      <c r="D94" s="66" t="s">
        <v>2024</v>
      </c>
      <c r="E94" s="67"/>
      <c r="F94" s="67"/>
      <c r="G94" s="64">
        <f>IF(stdProdLT(Main[[#This Row],[Comments]])=0.1,"N/A",IF(stdProdLT(Main[[#This Row],[Comments]])=0,"",stdProdLT(Main[[#This Row],[Comments]])))</f>
        <v>112</v>
      </c>
      <c r="H94" s="68" t="str">
        <f>IF(AND(Main[[#This Row],[In Stock Date]]&lt;&gt;"",Main[[#This Row],[Revised Due Date]]&lt;&gt;""),Main[[#This Row],[In Stock Date]]-Main[[#This Row],[Revised Due Date]],"")</f>
        <v/>
      </c>
      <c r="I94" s="65" t="s">
        <v>4</v>
      </c>
      <c r="J94" s="65" t="s">
        <v>52</v>
      </c>
      <c r="K94" s="65" t="s">
        <v>1930</v>
      </c>
      <c r="L94" s="67">
        <v>40694</v>
      </c>
      <c r="M94" s="69">
        <f>IF(Main[[#This Row],[Tech Start Date]]&lt;1/1/1990,"",IF(Main[[#This Row],[Class]]="C",WORKDAY(Main[[#This Row],[Tech Start Date]],9),IF(Main[[#This Row],[Class]]="B", WORKDAY(Main[[#This Row],[Tech Start Date]],6),IF(Main[[#This Row],[Class]]="A",WORKDAY(Main[[#This Row],[Tech Start Date]],2),""))))</f>
        <v>40707</v>
      </c>
      <c r="N94" s="69">
        <f>IF(Main[[#This Row],[Tech Start Date]]&lt;1/1/1990,"",IF(Main[[#This Row],[Class]]="C",WORKDAY(Main[[#This Row],[Tech Start Date]],19),IF(Main[[#This Row],[Class]]="B", WORKDAY(Main[[#This Row],[Tech Start Date]],12),IF(Main[[#This Row],[Class]]="A",WORKDAY(Main[[#This Row],[Tech Start Date]],4),""))))</f>
        <v>40721</v>
      </c>
      <c r="O94" s="69">
        <f>IF(Main[[#This Row],[Tech Start Date]]&lt;1/1/1990,"",IF(Main[[#This Row],[Class]]="C",WORKDAY(Main[[#This Row],[Tech Start Date]],23),IF(Main[[#This Row],[Class]]="B", WORKDAY(Main[[#This Row],[Tech Start Date]],15),IF(Main[[#This Row],[Class]]="A",WORKDAY(Main[[#This Row],[Tech Start Date]],5),""))))</f>
        <v>40725</v>
      </c>
      <c r="P94" s="69">
        <f>IF(Main[[#This Row],[Tech Start Date]]&lt;1/1/1990,"",IF(Main[[#This Row],[Class]]="C",WORKDAY(Main[[#This Row],[Tech Start Date]],28),IF(Main[[#This Row],[Class]]="B", WORKDAY(Main[[#This Row],[Tech Start Date]],19),IF(Main[[#This Row],[Class]]="A",WORKDAY(Main[[#This Row],[Tech Start Date]],9),""))))</f>
        <v>40732</v>
      </c>
      <c r="Q94" s="67">
        <v>40723</v>
      </c>
      <c r="R94" s="67">
        <v>40753</v>
      </c>
      <c r="S94" s="65" t="s">
        <v>11</v>
      </c>
      <c r="T94" s="70" t="s">
        <v>2006</v>
      </c>
      <c r="U94" s="65" t="s">
        <v>14</v>
      </c>
      <c r="V94" s="65" t="s">
        <v>1917</v>
      </c>
      <c r="W94" s="65" t="s">
        <v>1919</v>
      </c>
      <c r="X94" s="65" t="s">
        <v>2889</v>
      </c>
      <c r="Y94" s="65" t="s">
        <v>3158</v>
      </c>
      <c r="Z94" s="65" t="s">
        <v>3166</v>
      </c>
      <c r="AA94" s="65" t="s">
        <v>2889</v>
      </c>
    </row>
    <row r="95" spans="1:27" ht="17.45" customHeight="1">
      <c r="A95" s="131">
        <f>IF(priority(Main[[#This Row],[Comments]])&lt;&gt;0, priority(Main[[#This Row],[Comments]]),"")</f>
        <v>26</v>
      </c>
      <c r="B95" s="99" t="s">
        <v>1437</v>
      </c>
      <c r="C95" s="65" t="s">
        <v>131</v>
      </c>
      <c r="D95" s="66" t="s">
        <v>2008</v>
      </c>
      <c r="E95" s="67"/>
      <c r="F95" s="67">
        <v>40939</v>
      </c>
      <c r="G95" s="64">
        <f>IF(stdProdLT(Main[[#This Row],[Comments]])=0.1,"N/A",IF(stdProdLT(Main[[#This Row],[Comments]])=0,"",stdProdLT(Main[[#This Row],[Comments]])))</f>
        <v>126</v>
      </c>
      <c r="H95" s="68">
        <f>IF(AND(Main[[#This Row],[In Stock Date]]&lt;&gt;"",Main[[#This Row],[Revised Due Date]]&lt;&gt;""),Main[[#This Row],[In Stock Date]]-Main[[#This Row],[Revised Due Date]],"")</f>
        <v>154</v>
      </c>
      <c r="I95" s="65" t="s">
        <v>126</v>
      </c>
      <c r="J95" s="65" t="s">
        <v>28</v>
      </c>
      <c r="K95" s="65" t="s">
        <v>1930</v>
      </c>
      <c r="L95" s="67">
        <v>40736</v>
      </c>
      <c r="M95" s="69">
        <f>IF(Main[[#This Row],[Tech Start Date]]&lt;1/1/1990,"",IF(Main[[#This Row],[Class]]="C",WORKDAY(Main[[#This Row],[Tech Start Date]],9),IF(Main[[#This Row],[Class]]="B", WORKDAY(Main[[#This Row],[Tech Start Date]],6),IF(Main[[#This Row],[Class]]="A",WORKDAY(Main[[#This Row],[Tech Start Date]],2),""))))</f>
        <v>40749</v>
      </c>
      <c r="N95" s="69">
        <f>IF(Main[[#This Row],[Tech Start Date]]&lt;1/1/1990,"",IF(Main[[#This Row],[Class]]="C",WORKDAY(Main[[#This Row],[Tech Start Date]],19),IF(Main[[#This Row],[Class]]="B", WORKDAY(Main[[#This Row],[Tech Start Date]],12),IF(Main[[#This Row],[Class]]="A",WORKDAY(Main[[#This Row],[Tech Start Date]],4),""))))</f>
        <v>40763</v>
      </c>
      <c r="O95" s="69">
        <f>IF(Main[[#This Row],[Tech Start Date]]&lt;1/1/1990,"",IF(Main[[#This Row],[Class]]="C",WORKDAY(Main[[#This Row],[Tech Start Date]],23),IF(Main[[#This Row],[Class]]="B", WORKDAY(Main[[#This Row],[Tech Start Date]],15),IF(Main[[#This Row],[Class]]="A",WORKDAY(Main[[#This Row],[Tech Start Date]],5),""))))</f>
        <v>40767</v>
      </c>
      <c r="P95" s="69">
        <f>IF(Main[[#This Row],[Tech Start Date]]&lt;1/1/1990,"",IF(Main[[#This Row],[Class]]="C",WORKDAY(Main[[#This Row],[Tech Start Date]],28),IF(Main[[#This Row],[Class]]="B", WORKDAY(Main[[#This Row],[Tech Start Date]],19),IF(Main[[#This Row],[Class]]="A",WORKDAY(Main[[#This Row],[Tech Start Date]],9),""))))</f>
        <v>40774</v>
      </c>
      <c r="Q95" s="67">
        <v>40799</v>
      </c>
      <c r="R95" s="67">
        <v>40785</v>
      </c>
      <c r="S95" s="65" t="s">
        <v>11</v>
      </c>
      <c r="T95" s="70" t="s">
        <v>2009</v>
      </c>
      <c r="U95" s="65" t="s">
        <v>14</v>
      </c>
      <c r="V95" s="65" t="s">
        <v>1917</v>
      </c>
      <c r="W95" s="65" t="s">
        <v>1928</v>
      </c>
      <c r="X95" s="65" t="s">
        <v>2858</v>
      </c>
      <c r="Y95" s="65" t="s">
        <v>3140</v>
      </c>
      <c r="Z95" s="65" t="s">
        <v>129</v>
      </c>
      <c r="AA95" s="65" t="s">
        <v>2858</v>
      </c>
    </row>
    <row r="96" spans="1:27" ht="17.45" customHeight="1">
      <c r="A96" s="131">
        <f>IF(priority(Main[[#This Row],[Comments]])&lt;&gt;0, priority(Main[[#This Row],[Comments]]),"")</f>
        <v>27</v>
      </c>
      <c r="B96" s="99" t="s">
        <v>3931</v>
      </c>
      <c r="C96" s="65" t="s">
        <v>3921</v>
      </c>
      <c r="D96" s="66" t="s">
        <v>3932</v>
      </c>
      <c r="E96" s="67">
        <v>40955.592650462961</v>
      </c>
      <c r="F96" s="67">
        <v>41173</v>
      </c>
      <c r="G96" s="64">
        <f>IF(stdProdLT(Main[[#This Row],[Comments]])=0.1,"N/A",IF(stdProdLT(Main[[#This Row],[Comments]])=0,"",stdProdLT(Main[[#This Row],[Comments]])))</f>
        <v>126</v>
      </c>
      <c r="H96" s="68">
        <f>IF(AND(Main[[#This Row],[In Stock Date]]&lt;&gt;"",Main[[#This Row],[Revised Due Date]]&lt;&gt;""),Main[[#This Row],[In Stock Date]]-Main[[#This Row],[Revised Due Date]],"")</f>
        <v>179</v>
      </c>
      <c r="I96" s="65" t="s">
        <v>562</v>
      </c>
      <c r="J96" s="65" t="s">
        <v>28</v>
      </c>
      <c r="K96" s="65" t="s">
        <v>1924</v>
      </c>
      <c r="L96" s="67">
        <v>40959</v>
      </c>
      <c r="M96" s="69">
        <f>IF(Main[[#This Row],[Tech Start Date]]&lt;1/1/1990,"",IF(Main[[#This Row],[Class]]="C",WORKDAY(Main[[#This Row],[Tech Start Date]],9),IF(Main[[#This Row],[Class]]="B", WORKDAY(Main[[#This Row],[Tech Start Date]],6),IF(Main[[#This Row],[Class]]="A",WORKDAY(Main[[#This Row],[Tech Start Date]],2),""))))</f>
        <v>40967</v>
      </c>
      <c r="N96" s="69">
        <f>IF(Main[[#This Row],[Tech Start Date]]&lt;1/1/1990,"",IF(Main[[#This Row],[Class]]="C",WORKDAY(Main[[#This Row],[Tech Start Date]],19),IF(Main[[#This Row],[Class]]="B", WORKDAY(Main[[#This Row],[Tech Start Date]],12),IF(Main[[#This Row],[Class]]="A",WORKDAY(Main[[#This Row],[Tech Start Date]],4),""))))</f>
        <v>40975</v>
      </c>
      <c r="O96" s="69">
        <f>IF(Main[[#This Row],[Tech Start Date]]&lt;1/1/1990,"",IF(Main[[#This Row],[Class]]="C",WORKDAY(Main[[#This Row],[Tech Start Date]],23),IF(Main[[#This Row],[Class]]="B", WORKDAY(Main[[#This Row],[Tech Start Date]],15),IF(Main[[#This Row],[Class]]="A",WORKDAY(Main[[#This Row],[Tech Start Date]],5),""))))</f>
        <v>40980</v>
      </c>
      <c r="P96" s="69">
        <f>IF(Main[[#This Row],[Tech Start Date]]&lt;1/1/1990,"",IF(Main[[#This Row],[Class]]="C",WORKDAY(Main[[#This Row],[Tech Start Date]],28),IF(Main[[#This Row],[Class]]="B", WORKDAY(Main[[#This Row],[Tech Start Date]],19),IF(Main[[#This Row],[Class]]="A",WORKDAY(Main[[#This Row],[Tech Start Date]],9),""))))</f>
        <v>40984</v>
      </c>
      <c r="Q96" s="67"/>
      <c r="R96" s="67">
        <v>40994</v>
      </c>
      <c r="S96" s="65" t="s">
        <v>11</v>
      </c>
      <c r="T96" s="70" t="s">
        <v>3933</v>
      </c>
      <c r="U96" s="65" t="s">
        <v>29</v>
      </c>
      <c r="V96" s="65" t="s">
        <v>1917</v>
      </c>
      <c r="W96" s="65" t="s">
        <v>1923</v>
      </c>
      <c r="X96" s="65" t="s">
        <v>2858</v>
      </c>
      <c r="Y96" s="65" t="s">
        <v>2996</v>
      </c>
      <c r="Z96" s="65" t="s">
        <v>129</v>
      </c>
      <c r="AA96" s="65" t="s">
        <v>2858</v>
      </c>
    </row>
    <row r="97" spans="1:27" ht="17.45" customHeight="1">
      <c r="A97" s="131">
        <f>IF(priority(Main[[#This Row],[Comments]])&lt;&gt;0, priority(Main[[#This Row],[Comments]]),"")</f>
        <v>28</v>
      </c>
      <c r="B97" s="99" t="s">
        <v>1019</v>
      </c>
      <c r="C97" s="65" t="s">
        <v>4</v>
      </c>
      <c r="D97" s="66" t="s">
        <v>2312</v>
      </c>
      <c r="E97" s="67">
        <v>40603.481041666666</v>
      </c>
      <c r="F97" s="67"/>
      <c r="G97" s="64" t="str">
        <f>IF(stdProdLT(Main[[#This Row],[Comments]])=0.1,"N/A",IF(stdProdLT(Main[[#This Row],[Comments]])=0,"",stdProdLT(Main[[#This Row],[Comments]])))</f>
        <v/>
      </c>
      <c r="H97" s="68" t="str">
        <f>IF(AND(Main[[#This Row],[In Stock Date]]&lt;&gt;"",Main[[#This Row],[Revised Due Date]]&lt;&gt;""),Main[[#This Row],[In Stock Date]]-Main[[#This Row],[Revised Due Date]],"")</f>
        <v/>
      </c>
      <c r="I97" s="65" t="s">
        <v>914</v>
      </c>
      <c r="J97" s="65" t="s">
        <v>52</v>
      </c>
      <c r="K97" s="65" t="s">
        <v>1926</v>
      </c>
      <c r="L97" s="67"/>
      <c r="M97" s="69" t="str">
        <f>IF(Main[[#This Row],[Tech Start Date]]&lt;1/1/1990,"",IF(Main[[#This Row],[Class]]="C",WORKDAY(Main[[#This Row],[Tech Start Date]],9),IF(Main[[#This Row],[Class]]="B", WORKDAY(Main[[#This Row],[Tech Start Date]],6),IF(Main[[#This Row],[Class]]="A",WORKDAY(Main[[#This Row],[Tech Start Date]],2),""))))</f>
        <v/>
      </c>
      <c r="N97" s="69" t="str">
        <f>IF(Main[[#This Row],[Tech Start Date]]&lt;1/1/1990,"",IF(Main[[#This Row],[Class]]="C",WORKDAY(Main[[#This Row],[Tech Start Date]],19),IF(Main[[#This Row],[Class]]="B", WORKDAY(Main[[#This Row],[Tech Start Date]],12),IF(Main[[#This Row],[Class]]="A",WORKDAY(Main[[#This Row],[Tech Start Date]],4),""))))</f>
        <v/>
      </c>
      <c r="O97" s="69" t="str">
        <f>IF(Main[[#This Row],[Tech Start Date]]&lt;1/1/1990,"",IF(Main[[#This Row],[Class]]="C",WORKDAY(Main[[#This Row],[Tech Start Date]],23),IF(Main[[#This Row],[Class]]="B", WORKDAY(Main[[#This Row],[Tech Start Date]],15),IF(Main[[#This Row],[Class]]="A",WORKDAY(Main[[#This Row],[Tech Start Date]],5),""))))</f>
        <v/>
      </c>
      <c r="P97" s="69" t="str">
        <f>IF(Main[[#This Row],[Tech Start Date]]&lt;1/1/1990,"",IF(Main[[#This Row],[Class]]="C",WORKDAY(Main[[#This Row],[Tech Start Date]],28),IF(Main[[#This Row],[Class]]="B", WORKDAY(Main[[#This Row],[Tech Start Date]],19),IF(Main[[#This Row],[Class]]="A",WORKDAY(Main[[#This Row],[Tech Start Date]],9),""))))</f>
        <v/>
      </c>
      <c r="Q97" s="67">
        <v>40637</v>
      </c>
      <c r="R97" s="67"/>
      <c r="S97" s="65" t="s">
        <v>6</v>
      </c>
      <c r="T97" s="70" t="s">
        <v>2661</v>
      </c>
      <c r="U97" s="65" t="s">
        <v>29</v>
      </c>
      <c r="V97" s="65" t="s">
        <v>1917</v>
      </c>
      <c r="W97" s="65" t="s">
        <v>1919</v>
      </c>
      <c r="X97" s="65" t="s">
        <v>2828</v>
      </c>
      <c r="Y97" s="65" t="s">
        <v>2944</v>
      </c>
      <c r="Z97" s="65" t="s">
        <v>129</v>
      </c>
      <c r="AA97" s="65" t="s">
        <v>2828</v>
      </c>
    </row>
    <row r="98" spans="1:27" ht="17.45" customHeight="1">
      <c r="A98" s="131">
        <f>IF(priority(Main[[#This Row],[Comments]])&lt;&gt;0, priority(Main[[#This Row],[Comments]]),"")</f>
        <v>28</v>
      </c>
      <c r="B98" s="99" t="s">
        <v>3920</v>
      </c>
      <c r="C98" s="65" t="s">
        <v>3921</v>
      </c>
      <c r="D98" s="66" t="s">
        <v>3922</v>
      </c>
      <c r="E98" s="67">
        <v>40953.707939814813</v>
      </c>
      <c r="F98" s="67">
        <v>41173</v>
      </c>
      <c r="G98" s="64">
        <f>IF(stdProdLT(Main[[#This Row],[Comments]])=0.1,"N/A",IF(stdProdLT(Main[[#This Row],[Comments]])=0,"",stdProdLT(Main[[#This Row],[Comments]])))</f>
        <v>126</v>
      </c>
      <c r="H98" s="68">
        <f>IF(AND(Main[[#This Row],[In Stock Date]]&lt;&gt;"",Main[[#This Row],[Revised Due Date]]&lt;&gt;""),Main[[#This Row],[In Stock Date]]-Main[[#This Row],[Revised Due Date]],"")</f>
        <v>179</v>
      </c>
      <c r="I98" s="65" t="s">
        <v>562</v>
      </c>
      <c r="J98" s="65" t="s">
        <v>28</v>
      </c>
      <c r="K98" s="65" t="s">
        <v>1924</v>
      </c>
      <c r="L98" s="67">
        <v>40959</v>
      </c>
      <c r="M98" s="69">
        <f>IF(Main[[#This Row],[Tech Start Date]]&lt;1/1/1990,"",IF(Main[[#This Row],[Class]]="C",WORKDAY(Main[[#This Row],[Tech Start Date]],9),IF(Main[[#This Row],[Class]]="B", WORKDAY(Main[[#This Row],[Tech Start Date]],6),IF(Main[[#This Row],[Class]]="A",WORKDAY(Main[[#This Row],[Tech Start Date]],2),""))))</f>
        <v>40967</v>
      </c>
      <c r="N98" s="69">
        <f>IF(Main[[#This Row],[Tech Start Date]]&lt;1/1/1990,"",IF(Main[[#This Row],[Class]]="C",WORKDAY(Main[[#This Row],[Tech Start Date]],19),IF(Main[[#This Row],[Class]]="B", WORKDAY(Main[[#This Row],[Tech Start Date]],12),IF(Main[[#This Row],[Class]]="A",WORKDAY(Main[[#This Row],[Tech Start Date]],4),""))))</f>
        <v>40975</v>
      </c>
      <c r="O98" s="69">
        <f>IF(Main[[#This Row],[Tech Start Date]]&lt;1/1/1990,"",IF(Main[[#This Row],[Class]]="C",WORKDAY(Main[[#This Row],[Tech Start Date]],23),IF(Main[[#This Row],[Class]]="B", WORKDAY(Main[[#This Row],[Tech Start Date]],15),IF(Main[[#This Row],[Class]]="A",WORKDAY(Main[[#This Row],[Tech Start Date]],5),""))))</f>
        <v>40980</v>
      </c>
      <c r="P98" s="69">
        <f>IF(Main[[#This Row],[Tech Start Date]]&lt;1/1/1990,"",IF(Main[[#This Row],[Class]]="C",WORKDAY(Main[[#This Row],[Tech Start Date]],28),IF(Main[[#This Row],[Class]]="B", WORKDAY(Main[[#This Row],[Tech Start Date]],19),IF(Main[[#This Row],[Class]]="A",WORKDAY(Main[[#This Row],[Tech Start Date]],9),""))))</f>
        <v>40984</v>
      </c>
      <c r="Q98" s="67"/>
      <c r="R98" s="67">
        <v>40994</v>
      </c>
      <c r="S98" s="65" t="s">
        <v>11</v>
      </c>
      <c r="T98" s="70" t="s">
        <v>3923</v>
      </c>
      <c r="U98" s="65" t="s">
        <v>29</v>
      </c>
      <c r="V98" s="65" t="s">
        <v>1917</v>
      </c>
      <c r="W98" s="65" t="s">
        <v>1923</v>
      </c>
      <c r="X98" s="65" t="s">
        <v>2858</v>
      </c>
      <c r="Y98" s="65" t="s">
        <v>2996</v>
      </c>
      <c r="Z98" s="65" t="s">
        <v>129</v>
      </c>
      <c r="AA98" s="65" t="s">
        <v>2858</v>
      </c>
    </row>
    <row r="99" spans="1:27" ht="17.45" customHeight="1">
      <c r="A99" s="131">
        <f>IF(priority(Main[[#This Row],[Comments]])&lt;&gt;0, priority(Main[[#This Row],[Comments]]),"")</f>
        <v>29</v>
      </c>
      <c r="B99" s="99" t="s">
        <v>2773</v>
      </c>
      <c r="C99" s="65" t="s">
        <v>2774</v>
      </c>
      <c r="D99" s="66" t="s">
        <v>3941</v>
      </c>
      <c r="E99" s="67">
        <v>40885.00640046296</v>
      </c>
      <c r="F99" s="67"/>
      <c r="G99" s="64">
        <f>IF(stdProdLT(Main[[#This Row],[Comments]])=0.1,"N/A",IF(stdProdLT(Main[[#This Row],[Comments]])=0,"",stdProdLT(Main[[#This Row],[Comments]])))</f>
        <v>98</v>
      </c>
      <c r="H99" s="68" t="str">
        <f>IF(AND(Main[[#This Row],[In Stock Date]]&lt;&gt;"",Main[[#This Row],[Revised Due Date]]&lt;&gt;""),Main[[#This Row],[In Stock Date]]-Main[[#This Row],[Revised Due Date]],"")</f>
        <v/>
      </c>
      <c r="I99" s="65" t="s">
        <v>891</v>
      </c>
      <c r="J99" s="65" t="s">
        <v>4</v>
      </c>
      <c r="K99" s="65" t="s">
        <v>1930</v>
      </c>
      <c r="L99" s="67">
        <v>40960</v>
      </c>
      <c r="M99" s="69">
        <f>IF(Main[[#This Row],[Tech Start Date]]&lt;1/1/1990,"",IF(Main[[#This Row],[Class]]="C",WORKDAY(Main[[#This Row],[Tech Start Date]],9),IF(Main[[#This Row],[Class]]="B", WORKDAY(Main[[#This Row],[Tech Start Date]],6),IF(Main[[#This Row],[Class]]="A",WORKDAY(Main[[#This Row],[Tech Start Date]],2),""))))</f>
        <v>40973</v>
      </c>
      <c r="N99" s="69">
        <f>IF(Main[[#This Row],[Tech Start Date]]&lt;1/1/1990,"",IF(Main[[#This Row],[Class]]="C",WORKDAY(Main[[#This Row],[Tech Start Date]],19),IF(Main[[#This Row],[Class]]="B", WORKDAY(Main[[#This Row],[Tech Start Date]],12),IF(Main[[#This Row],[Class]]="A",WORKDAY(Main[[#This Row],[Tech Start Date]],4),""))))</f>
        <v>40987</v>
      </c>
      <c r="O99" s="69">
        <f>IF(Main[[#This Row],[Tech Start Date]]&lt;1/1/1990,"",IF(Main[[#This Row],[Class]]="C",WORKDAY(Main[[#This Row],[Tech Start Date]],23),IF(Main[[#This Row],[Class]]="B", WORKDAY(Main[[#This Row],[Tech Start Date]],15),IF(Main[[#This Row],[Class]]="A",WORKDAY(Main[[#This Row],[Tech Start Date]],5),""))))</f>
        <v>40991</v>
      </c>
      <c r="P99" s="69">
        <f>IF(Main[[#This Row],[Tech Start Date]]&lt;1/1/1990,"",IF(Main[[#This Row],[Class]]="C",WORKDAY(Main[[#This Row],[Tech Start Date]],28),IF(Main[[#This Row],[Class]]="B", WORKDAY(Main[[#This Row],[Tech Start Date]],19),IF(Main[[#This Row],[Class]]="A",WORKDAY(Main[[#This Row],[Tech Start Date]],9),""))))</f>
        <v>40998</v>
      </c>
      <c r="Q99" s="67">
        <v>40889</v>
      </c>
      <c r="R99" s="67">
        <v>40988</v>
      </c>
      <c r="S99" s="65" t="s">
        <v>11</v>
      </c>
      <c r="T99" s="70" t="s">
        <v>3942</v>
      </c>
      <c r="U99" s="65" t="s">
        <v>29</v>
      </c>
      <c r="V99" s="65" t="s">
        <v>1917</v>
      </c>
      <c r="W99" s="65" t="s">
        <v>1923</v>
      </c>
      <c r="X99" s="65" t="s">
        <v>2860</v>
      </c>
      <c r="Y99" s="65" t="s">
        <v>4</v>
      </c>
      <c r="Z99" s="65" t="s">
        <v>879</v>
      </c>
      <c r="AA99" s="65" t="s">
        <v>2860</v>
      </c>
    </row>
    <row r="100" spans="1:27" ht="17.45" customHeight="1">
      <c r="A100" s="131">
        <f>IF(priority(Main[[#This Row],[Comments]])&lt;&gt;0, priority(Main[[#This Row],[Comments]]),"")</f>
        <v>29</v>
      </c>
      <c r="B100" s="99" t="s">
        <v>3529</v>
      </c>
      <c r="C100" s="65" t="s">
        <v>3530</v>
      </c>
      <c r="D100" s="66" t="s">
        <v>3957</v>
      </c>
      <c r="E100" s="67">
        <v>40948.638680555552</v>
      </c>
      <c r="F100" s="67">
        <v>41029</v>
      </c>
      <c r="G100" s="64" t="str">
        <f>IF(stdProdLT(Main[[#This Row],[Comments]])=0.1,"N/A",IF(stdProdLT(Main[[#This Row],[Comments]])=0,"",stdProdLT(Main[[#This Row],[Comments]])))</f>
        <v>N/A</v>
      </c>
      <c r="H100" s="68">
        <f>IF(AND(Main[[#This Row],[In Stock Date]]&lt;&gt;"",Main[[#This Row],[Revised Due Date]]&lt;&gt;""),Main[[#This Row],[In Stock Date]]-Main[[#This Row],[Revised Due Date]],"")</f>
        <v>62</v>
      </c>
      <c r="I100" s="65" t="s">
        <v>2047</v>
      </c>
      <c r="J100" s="65" t="s">
        <v>28</v>
      </c>
      <c r="K100" s="65" t="s">
        <v>1926</v>
      </c>
      <c r="L100" s="67">
        <v>40960</v>
      </c>
      <c r="M100" s="69">
        <f>IF(Main[[#This Row],[Tech Start Date]]&lt;1/1/1990,"",IF(Main[[#This Row],[Class]]="C",WORKDAY(Main[[#This Row],[Tech Start Date]],9),IF(Main[[#This Row],[Class]]="B", WORKDAY(Main[[#This Row],[Tech Start Date]],6),IF(Main[[#This Row],[Class]]="A",WORKDAY(Main[[#This Row],[Tech Start Date]],2),""))))</f>
        <v>40962</v>
      </c>
      <c r="N100" s="69">
        <f>IF(Main[[#This Row],[Tech Start Date]]&lt;1/1/1990,"",IF(Main[[#This Row],[Class]]="C",WORKDAY(Main[[#This Row],[Tech Start Date]],19),IF(Main[[#This Row],[Class]]="B", WORKDAY(Main[[#This Row],[Tech Start Date]],12),IF(Main[[#This Row],[Class]]="A",WORKDAY(Main[[#This Row],[Tech Start Date]],4),""))))</f>
        <v>40966</v>
      </c>
      <c r="O100" s="69">
        <f>IF(Main[[#This Row],[Tech Start Date]]&lt;1/1/1990,"",IF(Main[[#This Row],[Class]]="C",WORKDAY(Main[[#This Row],[Tech Start Date]],23),IF(Main[[#This Row],[Class]]="B", WORKDAY(Main[[#This Row],[Tech Start Date]],15),IF(Main[[#This Row],[Class]]="A",WORKDAY(Main[[#This Row],[Tech Start Date]],5),""))))</f>
        <v>40967</v>
      </c>
      <c r="P100" s="69">
        <f>IF(Main[[#This Row],[Tech Start Date]]&lt;1/1/1990,"",IF(Main[[#This Row],[Class]]="C",WORKDAY(Main[[#This Row],[Tech Start Date]],28),IF(Main[[#This Row],[Class]]="B", WORKDAY(Main[[#This Row],[Tech Start Date]],19),IF(Main[[#This Row],[Class]]="A",WORKDAY(Main[[#This Row],[Tech Start Date]],9),""))))</f>
        <v>40973</v>
      </c>
      <c r="Q100" s="67">
        <v>40956</v>
      </c>
      <c r="R100" s="67">
        <v>40967</v>
      </c>
      <c r="S100" s="65" t="s">
        <v>11</v>
      </c>
      <c r="T100" s="70" t="s">
        <v>3958</v>
      </c>
      <c r="U100" s="65" t="s">
        <v>29</v>
      </c>
      <c r="V100" s="65" t="s">
        <v>1927</v>
      </c>
      <c r="W100" s="65" t="s">
        <v>1925</v>
      </c>
      <c r="X100" s="65" t="s">
        <v>2916</v>
      </c>
      <c r="Y100" s="65" t="s">
        <v>3531</v>
      </c>
      <c r="Z100" s="65" t="s">
        <v>530</v>
      </c>
      <c r="AA100" s="65" t="s">
        <v>2916</v>
      </c>
    </row>
    <row r="101" spans="1:27" ht="17.45" customHeight="1">
      <c r="A101" s="131">
        <f>IF(priority(Main[[#This Row],[Comments]])&lt;&gt;0, priority(Main[[#This Row],[Comments]]),"")</f>
        <v>30</v>
      </c>
      <c r="B101" s="99" t="s">
        <v>1575</v>
      </c>
      <c r="C101" s="65" t="s">
        <v>1969</v>
      </c>
      <c r="D101" s="66" t="s">
        <v>655</v>
      </c>
      <c r="E101" s="67"/>
      <c r="F101" s="67"/>
      <c r="G101" s="64">
        <f>IF(stdProdLT(Main[[#This Row],[Comments]])=0.1,"N/A",IF(stdProdLT(Main[[#This Row],[Comments]])=0,"",stdProdLT(Main[[#This Row],[Comments]])))</f>
        <v>126</v>
      </c>
      <c r="H101" s="68" t="str">
        <f>IF(AND(Main[[#This Row],[In Stock Date]]&lt;&gt;"",Main[[#This Row],[Revised Due Date]]&lt;&gt;""),Main[[#This Row],[In Stock Date]]-Main[[#This Row],[Revised Due Date]],"")</f>
        <v/>
      </c>
      <c r="I101" s="65" t="s">
        <v>4</v>
      </c>
      <c r="J101" s="65" t="s">
        <v>4</v>
      </c>
      <c r="K101" s="71" t="s">
        <v>4</v>
      </c>
      <c r="L101" s="67"/>
      <c r="M101" s="69" t="str">
        <f>IF(Main[[#This Row],[Tech Start Date]]&lt;1/1/1990,"",IF(Main[[#This Row],[Class]]="C",WORKDAY(Main[[#This Row],[Tech Start Date]],9),IF(Main[[#This Row],[Class]]="B", WORKDAY(Main[[#This Row],[Tech Start Date]],6),IF(Main[[#This Row],[Class]]="A",WORKDAY(Main[[#This Row],[Tech Start Date]],2),""))))</f>
        <v/>
      </c>
      <c r="N101" s="69" t="str">
        <f>IF(Main[[#This Row],[Tech Start Date]]&lt;1/1/1990,"",IF(Main[[#This Row],[Class]]="C",WORKDAY(Main[[#This Row],[Tech Start Date]],19),IF(Main[[#This Row],[Class]]="B", WORKDAY(Main[[#This Row],[Tech Start Date]],12),IF(Main[[#This Row],[Class]]="A",WORKDAY(Main[[#This Row],[Tech Start Date]],4),""))))</f>
        <v/>
      </c>
      <c r="O101" s="69" t="str">
        <f>IF(Main[[#This Row],[Tech Start Date]]&lt;1/1/1990,"",IF(Main[[#This Row],[Class]]="C",WORKDAY(Main[[#This Row],[Tech Start Date]],23),IF(Main[[#This Row],[Class]]="B", WORKDAY(Main[[#This Row],[Tech Start Date]],15),IF(Main[[#This Row],[Class]]="A",WORKDAY(Main[[#This Row],[Tech Start Date]],5),""))))</f>
        <v/>
      </c>
      <c r="P101" s="69" t="str">
        <f>IF(Main[[#This Row],[Tech Start Date]]&lt;1/1/1990,"",IF(Main[[#This Row],[Class]]="C",WORKDAY(Main[[#This Row],[Tech Start Date]],28),IF(Main[[#This Row],[Class]]="B", WORKDAY(Main[[#This Row],[Tech Start Date]],19),IF(Main[[#This Row],[Class]]="A",WORKDAY(Main[[#This Row],[Tech Start Date]],9),""))))</f>
        <v/>
      </c>
      <c r="Q101" s="67">
        <v>40710</v>
      </c>
      <c r="R101" s="67">
        <v>40778</v>
      </c>
      <c r="S101" s="65" t="s">
        <v>11</v>
      </c>
      <c r="T101" s="70" t="s">
        <v>1970</v>
      </c>
      <c r="U101" s="65" t="s">
        <v>14</v>
      </c>
      <c r="V101" s="65" t="s">
        <v>1917</v>
      </c>
      <c r="W101" s="65" t="s">
        <v>1919</v>
      </c>
      <c r="X101" s="65" t="s">
        <v>2863</v>
      </c>
      <c r="Y101" s="65" t="s">
        <v>3004</v>
      </c>
      <c r="Z101" s="65" t="s">
        <v>4</v>
      </c>
      <c r="AA101" s="65" t="s">
        <v>2863</v>
      </c>
    </row>
    <row r="102" spans="1:27" ht="17.45" customHeight="1">
      <c r="A102" s="131">
        <f>IF(priority(Main[[#This Row],[Comments]])&lt;&gt;0, priority(Main[[#This Row],[Comments]]),"")</f>
        <v>30</v>
      </c>
      <c r="B102" s="99" t="s">
        <v>1032</v>
      </c>
      <c r="C102" s="65" t="s">
        <v>37</v>
      </c>
      <c r="D102" s="66" t="s">
        <v>2311</v>
      </c>
      <c r="E102" s="67">
        <v>40578.593101851853</v>
      </c>
      <c r="F102" s="67">
        <v>40603</v>
      </c>
      <c r="G102" s="64" t="str">
        <f>IF(stdProdLT(Main[[#This Row],[Comments]])=0.1,"N/A",IF(stdProdLT(Main[[#This Row],[Comments]])=0,"",stdProdLT(Main[[#This Row],[Comments]])))</f>
        <v/>
      </c>
      <c r="H102" s="68" t="str">
        <f>IF(AND(Main[[#This Row],[In Stock Date]]&lt;&gt;"",Main[[#This Row],[Revised Due Date]]&lt;&gt;""),Main[[#This Row],[In Stock Date]]-Main[[#This Row],[Revised Due Date]],"")</f>
        <v/>
      </c>
      <c r="I102" s="65" t="s">
        <v>50</v>
      </c>
      <c r="J102" s="65" t="s">
        <v>51</v>
      </c>
      <c r="K102" s="65" t="s">
        <v>1926</v>
      </c>
      <c r="L102" s="67"/>
      <c r="M102" s="69" t="str">
        <f>IF(Main[[#This Row],[Tech Start Date]]&lt;1/1/1990,"",IF(Main[[#This Row],[Class]]="C",WORKDAY(Main[[#This Row],[Tech Start Date]],9),IF(Main[[#This Row],[Class]]="B", WORKDAY(Main[[#This Row],[Tech Start Date]],6),IF(Main[[#This Row],[Class]]="A",WORKDAY(Main[[#This Row],[Tech Start Date]],2),""))))</f>
        <v/>
      </c>
      <c r="N102" s="69" t="str">
        <f>IF(Main[[#This Row],[Tech Start Date]]&lt;1/1/1990,"",IF(Main[[#This Row],[Class]]="C",WORKDAY(Main[[#This Row],[Tech Start Date]],19),IF(Main[[#This Row],[Class]]="B", WORKDAY(Main[[#This Row],[Tech Start Date]],12),IF(Main[[#This Row],[Class]]="A",WORKDAY(Main[[#This Row],[Tech Start Date]],4),""))))</f>
        <v/>
      </c>
      <c r="O102" s="69" t="str">
        <f>IF(Main[[#This Row],[Tech Start Date]]&lt;1/1/1990,"",IF(Main[[#This Row],[Class]]="C",WORKDAY(Main[[#This Row],[Tech Start Date]],23),IF(Main[[#This Row],[Class]]="B", WORKDAY(Main[[#This Row],[Tech Start Date]],15),IF(Main[[#This Row],[Class]]="A",WORKDAY(Main[[#This Row],[Tech Start Date]],5),""))))</f>
        <v/>
      </c>
      <c r="P102" s="69" t="str">
        <f>IF(Main[[#This Row],[Tech Start Date]]&lt;1/1/1990,"",IF(Main[[#This Row],[Class]]="C",WORKDAY(Main[[#This Row],[Tech Start Date]],28),IF(Main[[#This Row],[Class]]="B", WORKDAY(Main[[#This Row],[Tech Start Date]],19),IF(Main[[#This Row],[Class]]="A",WORKDAY(Main[[#This Row],[Tech Start Date]],9),""))))</f>
        <v/>
      </c>
      <c r="Q102" s="67">
        <v>40603</v>
      </c>
      <c r="R102" s="67"/>
      <c r="S102" s="65" t="s">
        <v>6</v>
      </c>
      <c r="T102" s="70" t="s">
        <v>2273</v>
      </c>
      <c r="U102" s="65" t="s">
        <v>29</v>
      </c>
      <c r="V102" s="65" t="s">
        <v>1917</v>
      </c>
      <c r="W102" s="65" t="s">
        <v>1928</v>
      </c>
      <c r="X102" s="65" t="s">
        <v>885</v>
      </c>
      <c r="Y102" s="65" t="s">
        <v>2969</v>
      </c>
      <c r="Z102" s="65" t="s">
        <v>129</v>
      </c>
      <c r="AA102" s="65" t="s">
        <v>885</v>
      </c>
    </row>
    <row r="103" spans="1:27" ht="17.45" customHeight="1">
      <c r="A103" s="131">
        <f>IF(priority(Main[[#This Row],[Comments]])&lt;&gt;0, priority(Main[[#This Row],[Comments]]),"")</f>
        <v>30</v>
      </c>
      <c r="B103" s="99" t="s">
        <v>2684</v>
      </c>
      <c r="C103" s="65" t="s">
        <v>116</v>
      </c>
      <c r="D103" s="66" t="s">
        <v>2819</v>
      </c>
      <c r="E103" s="67">
        <v>40763.500717592593</v>
      </c>
      <c r="F103" s="67">
        <v>41090</v>
      </c>
      <c r="G103" s="64" t="str">
        <f>IF(stdProdLT(Main[[#This Row],[Comments]])=0.1,"N/A",IF(stdProdLT(Main[[#This Row],[Comments]])=0,"",stdProdLT(Main[[#This Row],[Comments]])))</f>
        <v>N/A</v>
      </c>
      <c r="H103" s="68">
        <f>IF(AND(Main[[#This Row],[In Stock Date]]&lt;&gt;"",Main[[#This Row],[Revised Due Date]]&lt;&gt;""),Main[[#This Row],[In Stock Date]]-Main[[#This Row],[Revised Due Date]],"")</f>
        <v>45</v>
      </c>
      <c r="I103" s="65" t="s">
        <v>891</v>
      </c>
      <c r="J103" s="65" t="s">
        <v>28</v>
      </c>
      <c r="K103" s="65" t="s">
        <v>1930</v>
      </c>
      <c r="L103" s="67">
        <v>40772</v>
      </c>
      <c r="M103" s="69">
        <f>IF(Main[[#This Row],[Tech Start Date]]&lt;1/1/1990,"",IF(Main[[#This Row],[Class]]="C",WORKDAY(Main[[#This Row],[Tech Start Date]],9),IF(Main[[#This Row],[Class]]="B", WORKDAY(Main[[#This Row],[Tech Start Date]],6),IF(Main[[#This Row],[Class]]="A",WORKDAY(Main[[#This Row],[Tech Start Date]],2),""))))</f>
        <v>40785</v>
      </c>
      <c r="N103" s="69">
        <f>IF(Main[[#This Row],[Tech Start Date]]&lt;1/1/1990,"",IF(Main[[#This Row],[Class]]="C",WORKDAY(Main[[#This Row],[Tech Start Date]],19),IF(Main[[#This Row],[Class]]="B", WORKDAY(Main[[#This Row],[Tech Start Date]],12),IF(Main[[#This Row],[Class]]="A",WORKDAY(Main[[#This Row],[Tech Start Date]],4),""))))</f>
        <v>40799</v>
      </c>
      <c r="O103" s="69">
        <f>IF(Main[[#This Row],[Tech Start Date]]&lt;1/1/1990,"",IF(Main[[#This Row],[Class]]="C",WORKDAY(Main[[#This Row],[Tech Start Date]],23),IF(Main[[#This Row],[Class]]="B", WORKDAY(Main[[#This Row],[Tech Start Date]],15),IF(Main[[#This Row],[Class]]="A",WORKDAY(Main[[#This Row],[Tech Start Date]],5),""))))</f>
        <v>40805</v>
      </c>
      <c r="P103" s="69">
        <f>IF(Main[[#This Row],[Tech Start Date]]&lt;1/1/1990,"",IF(Main[[#This Row],[Class]]="C",WORKDAY(Main[[#This Row],[Tech Start Date]],28),IF(Main[[#This Row],[Class]]="B", WORKDAY(Main[[#This Row],[Tech Start Date]],19),IF(Main[[#This Row],[Class]]="A",WORKDAY(Main[[#This Row],[Tech Start Date]],9),""))))</f>
        <v>40812</v>
      </c>
      <c r="Q103" s="67">
        <v>40687</v>
      </c>
      <c r="R103" s="67">
        <v>41045</v>
      </c>
      <c r="S103" s="65" t="s">
        <v>11</v>
      </c>
      <c r="T103" s="70" t="s">
        <v>3834</v>
      </c>
      <c r="U103" s="65" t="s">
        <v>29</v>
      </c>
      <c r="V103" s="65" t="s">
        <v>1917</v>
      </c>
      <c r="W103" s="65" t="s">
        <v>1922</v>
      </c>
      <c r="X103" s="65" t="s">
        <v>2849</v>
      </c>
      <c r="Y103" s="65" t="s">
        <v>3160</v>
      </c>
      <c r="Z103" s="65" t="s">
        <v>879</v>
      </c>
      <c r="AA103" s="65" t="s">
        <v>2849</v>
      </c>
    </row>
    <row r="104" spans="1:27" ht="17.45" customHeight="1">
      <c r="A104" s="131">
        <f>IF(priority(Main[[#This Row],[Comments]])&lt;&gt;0, priority(Main[[#This Row],[Comments]]),"")</f>
        <v>30</v>
      </c>
      <c r="B104" s="99" t="s">
        <v>3550</v>
      </c>
      <c r="C104" s="65" t="s">
        <v>3951</v>
      </c>
      <c r="D104" s="66" t="s">
        <v>3551</v>
      </c>
      <c r="E104" s="67">
        <v>40949.276689814818</v>
      </c>
      <c r="F104" s="67">
        <v>41153</v>
      </c>
      <c r="G104" s="64">
        <f>IF(stdProdLT(Main[[#This Row],[Comments]])=0.1,"N/A",IF(stdProdLT(Main[[#This Row],[Comments]])=0,"",stdProdLT(Main[[#This Row],[Comments]])))</f>
        <v>140</v>
      </c>
      <c r="H104" s="68">
        <f>IF(AND(Main[[#This Row],[In Stock Date]]&lt;&gt;"",Main[[#This Row],[Revised Due Date]]&lt;&gt;""),Main[[#This Row],[In Stock Date]]-Main[[#This Row],[Revised Due Date]],"")</f>
        <v>158</v>
      </c>
      <c r="I104" s="65" t="s">
        <v>3949</v>
      </c>
      <c r="J104" s="65" t="s">
        <v>28</v>
      </c>
      <c r="K104" s="65" t="s">
        <v>1924</v>
      </c>
      <c r="L104" s="67">
        <v>40960</v>
      </c>
      <c r="M104" s="69">
        <f>IF(Main[[#This Row],[Tech Start Date]]&lt;1/1/1990,"",IF(Main[[#This Row],[Class]]="C",WORKDAY(Main[[#This Row],[Tech Start Date]],9),IF(Main[[#This Row],[Class]]="B", WORKDAY(Main[[#This Row],[Tech Start Date]],6),IF(Main[[#This Row],[Class]]="A",WORKDAY(Main[[#This Row],[Tech Start Date]],2),""))))</f>
        <v>40968</v>
      </c>
      <c r="N104" s="69">
        <f>IF(Main[[#This Row],[Tech Start Date]]&lt;1/1/1990,"",IF(Main[[#This Row],[Class]]="C",WORKDAY(Main[[#This Row],[Tech Start Date]],19),IF(Main[[#This Row],[Class]]="B", WORKDAY(Main[[#This Row],[Tech Start Date]],12),IF(Main[[#This Row],[Class]]="A",WORKDAY(Main[[#This Row],[Tech Start Date]],4),""))))</f>
        <v>40976</v>
      </c>
      <c r="O104" s="69">
        <f>IF(Main[[#This Row],[Tech Start Date]]&lt;1/1/1990,"",IF(Main[[#This Row],[Class]]="C",WORKDAY(Main[[#This Row],[Tech Start Date]],23),IF(Main[[#This Row],[Class]]="B", WORKDAY(Main[[#This Row],[Tech Start Date]],15),IF(Main[[#This Row],[Class]]="A",WORKDAY(Main[[#This Row],[Tech Start Date]],5),""))))</f>
        <v>40981</v>
      </c>
      <c r="P104" s="69">
        <f>IF(Main[[#This Row],[Tech Start Date]]&lt;1/1/1990,"",IF(Main[[#This Row],[Class]]="C",WORKDAY(Main[[#This Row],[Tech Start Date]],28),IF(Main[[#This Row],[Class]]="B", WORKDAY(Main[[#This Row],[Tech Start Date]],19),IF(Main[[#This Row],[Class]]="A",WORKDAY(Main[[#This Row],[Tech Start Date]],9),""))))</f>
        <v>40987</v>
      </c>
      <c r="Q104" s="67">
        <v>40995</v>
      </c>
      <c r="R104" s="67">
        <v>40995</v>
      </c>
      <c r="S104" s="65" t="s">
        <v>11</v>
      </c>
      <c r="T104" s="70" t="s">
        <v>3952</v>
      </c>
      <c r="U104" s="65" t="s">
        <v>29</v>
      </c>
      <c r="V104" s="65" t="s">
        <v>1927</v>
      </c>
      <c r="W104" s="65" t="s">
        <v>1928</v>
      </c>
      <c r="X104" s="65" t="s">
        <v>2852</v>
      </c>
      <c r="Y104" s="65" t="s">
        <v>4</v>
      </c>
      <c r="Z104" s="65" t="s">
        <v>530</v>
      </c>
      <c r="AA104" s="65" t="s">
        <v>2852</v>
      </c>
    </row>
    <row r="105" spans="1:27" ht="17.45" customHeight="1">
      <c r="A105" s="131">
        <f>IF(priority(Main[[#This Row],[Comments]])&lt;&gt;0, priority(Main[[#This Row],[Comments]]),"")</f>
        <v>31</v>
      </c>
      <c r="B105" s="99" t="s">
        <v>2155</v>
      </c>
      <c r="C105" s="65" t="s">
        <v>116</v>
      </c>
      <c r="D105" s="66" t="s">
        <v>2802</v>
      </c>
      <c r="E105" s="67">
        <v>40770.33797453704</v>
      </c>
      <c r="F105" s="67">
        <v>41044</v>
      </c>
      <c r="G105" s="64" t="str">
        <f>IF(stdProdLT(Main[[#This Row],[Comments]])=0.1,"N/A",IF(stdProdLT(Main[[#This Row],[Comments]])=0,"",stdProdLT(Main[[#This Row],[Comments]])))</f>
        <v>N/A</v>
      </c>
      <c r="H105" s="68">
        <f>IF(AND(Main[[#This Row],[In Stock Date]]&lt;&gt;"",Main[[#This Row],[Revised Due Date]]&lt;&gt;""),Main[[#This Row],[In Stock Date]]-Main[[#This Row],[Revised Due Date]],"")</f>
        <v>46</v>
      </c>
      <c r="I105" s="65" t="s">
        <v>939</v>
      </c>
      <c r="J105" s="65" t="s">
        <v>21</v>
      </c>
      <c r="K105" s="65" t="s">
        <v>1930</v>
      </c>
      <c r="L105" s="67">
        <v>40778</v>
      </c>
      <c r="M105" s="69">
        <f>IF(Main[[#This Row],[Tech Start Date]]&lt;1/1/1990,"",IF(Main[[#This Row],[Class]]="C",WORKDAY(Main[[#This Row],[Tech Start Date]],9),IF(Main[[#This Row],[Class]]="B", WORKDAY(Main[[#This Row],[Tech Start Date]],6),IF(Main[[#This Row],[Class]]="A",WORKDAY(Main[[#This Row],[Tech Start Date]],2),""))))</f>
        <v>40791</v>
      </c>
      <c r="N105" s="69">
        <f>IF(Main[[#This Row],[Tech Start Date]]&lt;1/1/1990,"",IF(Main[[#This Row],[Class]]="C",WORKDAY(Main[[#This Row],[Tech Start Date]],19),IF(Main[[#This Row],[Class]]="B", WORKDAY(Main[[#This Row],[Tech Start Date]],12),IF(Main[[#This Row],[Class]]="A",WORKDAY(Main[[#This Row],[Tech Start Date]],4),""))))</f>
        <v>40805</v>
      </c>
      <c r="O105" s="69">
        <f>IF(Main[[#This Row],[Tech Start Date]]&lt;1/1/1990,"",IF(Main[[#This Row],[Class]]="C",WORKDAY(Main[[#This Row],[Tech Start Date]],23),IF(Main[[#This Row],[Class]]="B", WORKDAY(Main[[#This Row],[Tech Start Date]],15),IF(Main[[#This Row],[Class]]="A",WORKDAY(Main[[#This Row],[Tech Start Date]],5),""))))</f>
        <v>40809</v>
      </c>
      <c r="P105" s="69">
        <f>IF(Main[[#This Row],[Tech Start Date]]&lt;1/1/1990,"",IF(Main[[#This Row],[Class]]="C",WORKDAY(Main[[#This Row],[Tech Start Date]],28),IF(Main[[#This Row],[Class]]="B", WORKDAY(Main[[#This Row],[Tech Start Date]],19),IF(Main[[#This Row],[Class]]="A",WORKDAY(Main[[#This Row],[Tech Start Date]],9),""))))</f>
        <v>40816</v>
      </c>
      <c r="Q105" s="67">
        <v>40802</v>
      </c>
      <c r="R105" s="67">
        <v>40998</v>
      </c>
      <c r="S105" s="65" t="s">
        <v>11</v>
      </c>
      <c r="T105" s="70" t="s">
        <v>3835</v>
      </c>
      <c r="U105" s="65" t="s">
        <v>29</v>
      </c>
      <c r="V105" s="65" t="s">
        <v>1917</v>
      </c>
      <c r="W105" s="65" t="s">
        <v>1925</v>
      </c>
      <c r="X105" s="65" t="s">
        <v>2858</v>
      </c>
      <c r="Y105" s="65" t="s">
        <v>3140</v>
      </c>
      <c r="Z105" s="65" t="s">
        <v>129</v>
      </c>
      <c r="AA105" s="65" t="s">
        <v>2858</v>
      </c>
    </row>
    <row r="106" spans="1:27" ht="17.45" customHeight="1">
      <c r="A106" s="131">
        <f>IF(priority(Main[[#This Row],[Comments]])&lt;&gt;0, priority(Main[[#This Row],[Comments]]),"")</f>
        <v>32</v>
      </c>
      <c r="B106" s="99" t="s">
        <v>1076</v>
      </c>
      <c r="C106" s="65" t="s">
        <v>116</v>
      </c>
      <c r="D106" s="66" t="s">
        <v>117</v>
      </c>
      <c r="E106" s="67"/>
      <c r="F106" s="67"/>
      <c r="G106" s="64" t="str">
        <f>IF(stdProdLT(Main[[#This Row],[Comments]])=0.1,"N/A",IF(stdProdLT(Main[[#This Row],[Comments]])=0,"",stdProdLT(Main[[#This Row],[Comments]])))</f>
        <v/>
      </c>
      <c r="H106" s="68" t="str">
        <f>IF(AND(Main[[#This Row],[In Stock Date]]&lt;&gt;"",Main[[#This Row],[Revised Due Date]]&lt;&gt;""),Main[[#This Row],[In Stock Date]]-Main[[#This Row],[Revised Due Date]],"")</f>
        <v/>
      </c>
      <c r="I106" s="65" t="s">
        <v>4</v>
      </c>
      <c r="J106" s="65" t="s">
        <v>4</v>
      </c>
      <c r="K106" s="65" t="s">
        <v>4</v>
      </c>
      <c r="L106" s="67"/>
      <c r="M106" s="69" t="str">
        <f>IF(Main[[#This Row],[Tech Start Date]]&lt;1/1/1990,"",IF(Main[[#This Row],[Class]]="C",WORKDAY(Main[[#This Row],[Tech Start Date]],9),IF(Main[[#This Row],[Class]]="B", WORKDAY(Main[[#This Row],[Tech Start Date]],6),IF(Main[[#This Row],[Class]]="A",WORKDAY(Main[[#This Row],[Tech Start Date]],2),""))))</f>
        <v/>
      </c>
      <c r="N106" s="69" t="str">
        <f>IF(Main[[#This Row],[Tech Start Date]]&lt;1/1/1990,"",IF(Main[[#This Row],[Class]]="C",WORKDAY(Main[[#This Row],[Tech Start Date]],19),IF(Main[[#This Row],[Class]]="B", WORKDAY(Main[[#This Row],[Tech Start Date]],12),IF(Main[[#This Row],[Class]]="A",WORKDAY(Main[[#This Row],[Tech Start Date]],4),""))))</f>
        <v/>
      </c>
      <c r="O106" s="69" t="str">
        <f>IF(Main[[#This Row],[Tech Start Date]]&lt;1/1/1990,"",IF(Main[[#This Row],[Class]]="C",WORKDAY(Main[[#This Row],[Tech Start Date]],23),IF(Main[[#This Row],[Class]]="B", WORKDAY(Main[[#This Row],[Tech Start Date]],15),IF(Main[[#This Row],[Class]]="A",WORKDAY(Main[[#This Row],[Tech Start Date]],5),""))))</f>
        <v/>
      </c>
      <c r="P106" s="69" t="str">
        <f>IF(Main[[#This Row],[Tech Start Date]]&lt;1/1/1990,"",IF(Main[[#This Row],[Class]]="C",WORKDAY(Main[[#This Row],[Tech Start Date]],28),IF(Main[[#This Row],[Class]]="B", WORKDAY(Main[[#This Row],[Tech Start Date]],19),IF(Main[[#This Row],[Class]]="A",WORKDAY(Main[[#This Row],[Tech Start Date]],9),""))))</f>
        <v/>
      </c>
      <c r="Q106" s="67">
        <v>40786</v>
      </c>
      <c r="R106" s="67"/>
      <c r="S106" s="65" t="s">
        <v>11</v>
      </c>
      <c r="T106" s="70" t="s">
        <v>118</v>
      </c>
      <c r="U106" s="65" t="s">
        <v>14</v>
      </c>
      <c r="V106" s="65" t="s">
        <v>1917</v>
      </c>
      <c r="W106" s="65" t="s">
        <v>1922</v>
      </c>
      <c r="X106" s="65" t="s">
        <v>2845</v>
      </c>
      <c r="Y106" s="65" t="s">
        <v>2976</v>
      </c>
      <c r="Z106" s="65" t="s">
        <v>4</v>
      </c>
      <c r="AA106" s="65" t="s">
        <v>2845</v>
      </c>
    </row>
    <row r="107" spans="1:27" ht="17.45" customHeight="1">
      <c r="A107" s="131">
        <f>IF(priority(Main[[#This Row],[Comments]])&lt;&gt;0, priority(Main[[#This Row],[Comments]]),"")</f>
        <v>32</v>
      </c>
      <c r="B107" s="99" t="s">
        <v>1068</v>
      </c>
      <c r="C107" s="65" t="s">
        <v>4</v>
      </c>
      <c r="D107" s="66" t="s">
        <v>2314</v>
      </c>
      <c r="E107" s="67">
        <v>40591.506215277775</v>
      </c>
      <c r="F107" s="67"/>
      <c r="G107" s="64" t="str">
        <f>IF(stdProdLT(Main[[#This Row],[Comments]])=0.1,"N/A",IF(stdProdLT(Main[[#This Row],[Comments]])=0,"",stdProdLT(Main[[#This Row],[Comments]])))</f>
        <v/>
      </c>
      <c r="H107" s="68" t="str">
        <f>IF(AND(Main[[#This Row],[In Stock Date]]&lt;&gt;"",Main[[#This Row],[Revised Due Date]]&lt;&gt;""),Main[[#This Row],[In Stock Date]]-Main[[#This Row],[Revised Due Date]],"")</f>
        <v/>
      </c>
      <c r="I107" s="65" t="s">
        <v>914</v>
      </c>
      <c r="J107" s="65" t="s">
        <v>52</v>
      </c>
      <c r="K107" s="65" t="s">
        <v>1926</v>
      </c>
      <c r="L107" s="67"/>
      <c r="M107" s="69" t="str">
        <f>IF(Main[[#This Row],[Tech Start Date]]&lt;1/1/1990,"",IF(Main[[#This Row],[Class]]="C",WORKDAY(Main[[#This Row],[Tech Start Date]],9),IF(Main[[#This Row],[Class]]="B", WORKDAY(Main[[#This Row],[Tech Start Date]],6),IF(Main[[#This Row],[Class]]="A",WORKDAY(Main[[#This Row],[Tech Start Date]],2),""))))</f>
        <v/>
      </c>
      <c r="N107" s="69" t="str">
        <f>IF(Main[[#This Row],[Tech Start Date]]&lt;1/1/1990,"",IF(Main[[#This Row],[Class]]="C",WORKDAY(Main[[#This Row],[Tech Start Date]],19),IF(Main[[#This Row],[Class]]="B", WORKDAY(Main[[#This Row],[Tech Start Date]],12),IF(Main[[#This Row],[Class]]="A",WORKDAY(Main[[#This Row],[Tech Start Date]],4),""))))</f>
        <v/>
      </c>
      <c r="O107" s="69" t="str">
        <f>IF(Main[[#This Row],[Tech Start Date]]&lt;1/1/1990,"",IF(Main[[#This Row],[Class]]="C",WORKDAY(Main[[#This Row],[Tech Start Date]],23),IF(Main[[#This Row],[Class]]="B", WORKDAY(Main[[#This Row],[Tech Start Date]],15),IF(Main[[#This Row],[Class]]="A",WORKDAY(Main[[#This Row],[Tech Start Date]],5),""))))</f>
        <v/>
      </c>
      <c r="P107" s="69" t="str">
        <f>IF(Main[[#This Row],[Tech Start Date]]&lt;1/1/1990,"",IF(Main[[#This Row],[Class]]="C",WORKDAY(Main[[#This Row],[Tech Start Date]],28),IF(Main[[#This Row],[Class]]="B", WORKDAY(Main[[#This Row],[Tech Start Date]],19),IF(Main[[#This Row],[Class]]="A",WORKDAY(Main[[#This Row],[Tech Start Date]],9),""))))</f>
        <v/>
      </c>
      <c r="Q107" s="67">
        <v>40605</v>
      </c>
      <c r="R107" s="67"/>
      <c r="S107" s="65" t="s">
        <v>6</v>
      </c>
      <c r="T107" s="70" t="s">
        <v>118</v>
      </c>
      <c r="U107" s="65" t="s">
        <v>29</v>
      </c>
      <c r="V107" s="65" t="s">
        <v>1917</v>
      </c>
      <c r="W107" s="65" t="s">
        <v>1919</v>
      </c>
      <c r="X107" s="65" t="s">
        <v>2906</v>
      </c>
      <c r="Y107" s="65" t="s">
        <v>3080</v>
      </c>
      <c r="Z107" s="65" t="s">
        <v>129</v>
      </c>
      <c r="AA107" s="65" t="s">
        <v>2906</v>
      </c>
    </row>
    <row r="108" spans="1:27" ht="17.45" customHeight="1">
      <c r="A108" s="131">
        <f>IF(priority(Main[[#This Row],[Comments]])&lt;&gt;0, priority(Main[[#This Row],[Comments]]),"")</f>
        <v>32</v>
      </c>
      <c r="B108" s="99" t="s">
        <v>2657</v>
      </c>
      <c r="C108" s="65" t="s">
        <v>116</v>
      </c>
      <c r="D108" s="66" t="s">
        <v>2811</v>
      </c>
      <c r="E108" s="67">
        <v>40864.570104166669</v>
      </c>
      <c r="F108" s="67">
        <v>41044</v>
      </c>
      <c r="G108" s="64" t="str">
        <f>IF(stdProdLT(Main[[#This Row],[Comments]])=0.1,"N/A",IF(stdProdLT(Main[[#This Row],[Comments]])=0,"",stdProdLT(Main[[#This Row],[Comments]])))</f>
        <v>N/A</v>
      </c>
      <c r="H108" s="68">
        <f>IF(AND(Main[[#This Row],[In Stock Date]]&lt;&gt;"",Main[[#This Row],[Revised Due Date]]&lt;&gt;""),Main[[#This Row],[In Stock Date]]-Main[[#This Row],[Revised Due Date]],"")</f>
        <v>46</v>
      </c>
      <c r="I108" s="65" t="s">
        <v>939</v>
      </c>
      <c r="J108" s="65" t="s">
        <v>21</v>
      </c>
      <c r="K108" s="71" t="s">
        <v>1924</v>
      </c>
      <c r="L108" s="67">
        <v>40869</v>
      </c>
      <c r="M108" s="69">
        <f>IF(Main[[#This Row],[Tech Start Date]]&lt;1/1/1990,"",IF(Main[[#This Row],[Class]]="C",WORKDAY(Main[[#This Row],[Tech Start Date]],9),IF(Main[[#This Row],[Class]]="B", WORKDAY(Main[[#This Row],[Tech Start Date]],6),IF(Main[[#This Row],[Class]]="A",WORKDAY(Main[[#This Row],[Tech Start Date]],2),""))))</f>
        <v>40877</v>
      </c>
      <c r="N108" s="69">
        <f>IF(Main[[#This Row],[Tech Start Date]]&lt;1/1/1990,"",IF(Main[[#This Row],[Class]]="C",WORKDAY(Main[[#This Row],[Tech Start Date]],19),IF(Main[[#This Row],[Class]]="B", WORKDAY(Main[[#This Row],[Tech Start Date]],12),IF(Main[[#This Row],[Class]]="A",WORKDAY(Main[[#This Row],[Tech Start Date]],4),""))))</f>
        <v>40885</v>
      </c>
      <c r="O108" s="69">
        <f>IF(Main[[#This Row],[Tech Start Date]]&lt;1/1/1990,"",IF(Main[[#This Row],[Class]]="C",WORKDAY(Main[[#This Row],[Tech Start Date]],23),IF(Main[[#This Row],[Class]]="B", WORKDAY(Main[[#This Row],[Tech Start Date]],15),IF(Main[[#This Row],[Class]]="A",WORKDAY(Main[[#This Row],[Tech Start Date]],5),""))))</f>
        <v>40890</v>
      </c>
      <c r="P108" s="69">
        <f>IF(Main[[#This Row],[Tech Start Date]]&lt;1/1/1990,"",IF(Main[[#This Row],[Class]]="C",WORKDAY(Main[[#This Row],[Tech Start Date]],28),IF(Main[[#This Row],[Class]]="B", WORKDAY(Main[[#This Row],[Tech Start Date]],19),IF(Main[[#This Row],[Class]]="A",WORKDAY(Main[[#This Row],[Tech Start Date]],9),""))))</f>
        <v>40896</v>
      </c>
      <c r="Q108" s="67">
        <v>40904</v>
      </c>
      <c r="R108" s="67">
        <v>40998</v>
      </c>
      <c r="S108" s="65" t="s">
        <v>11</v>
      </c>
      <c r="T108" s="70" t="s">
        <v>3850</v>
      </c>
      <c r="U108" s="65" t="s">
        <v>29</v>
      </c>
      <c r="V108" s="65" t="s">
        <v>1917</v>
      </c>
      <c r="W108" s="65" t="s">
        <v>1925</v>
      </c>
      <c r="X108" s="65" t="s">
        <v>2858</v>
      </c>
      <c r="Y108" s="65" t="s">
        <v>3140</v>
      </c>
      <c r="Z108" s="65" t="s">
        <v>129</v>
      </c>
      <c r="AA108" s="65" t="s">
        <v>2858</v>
      </c>
    </row>
    <row r="109" spans="1:27" ht="17.45" customHeight="1">
      <c r="A109" s="131">
        <f>IF(priority(Main[[#This Row],[Comments]])&lt;&gt;0, priority(Main[[#This Row],[Comments]]),"")</f>
        <v>32</v>
      </c>
      <c r="B109" s="99" t="s">
        <v>3191</v>
      </c>
      <c r="C109" s="65" t="s">
        <v>3216</v>
      </c>
      <c r="D109" s="66" t="s">
        <v>3870</v>
      </c>
      <c r="E109" s="67">
        <v>40920.303043981483</v>
      </c>
      <c r="F109" s="67">
        <v>41153</v>
      </c>
      <c r="G109" s="64">
        <f>IF(stdProdLT(Main[[#This Row],[Comments]])=0.1,"N/A",IF(stdProdLT(Main[[#This Row],[Comments]])=0,"",stdProdLT(Main[[#This Row],[Comments]])))</f>
        <v>168</v>
      </c>
      <c r="H109" s="68">
        <f>IF(AND(Main[[#This Row],[In Stock Date]]&lt;&gt;"",Main[[#This Row],[Revised Due Date]]&lt;&gt;""),Main[[#This Row],[In Stock Date]]-Main[[#This Row],[Revised Due Date]],"")</f>
        <v>183</v>
      </c>
      <c r="I109" s="65" t="s">
        <v>767</v>
      </c>
      <c r="J109" s="65" t="s">
        <v>52</v>
      </c>
      <c r="K109" s="65" t="s">
        <v>1930</v>
      </c>
      <c r="L109" s="67">
        <v>40925</v>
      </c>
      <c r="M109" s="69">
        <f>IF(Main[[#This Row],[Tech Start Date]]&lt;1/1/1990,"",IF(Main[[#This Row],[Class]]="C",WORKDAY(Main[[#This Row],[Tech Start Date]],9),IF(Main[[#This Row],[Class]]="B", WORKDAY(Main[[#This Row],[Tech Start Date]],6),IF(Main[[#This Row],[Class]]="A",WORKDAY(Main[[#This Row],[Tech Start Date]],2),""))))</f>
        <v>40938</v>
      </c>
      <c r="N109" s="69">
        <f>IF(Main[[#This Row],[Tech Start Date]]&lt;1/1/1990,"",IF(Main[[#This Row],[Class]]="C",WORKDAY(Main[[#This Row],[Tech Start Date]],19),IF(Main[[#This Row],[Class]]="B", WORKDAY(Main[[#This Row],[Tech Start Date]],12),IF(Main[[#This Row],[Class]]="A",WORKDAY(Main[[#This Row],[Tech Start Date]],4),""))))</f>
        <v>40952</v>
      </c>
      <c r="O109" s="69">
        <f>IF(Main[[#This Row],[Tech Start Date]]&lt;1/1/1990,"",IF(Main[[#This Row],[Class]]="C",WORKDAY(Main[[#This Row],[Tech Start Date]],23),IF(Main[[#This Row],[Class]]="B", WORKDAY(Main[[#This Row],[Tech Start Date]],15),IF(Main[[#This Row],[Class]]="A",WORKDAY(Main[[#This Row],[Tech Start Date]],5),""))))</f>
        <v>40956</v>
      </c>
      <c r="P109" s="69">
        <f>IF(Main[[#This Row],[Tech Start Date]]&lt;1/1/1990,"",IF(Main[[#This Row],[Class]]="C",WORKDAY(Main[[#This Row],[Tech Start Date]],28),IF(Main[[#This Row],[Class]]="B", WORKDAY(Main[[#This Row],[Tech Start Date]],19),IF(Main[[#This Row],[Class]]="A",WORKDAY(Main[[#This Row],[Tech Start Date]],9),""))))</f>
        <v>40963</v>
      </c>
      <c r="Q109" s="67">
        <v>40984</v>
      </c>
      <c r="R109" s="67">
        <v>40970</v>
      </c>
      <c r="S109" s="65" t="s">
        <v>11</v>
      </c>
      <c r="T109" s="70" t="s">
        <v>3871</v>
      </c>
      <c r="U109" s="65" t="s">
        <v>29</v>
      </c>
      <c r="V109" s="65" t="s">
        <v>1920</v>
      </c>
      <c r="W109" s="65" t="s">
        <v>1928</v>
      </c>
      <c r="X109" s="65" t="s">
        <v>2852</v>
      </c>
      <c r="Y109" s="65" t="s">
        <v>4</v>
      </c>
      <c r="Z109" s="65" t="s">
        <v>530</v>
      </c>
      <c r="AA109" s="65" t="s">
        <v>2852</v>
      </c>
    </row>
    <row r="110" spans="1:27" ht="17.45" customHeight="1">
      <c r="A110" s="131">
        <f>IF(priority(Main[[#This Row],[Comments]])&lt;&gt;0, priority(Main[[#This Row],[Comments]]),"")</f>
        <v>32.1</v>
      </c>
      <c r="B110" s="99" t="s">
        <v>2174</v>
      </c>
      <c r="C110" s="65" t="s">
        <v>2175</v>
      </c>
      <c r="D110" s="66" t="s">
        <v>2176</v>
      </c>
      <c r="E110" s="67"/>
      <c r="F110" s="67">
        <v>40795</v>
      </c>
      <c r="G110" s="64">
        <f>IF(stdProdLT(Main[[#This Row],[Comments]])=0.1,"N/A",IF(stdProdLT(Main[[#This Row],[Comments]])=0,"",stdProdLT(Main[[#This Row],[Comments]])))</f>
        <v>21</v>
      </c>
      <c r="H110" s="68" t="str">
        <f>IF(AND(Main[[#This Row],[In Stock Date]]&lt;&gt;"",Main[[#This Row],[Revised Due Date]]&lt;&gt;""),Main[[#This Row],[In Stock Date]]-Main[[#This Row],[Revised Due Date]],"")</f>
        <v/>
      </c>
      <c r="I110" s="65" t="s">
        <v>4</v>
      </c>
      <c r="J110" s="65" t="s">
        <v>4</v>
      </c>
      <c r="K110" s="71" t="s">
        <v>4</v>
      </c>
      <c r="L110" s="67"/>
      <c r="M110" s="69" t="str">
        <f>IF(Main[[#This Row],[Tech Start Date]]&lt;1/1/1990,"",IF(Main[[#This Row],[Class]]="C",WORKDAY(Main[[#This Row],[Tech Start Date]],9),IF(Main[[#This Row],[Class]]="B", WORKDAY(Main[[#This Row],[Tech Start Date]],6),IF(Main[[#This Row],[Class]]="A",WORKDAY(Main[[#This Row],[Tech Start Date]],2),""))))</f>
        <v/>
      </c>
      <c r="N110" s="69" t="str">
        <f>IF(Main[[#This Row],[Tech Start Date]]&lt;1/1/1990,"",IF(Main[[#This Row],[Class]]="C",WORKDAY(Main[[#This Row],[Tech Start Date]],19),IF(Main[[#This Row],[Class]]="B", WORKDAY(Main[[#This Row],[Tech Start Date]],12),IF(Main[[#This Row],[Class]]="A",WORKDAY(Main[[#This Row],[Tech Start Date]],4),""))))</f>
        <v/>
      </c>
      <c r="O110" s="69" t="str">
        <f>IF(Main[[#This Row],[Tech Start Date]]&lt;1/1/1990,"",IF(Main[[#This Row],[Class]]="C",WORKDAY(Main[[#This Row],[Tech Start Date]],23),IF(Main[[#This Row],[Class]]="B", WORKDAY(Main[[#This Row],[Tech Start Date]],15),IF(Main[[#This Row],[Class]]="A",WORKDAY(Main[[#This Row],[Tech Start Date]],5),""))))</f>
        <v/>
      </c>
      <c r="P110" s="69" t="str">
        <f>IF(Main[[#This Row],[Tech Start Date]]&lt;1/1/1990,"",IF(Main[[#This Row],[Class]]="C",WORKDAY(Main[[#This Row],[Tech Start Date]],28),IF(Main[[#This Row],[Class]]="B", WORKDAY(Main[[#This Row],[Tech Start Date]],19),IF(Main[[#This Row],[Class]]="A",WORKDAY(Main[[#This Row],[Tech Start Date]],9),""))))</f>
        <v/>
      </c>
      <c r="Q110" s="67">
        <v>40795</v>
      </c>
      <c r="R110" s="67"/>
      <c r="S110" s="65" t="s">
        <v>11</v>
      </c>
      <c r="T110" s="70" t="s">
        <v>2228</v>
      </c>
      <c r="U110" s="65" t="s">
        <v>14</v>
      </c>
      <c r="V110" s="65" t="s">
        <v>1917</v>
      </c>
      <c r="W110" s="65" t="s">
        <v>1922</v>
      </c>
      <c r="X110" s="65" t="s">
        <v>2835</v>
      </c>
      <c r="Y110" s="65" t="s">
        <v>2957</v>
      </c>
      <c r="Z110" s="65" t="s">
        <v>4</v>
      </c>
      <c r="AA110" s="65" t="s">
        <v>2835</v>
      </c>
    </row>
    <row r="111" spans="1:27" ht="17.45" customHeight="1">
      <c r="A111" s="131">
        <f>IF(priority(Main[[#This Row],[Comments]])&lt;&gt;0, priority(Main[[#This Row],[Comments]]),"")</f>
        <v>33</v>
      </c>
      <c r="B111" s="99" t="s">
        <v>1223</v>
      </c>
      <c r="C111" s="65" t="s">
        <v>116</v>
      </c>
      <c r="D111" s="66" t="s">
        <v>324</v>
      </c>
      <c r="E111" s="67"/>
      <c r="F111" s="67"/>
      <c r="G111" s="64" t="str">
        <f>IF(stdProdLT(Main[[#This Row],[Comments]])=0.1,"N/A",IF(stdProdLT(Main[[#This Row],[Comments]])=0,"",stdProdLT(Main[[#This Row],[Comments]])))</f>
        <v/>
      </c>
      <c r="H111" s="68" t="str">
        <f>IF(AND(Main[[#This Row],[In Stock Date]]&lt;&gt;"",Main[[#This Row],[Revised Due Date]]&lt;&gt;""),Main[[#This Row],[In Stock Date]]-Main[[#This Row],[Revised Due Date]],"")</f>
        <v/>
      </c>
      <c r="I111" s="65" t="s">
        <v>4</v>
      </c>
      <c r="J111" s="65" t="s">
        <v>4</v>
      </c>
      <c r="K111" s="65" t="s">
        <v>4</v>
      </c>
      <c r="L111" s="67"/>
      <c r="M111" s="69" t="str">
        <f>IF(Main[[#This Row],[Tech Start Date]]&lt;1/1/1990,"",IF(Main[[#This Row],[Class]]="C",WORKDAY(Main[[#This Row],[Tech Start Date]],9),IF(Main[[#This Row],[Class]]="B", WORKDAY(Main[[#This Row],[Tech Start Date]],6),IF(Main[[#This Row],[Class]]="A",WORKDAY(Main[[#This Row],[Tech Start Date]],2),""))))</f>
        <v/>
      </c>
      <c r="N111" s="69" t="str">
        <f>IF(Main[[#This Row],[Tech Start Date]]&lt;1/1/1990,"",IF(Main[[#This Row],[Class]]="C",WORKDAY(Main[[#This Row],[Tech Start Date]],19),IF(Main[[#This Row],[Class]]="B", WORKDAY(Main[[#This Row],[Tech Start Date]],12),IF(Main[[#This Row],[Class]]="A",WORKDAY(Main[[#This Row],[Tech Start Date]],4),""))))</f>
        <v/>
      </c>
      <c r="O111" s="69" t="str">
        <f>IF(Main[[#This Row],[Tech Start Date]]&lt;1/1/1990,"",IF(Main[[#This Row],[Class]]="C",WORKDAY(Main[[#This Row],[Tech Start Date]],23),IF(Main[[#This Row],[Class]]="B", WORKDAY(Main[[#This Row],[Tech Start Date]],15),IF(Main[[#This Row],[Class]]="A",WORKDAY(Main[[#This Row],[Tech Start Date]],5),""))))</f>
        <v/>
      </c>
      <c r="P111" s="69" t="str">
        <f>IF(Main[[#This Row],[Tech Start Date]]&lt;1/1/1990,"",IF(Main[[#This Row],[Class]]="C",WORKDAY(Main[[#This Row],[Tech Start Date]],28),IF(Main[[#This Row],[Class]]="B", WORKDAY(Main[[#This Row],[Tech Start Date]],19),IF(Main[[#This Row],[Class]]="A",WORKDAY(Main[[#This Row],[Tech Start Date]],9),""))))</f>
        <v/>
      </c>
      <c r="Q111" s="67"/>
      <c r="R111" s="67"/>
      <c r="S111" s="65" t="s">
        <v>11</v>
      </c>
      <c r="T111" s="70" t="s">
        <v>325</v>
      </c>
      <c r="U111" s="65" t="s">
        <v>14</v>
      </c>
      <c r="V111" s="65" t="s">
        <v>1917</v>
      </c>
      <c r="W111" s="65" t="s">
        <v>1922</v>
      </c>
      <c r="X111" s="65" t="s">
        <v>2845</v>
      </c>
      <c r="Y111" s="65" t="s">
        <v>2976</v>
      </c>
      <c r="Z111" s="65" t="s">
        <v>4</v>
      </c>
      <c r="AA111" s="65" t="s">
        <v>2845</v>
      </c>
    </row>
    <row r="112" spans="1:27" ht="17.45" customHeight="1">
      <c r="A112" s="131">
        <f>IF(priority(Main[[#This Row],[Comments]])&lt;&gt;0, priority(Main[[#This Row],[Comments]]),"")</f>
        <v>33</v>
      </c>
      <c r="B112" s="99" t="s">
        <v>1082</v>
      </c>
      <c r="C112" s="65" t="s">
        <v>122</v>
      </c>
      <c r="D112" s="66" t="s">
        <v>123</v>
      </c>
      <c r="E112" s="67">
        <v>40534.411678240744</v>
      </c>
      <c r="F112" s="67">
        <v>40541</v>
      </c>
      <c r="G112" s="64" t="str">
        <f>IF(stdProdLT(Main[[#This Row],[Comments]])=0.1,"N/A",IF(stdProdLT(Main[[#This Row],[Comments]])=0,"",stdProdLT(Main[[#This Row],[Comments]])))</f>
        <v/>
      </c>
      <c r="H112" s="68" t="str">
        <f>IF(AND(Main[[#This Row],[In Stock Date]]&lt;&gt;"",Main[[#This Row],[Revised Due Date]]&lt;&gt;""),Main[[#This Row],[In Stock Date]]-Main[[#This Row],[Revised Due Date]],"")</f>
        <v/>
      </c>
      <c r="I112" s="65" t="s">
        <v>4</v>
      </c>
      <c r="J112" s="65" t="s">
        <v>28</v>
      </c>
      <c r="K112" s="71" t="s">
        <v>1926</v>
      </c>
      <c r="L112" s="67"/>
      <c r="M112" s="69" t="str">
        <f>IF(Main[[#This Row],[Tech Start Date]]&lt;1/1/1990,"",IF(Main[[#This Row],[Class]]="C",WORKDAY(Main[[#This Row],[Tech Start Date]],9),IF(Main[[#This Row],[Class]]="B", WORKDAY(Main[[#This Row],[Tech Start Date]],6),IF(Main[[#This Row],[Class]]="A",WORKDAY(Main[[#This Row],[Tech Start Date]],2),""))))</f>
        <v/>
      </c>
      <c r="N112" s="69" t="str">
        <f>IF(Main[[#This Row],[Tech Start Date]]&lt;1/1/1990,"",IF(Main[[#This Row],[Class]]="C",WORKDAY(Main[[#This Row],[Tech Start Date]],19),IF(Main[[#This Row],[Class]]="B", WORKDAY(Main[[#This Row],[Tech Start Date]],12),IF(Main[[#This Row],[Class]]="A",WORKDAY(Main[[#This Row],[Tech Start Date]],4),""))))</f>
        <v/>
      </c>
      <c r="O112" s="69" t="str">
        <f>IF(Main[[#This Row],[Tech Start Date]]&lt;1/1/1990,"",IF(Main[[#This Row],[Class]]="C",WORKDAY(Main[[#This Row],[Tech Start Date]],23),IF(Main[[#This Row],[Class]]="B", WORKDAY(Main[[#This Row],[Tech Start Date]],15),IF(Main[[#This Row],[Class]]="A",WORKDAY(Main[[#This Row],[Tech Start Date]],5),""))))</f>
        <v/>
      </c>
      <c r="P112" s="69" t="str">
        <f>IF(Main[[#This Row],[Tech Start Date]]&lt;1/1/1990,"",IF(Main[[#This Row],[Class]]="C",WORKDAY(Main[[#This Row],[Tech Start Date]],28),IF(Main[[#This Row],[Class]]="B", WORKDAY(Main[[#This Row],[Tech Start Date]],19),IF(Main[[#This Row],[Class]]="A",WORKDAY(Main[[#This Row],[Tech Start Date]],9),""))))</f>
        <v/>
      </c>
      <c r="Q112" s="67">
        <v>40541</v>
      </c>
      <c r="R112" s="67"/>
      <c r="S112" s="65" t="s">
        <v>6</v>
      </c>
      <c r="T112" s="70" t="s">
        <v>325</v>
      </c>
      <c r="U112" s="65" t="s">
        <v>7</v>
      </c>
      <c r="V112" s="65" t="s">
        <v>1917</v>
      </c>
      <c r="W112" s="65" t="s">
        <v>1921</v>
      </c>
      <c r="X112" s="65" t="s">
        <v>2823</v>
      </c>
      <c r="Y112" s="65" t="s">
        <v>3136</v>
      </c>
      <c r="Z112" s="65" t="s">
        <v>129</v>
      </c>
      <c r="AA112" s="65" t="s">
        <v>2823</v>
      </c>
    </row>
    <row r="113" spans="1:27" ht="17.45" customHeight="1">
      <c r="A113" s="131">
        <f>IF(priority(Main[[#This Row],[Comments]])&lt;&gt;0, priority(Main[[#This Row],[Comments]]),"")</f>
        <v>33</v>
      </c>
      <c r="B113" s="99" t="s">
        <v>2771</v>
      </c>
      <c r="C113" s="65" t="s">
        <v>2011</v>
      </c>
      <c r="D113" s="66" t="s">
        <v>2772</v>
      </c>
      <c r="E113" s="67">
        <v>40914.055902777778</v>
      </c>
      <c r="F113" s="67">
        <v>41153</v>
      </c>
      <c r="G113" s="64">
        <f>IF(stdProdLT(Main[[#This Row],[Comments]])=0.1,"N/A",IF(stdProdLT(Main[[#This Row],[Comments]])=0,"",stdProdLT(Main[[#This Row],[Comments]])))</f>
        <v>168</v>
      </c>
      <c r="H113" s="68">
        <f>IF(AND(Main[[#This Row],[In Stock Date]]&lt;&gt;"",Main[[#This Row],[Revised Due Date]]&lt;&gt;""),Main[[#This Row],[In Stock Date]]-Main[[#This Row],[Revised Due Date]],"")</f>
        <v>177</v>
      </c>
      <c r="I113" s="65" t="s">
        <v>171</v>
      </c>
      <c r="J113" s="65" t="s">
        <v>70</v>
      </c>
      <c r="K113" s="65" t="s">
        <v>1930</v>
      </c>
      <c r="L113" s="67">
        <v>40925</v>
      </c>
      <c r="M113" s="69">
        <f>IF(Main[[#This Row],[Tech Start Date]]&lt;1/1/1990,"",IF(Main[[#This Row],[Class]]="C",WORKDAY(Main[[#This Row],[Tech Start Date]],9),IF(Main[[#This Row],[Class]]="B", WORKDAY(Main[[#This Row],[Tech Start Date]],6),IF(Main[[#This Row],[Class]]="A",WORKDAY(Main[[#This Row],[Tech Start Date]],2),""))))</f>
        <v>40938</v>
      </c>
      <c r="N113" s="69">
        <f>IF(Main[[#This Row],[Tech Start Date]]&lt;1/1/1990,"",IF(Main[[#This Row],[Class]]="C",WORKDAY(Main[[#This Row],[Tech Start Date]],19),IF(Main[[#This Row],[Class]]="B", WORKDAY(Main[[#This Row],[Tech Start Date]],12),IF(Main[[#This Row],[Class]]="A",WORKDAY(Main[[#This Row],[Tech Start Date]],4),""))))</f>
        <v>40952</v>
      </c>
      <c r="O113" s="69">
        <f>IF(Main[[#This Row],[Tech Start Date]]&lt;1/1/1990,"",IF(Main[[#This Row],[Class]]="C",WORKDAY(Main[[#This Row],[Tech Start Date]],23),IF(Main[[#This Row],[Class]]="B", WORKDAY(Main[[#This Row],[Tech Start Date]],15),IF(Main[[#This Row],[Class]]="A",WORKDAY(Main[[#This Row],[Tech Start Date]],5),""))))</f>
        <v>40956</v>
      </c>
      <c r="P113" s="69">
        <f>IF(Main[[#This Row],[Tech Start Date]]&lt;1/1/1990,"",IF(Main[[#This Row],[Class]]="C",WORKDAY(Main[[#This Row],[Tech Start Date]],28),IF(Main[[#This Row],[Class]]="B", WORKDAY(Main[[#This Row],[Tech Start Date]],19),IF(Main[[#This Row],[Class]]="A",WORKDAY(Main[[#This Row],[Tech Start Date]],9),""))))</f>
        <v>40963</v>
      </c>
      <c r="Q113" s="67">
        <v>40984</v>
      </c>
      <c r="R113" s="67">
        <v>40976</v>
      </c>
      <c r="S113" s="65" t="s">
        <v>11</v>
      </c>
      <c r="T113" s="70" t="s">
        <v>3878</v>
      </c>
      <c r="U113" s="65" t="s">
        <v>29</v>
      </c>
      <c r="V113" s="65" t="s">
        <v>1920</v>
      </c>
      <c r="W113" s="65" t="s">
        <v>1923</v>
      </c>
      <c r="X113" s="65" t="s">
        <v>2860</v>
      </c>
      <c r="Y113" s="65" t="s">
        <v>4</v>
      </c>
      <c r="Z113" s="65" t="s">
        <v>530</v>
      </c>
      <c r="AA113" s="65" t="s">
        <v>2860</v>
      </c>
    </row>
    <row r="114" spans="1:27" ht="17.45" customHeight="1">
      <c r="A114" s="131">
        <f>IF(priority(Main[[#This Row],[Comments]])&lt;&gt;0, priority(Main[[#This Row],[Comments]]),"")</f>
        <v>34</v>
      </c>
      <c r="B114" s="99" t="s">
        <v>1104</v>
      </c>
      <c r="C114" s="65" t="s">
        <v>4</v>
      </c>
      <c r="D114" s="66" t="s">
        <v>2302</v>
      </c>
      <c r="E114" s="67">
        <v>40561.117199074077</v>
      </c>
      <c r="F114" s="67">
        <v>40592</v>
      </c>
      <c r="G114" s="64" t="str">
        <f>IF(stdProdLT(Main[[#This Row],[Comments]])=0.1,"N/A",IF(stdProdLT(Main[[#This Row],[Comments]])=0,"",stdProdLT(Main[[#This Row],[Comments]])))</f>
        <v/>
      </c>
      <c r="H114" s="68" t="str">
        <f>IF(AND(Main[[#This Row],[In Stock Date]]&lt;&gt;"",Main[[#This Row],[Revised Due Date]]&lt;&gt;""),Main[[#This Row],[In Stock Date]]-Main[[#This Row],[Revised Due Date]],"")</f>
        <v/>
      </c>
      <c r="I114" s="65" t="s">
        <v>914</v>
      </c>
      <c r="J114" s="65" t="s">
        <v>21</v>
      </c>
      <c r="K114" s="65" t="s">
        <v>1924</v>
      </c>
      <c r="L114" s="67"/>
      <c r="M114" s="69" t="str">
        <f>IF(Main[[#This Row],[Tech Start Date]]&lt;1/1/1990,"",IF(Main[[#This Row],[Class]]="C",WORKDAY(Main[[#This Row],[Tech Start Date]],9),IF(Main[[#This Row],[Class]]="B", WORKDAY(Main[[#This Row],[Tech Start Date]],6),IF(Main[[#This Row],[Class]]="A",WORKDAY(Main[[#This Row],[Tech Start Date]],2),""))))</f>
        <v/>
      </c>
      <c r="N114" s="69" t="str">
        <f>IF(Main[[#This Row],[Tech Start Date]]&lt;1/1/1990,"",IF(Main[[#This Row],[Class]]="C",WORKDAY(Main[[#This Row],[Tech Start Date]],19),IF(Main[[#This Row],[Class]]="B", WORKDAY(Main[[#This Row],[Tech Start Date]],12),IF(Main[[#This Row],[Class]]="A",WORKDAY(Main[[#This Row],[Tech Start Date]],4),""))))</f>
        <v/>
      </c>
      <c r="O114" s="69" t="str">
        <f>IF(Main[[#This Row],[Tech Start Date]]&lt;1/1/1990,"",IF(Main[[#This Row],[Class]]="C",WORKDAY(Main[[#This Row],[Tech Start Date]],23),IF(Main[[#This Row],[Class]]="B", WORKDAY(Main[[#This Row],[Tech Start Date]],15),IF(Main[[#This Row],[Class]]="A",WORKDAY(Main[[#This Row],[Tech Start Date]],5),""))))</f>
        <v/>
      </c>
      <c r="P114" s="69" t="str">
        <f>IF(Main[[#This Row],[Tech Start Date]]&lt;1/1/1990,"",IF(Main[[#This Row],[Class]]="C",WORKDAY(Main[[#This Row],[Tech Start Date]],28),IF(Main[[#This Row],[Class]]="B", WORKDAY(Main[[#This Row],[Tech Start Date]],19),IF(Main[[#This Row],[Class]]="A",WORKDAY(Main[[#This Row],[Tech Start Date]],9),""))))</f>
        <v/>
      </c>
      <c r="Q114" s="67">
        <v>40592</v>
      </c>
      <c r="R114" s="67"/>
      <c r="S114" s="65" t="s">
        <v>6</v>
      </c>
      <c r="T114" s="70" t="s">
        <v>2032</v>
      </c>
      <c r="U114" s="65" t="s">
        <v>29</v>
      </c>
      <c r="V114" s="65" t="s">
        <v>1917</v>
      </c>
      <c r="W114" s="65" t="s">
        <v>1919</v>
      </c>
      <c r="X114" s="65" t="s">
        <v>2909</v>
      </c>
      <c r="Y114" s="65" t="s">
        <v>3089</v>
      </c>
      <c r="Z114" s="65" t="s">
        <v>129</v>
      </c>
      <c r="AA114" s="65" t="s">
        <v>2909</v>
      </c>
    </row>
    <row r="115" spans="1:27" ht="17.45" customHeight="1">
      <c r="A115" s="131">
        <f>IF(priority(Main[[#This Row],[Comments]])&lt;&gt;0, priority(Main[[#This Row],[Comments]]),"")</f>
        <v>34</v>
      </c>
      <c r="B115" s="99" t="s">
        <v>3189</v>
      </c>
      <c r="C115" s="65" t="s">
        <v>3216</v>
      </c>
      <c r="D115" s="66" t="s">
        <v>3190</v>
      </c>
      <c r="E115" s="67">
        <v>40920.243854166663</v>
      </c>
      <c r="F115" s="67">
        <v>41153</v>
      </c>
      <c r="G115" s="64">
        <f>IF(stdProdLT(Main[[#This Row],[Comments]])=0.1,"N/A",IF(stdProdLT(Main[[#This Row],[Comments]])=0,"",stdProdLT(Main[[#This Row],[Comments]])))</f>
        <v>168</v>
      </c>
      <c r="H115" s="68">
        <f>IF(AND(Main[[#This Row],[In Stock Date]]&lt;&gt;"",Main[[#This Row],[Revised Due Date]]&lt;&gt;""),Main[[#This Row],[In Stock Date]]-Main[[#This Row],[Revised Due Date]],"")</f>
        <v>184</v>
      </c>
      <c r="I115" s="65" t="s">
        <v>130</v>
      </c>
      <c r="J115" s="65" t="s">
        <v>1981</v>
      </c>
      <c r="K115" s="65" t="s">
        <v>1930</v>
      </c>
      <c r="L115" s="67">
        <v>40925</v>
      </c>
      <c r="M115" s="69">
        <f>IF(Main[[#This Row],[Tech Start Date]]&lt;1/1/1990,"",IF(Main[[#This Row],[Class]]="C",WORKDAY(Main[[#This Row],[Tech Start Date]],9),IF(Main[[#This Row],[Class]]="B", WORKDAY(Main[[#This Row],[Tech Start Date]],6),IF(Main[[#This Row],[Class]]="A",WORKDAY(Main[[#This Row],[Tech Start Date]],2),""))))</f>
        <v>40938</v>
      </c>
      <c r="N115" s="69">
        <f>IF(Main[[#This Row],[Tech Start Date]]&lt;1/1/1990,"",IF(Main[[#This Row],[Class]]="C",WORKDAY(Main[[#This Row],[Tech Start Date]],19),IF(Main[[#This Row],[Class]]="B", WORKDAY(Main[[#This Row],[Tech Start Date]],12),IF(Main[[#This Row],[Class]]="A",WORKDAY(Main[[#This Row],[Tech Start Date]],4),""))))</f>
        <v>40952</v>
      </c>
      <c r="O115" s="69">
        <f>IF(Main[[#This Row],[Tech Start Date]]&lt;1/1/1990,"",IF(Main[[#This Row],[Class]]="C",WORKDAY(Main[[#This Row],[Tech Start Date]],23),IF(Main[[#This Row],[Class]]="B", WORKDAY(Main[[#This Row],[Tech Start Date]],15),IF(Main[[#This Row],[Class]]="A",WORKDAY(Main[[#This Row],[Tech Start Date]],5),""))))</f>
        <v>40956</v>
      </c>
      <c r="P115" s="69">
        <f>IF(Main[[#This Row],[Tech Start Date]]&lt;1/1/1990,"",IF(Main[[#This Row],[Class]]="C",WORKDAY(Main[[#This Row],[Tech Start Date]],28),IF(Main[[#This Row],[Class]]="B", WORKDAY(Main[[#This Row],[Tech Start Date]],19),IF(Main[[#This Row],[Class]]="A",WORKDAY(Main[[#This Row],[Tech Start Date]],9),""))))</f>
        <v>40963</v>
      </c>
      <c r="Q115" s="67">
        <v>40984</v>
      </c>
      <c r="R115" s="67">
        <v>40969</v>
      </c>
      <c r="S115" s="65" t="s">
        <v>11</v>
      </c>
      <c r="T115" s="70" t="s">
        <v>3879</v>
      </c>
      <c r="U115" s="65" t="s">
        <v>29</v>
      </c>
      <c r="V115" s="65" t="s">
        <v>1920</v>
      </c>
      <c r="W115" s="65" t="s">
        <v>1928</v>
      </c>
      <c r="X115" s="65" t="s">
        <v>2852</v>
      </c>
      <c r="Y115" s="65" t="s">
        <v>4</v>
      </c>
      <c r="Z115" s="65" t="s">
        <v>530</v>
      </c>
      <c r="AA115" s="65" t="s">
        <v>2852</v>
      </c>
    </row>
    <row r="116" spans="1:27" ht="17.45" customHeight="1">
      <c r="A116" s="131">
        <f>IF(priority(Main[[#This Row],[Comments]])&lt;&gt;0, priority(Main[[#This Row],[Comments]]),"")</f>
        <v>35</v>
      </c>
      <c r="B116" s="99" t="s">
        <v>2764</v>
      </c>
      <c r="C116" s="65" t="s">
        <v>3187</v>
      </c>
      <c r="D116" s="66" t="s">
        <v>3855</v>
      </c>
      <c r="E116" s="67">
        <v>40911.138009259259</v>
      </c>
      <c r="F116" s="67">
        <v>41334</v>
      </c>
      <c r="G116" s="64">
        <f>IF(stdProdLT(Main[[#This Row],[Comments]])=0.1,"N/A",IF(stdProdLT(Main[[#This Row],[Comments]])=0,"",stdProdLT(Main[[#This Row],[Comments]])))</f>
        <v>140</v>
      </c>
      <c r="H116" s="68">
        <f>IF(AND(Main[[#This Row],[In Stock Date]]&lt;&gt;"",Main[[#This Row],[Revised Due Date]]&lt;&gt;""),Main[[#This Row],[In Stock Date]]-Main[[#This Row],[Revised Due Date]],"")</f>
        <v>357</v>
      </c>
      <c r="I116" s="65" t="s">
        <v>972</v>
      </c>
      <c r="J116" s="65" t="s">
        <v>51</v>
      </c>
      <c r="K116" s="65" t="s">
        <v>1924</v>
      </c>
      <c r="L116" s="67">
        <v>40913</v>
      </c>
      <c r="M116" s="69">
        <f>IF(Main[[#This Row],[Tech Start Date]]&lt;1/1/1990,"",IF(Main[[#This Row],[Class]]="C",WORKDAY(Main[[#This Row],[Tech Start Date]],9),IF(Main[[#This Row],[Class]]="B", WORKDAY(Main[[#This Row],[Tech Start Date]],6),IF(Main[[#This Row],[Class]]="A",WORKDAY(Main[[#This Row],[Tech Start Date]],2),""))))</f>
        <v>40921</v>
      </c>
      <c r="N116" s="69">
        <f>IF(Main[[#This Row],[Tech Start Date]]&lt;1/1/1990,"",IF(Main[[#This Row],[Class]]="C",WORKDAY(Main[[#This Row],[Tech Start Date]],19),IF(Main[[#This Row],[Class]]="B", WORKDAY(Main[[#This Row],[Tech Start Date]],12),IF(Main[[#This Row],[Class]]="A",WORKDAY(Main[[#This Row],[Tech Start Date]],4),""))))</f>
        <v>40931</v>
      </c>
      <c r="O116" s="69">
        <f>IF(Main[[#This Row],[Tech Start Date]]&lt;1/1/1990,"",IF(Main[[#This Row],[Class]]="C",WORKDAY(Main[[#This Row],[Tech Start Date]],23),IF(Main[[#This Row],[Class]]="B", WORKDAY(Main[[#This Row],[Tech Start Date]],15),IF(Main[[#This Row],[Class]]="A",WORKDAY(Main[[#This Row],[Tech Start Date]],5),""))))</f>
        <v>40934</v>
      </c>
      <c r="P116" s="69">
        <f>IF(Main[[#This Row],[Tech Start Date]]&lt;1/1/1990,"",IF(Main[[#This Row],[Class]]="C",WORKDAY(Main[[#This Row],[Tech Start Date]],28),IF(Main[[#This Row],[Class]]="B", WORKDAY(Main[[#This Row],[Tech Start Date]],19),IF(Main[[#This Row],[Class]]="A",WORKDAY(Main[[#This Row],[Tech Start Date]],9),""))))</f>
        <v>40940</v>
      </c>
      <c r="Q116" s="67">
        <v>40903</v>
      </c>
      <c r="R116" s="67">
        <v>40977</v>
      </c>
      <c r="S116" s="65" t="s">
        <v>11</v>
      </c>
      <c r="T116" s="70" t="s">
        <v>3856</v>
      </c>
      <c r="U116" s="65" t="s">
        <v>29</v>
      </c>
      <c r="V116" s="65" t="s">
        <v>1927</v>
      </c>
      <c r="W116" s="65" t="s">
        <v>1923</v>
      </c>
      <c r="X116" s="65" t="s">
        <v>2852</v>
      </c>
      <c r="Y116" s="65" t="s">
        <v>4</v>
      </c>
      <c r="Z116" s="65" t="s">
        <v>530</v>
      </c>
      <c r="AA116" s="65" t="s">
        <v>2852</v>
      </c>
    </row>
    <row r="117" spans="1:27" ht="17.45" customHeight="1">
      <c r="A117" s="131">
        <f>IF(priority(Main[[#This Row],[Comments]])&lt;&gt;0, priority(Main[[#This Row],[Comments]]),"")</f>
        <v>36</v>
      </c>
      <c r="B117" s="99" t="s">
        <v>1210</v>
      </c>
      <c r="C117" s="65" t="s">
        <v>4</v>
      </c>
      <c r="D117" s="66" t="s">
        <v>267</v>
      </c>
      <c r="E117" s="67">
        <v>40681.617800925924</v>
      </c>
      <c r="F117" s="67"/>
      <c r="G117" s="64" t="str">
        <f>IF(stdProdLT(Main[[#This Row],[Comments]])=0.1,"N/A",IF(stdProdLT(Main[[#This Row],[Comments]])=0,"",stdProdLT(Main[[#This Row],[Comments]])))</f>
        <v/>
      </c>
      <c r="H117" s="68" t="str">
        <f>IF(AND(Main[[#This Row],[In Stock Date]]&lt;&gt;"",Main[[#This Row],[Revised Due Date]]&lt;&gt;""),Main[[#This Row],[In Stock Date]]-Main[[#This Row],[Revised Due Date]],"")</f>
        <v/>
      </c>
      <c r="I117" s="65" t="s">
        <v>4</v>
      </c>
      <c r="J117" s="65" t="s">
        <v>21</v>
      </c>
      <c r="K117" s="65" t="s">
        <v>4</v>
      </c>
      <c r="L117" s="67"/>
      <c r="M117" s="69" t="str">
        <f>IF(Main[[#This Row],[Tech Start Date]]&lt;1/1/1990,"",IF(Main[[#This Row],[Class]]="C",WORKDAY(Main[[#This Row],[Tech Start Date]],9),IF(Main[[#This Row],[Class]]="B", WORKDAY(Main[[#This Row],[Tech Start Date]],6),IF(Main[[#This Row],[Class]]="A",WORKDAY(Main[[#This Row],[Tech Start Date]],2),""))))</f>
        <v/>
      </c>
      <c r="N117" s="69" t="str">
        <f>IF(Main[[#This Row],[Tech Start Date]]&lt;1/1/1990,"",IF(Main[[#This Row],[Class]]="C",WORKDAY(Main[[#This Row],[Tech Start Date]],19),IF(Main[[#This Row],[Class]]="B", WORKDAY(Main[[#This Row],[Tech Start Date]],12),IF(Main[[#This Row],[Class]]="A",WORKDAY(Main[[#This Row],[Tech Start Date]],4),""))))</f>
        <v/>
      </c>
      <c r="O117" s="69" t="str">
        <f>IF(Main[[#This Row],[Tech Start Date]]&lt;1/1/1990,"",IF(Main[[#This Row],[Class]]="C",WORKDAY(Main[[#This Row],[Tech Start Date]],23),IF(Main[[#This Row],[Class]]="B", WORKDAY(Main[[#This Row],[Tech Start Date]],15),IF(Main[[#This Row],[Class]]="A",WORKDAY(Main[[#This Row],[Tech Start Date]],5),""))))</f>
        <v/>
      </c>
      <c r="P117" s="69" t="str">
        <f>IF(Main[[#This Row],[Tech Start Date]]&lt;1/1/1990,"",IF(Main[[#This Row],[Class]]="C",WORKDAY(Main[[#This Row],[Tech Start Date]],28),IF(Main[[#This Row],[Class]]="B", WORKDAY(Main[[#This Row],[Tech Start Date]],19),IF(Main[[#This Row],[Class]]="A",WORKDAY(Main[[#This Row],[Tech Start Date]],9),""))))</f>
        <v/>
      </c>
      <c r="Q117" s="67">
        <v>40710</v>
      </c>
      <c r="R117" s="67"/>
      <c r="S117" s="65" t="s">
        <v>6</v>
      </c>
      <c r="T117" s="70" t="s">
        <v>2275</v>
      </c>
      <c r="U117" s="65" t="s">
        <v>534</v>
      </c>
      <c r="V117" s="65" t="s">
        <v>1917</v>
      </c>
      <c r="W117" s="65" t="s">
        <v>1928</v>
      </c>
      <c r="X117" s="65" t="s">
        <v>972</v>
      </c>
      <c r="Y117" s="65" t="s">
        <v>3103</v>
      </c>
      <c r="Z117" s="65" t="s">
        <v>4</v>
      </c>
      <c r="AA117" s="65" t="s">
        <v>972</v>
      </c>
    </row>
    <row r="118" spans="1:27" ht="17.45" customHeight="1">
      <c r="A118" s="131">
        <f>IF(priority(Main[[#This Row],[Comments]])&lt;&gt;0, priority(Main[[#This Row],[Comments]]),"")</f>
        <v>36</v>
      </c>
      <c r="B118" s="99" t="s">
        <v>3946</v>
      </c>
      <c r="C118" s="65" t="s">
        <v>3947</v>
      </c>
      <c r="D118" s="66" t="s">
        <v>3948</v>
      </c>
      <c r="E118" s="67">
        <v>40953.264710648145</v>
      </c>
      <c r="F118" s="67">
        <v>41289</v>
      </c>
      <c r="G118" s="64">
        <f>IF(stdProdLT(Main[[#This Row],[Comments]])=0.1,"N/A",IF(stdProdLT(Main[[#This Row],[Comments]])=0,"",stdProdLT(Main[[#This Row],[Comments]])))</f>
        <v>140</v>
      </c>
      <c r="H118" s="68">
        <f>IF(AND(Main[[#This Row],[In Stock Date]]&lt;&gt;"",Main[[#This Row],[Revised Due Date]]&lt;&gt;""),Main[[#This Row],[In Stock Date]]-Main[[#This Row],[Revised Due Date]],"")</f>
        <v>294</v>
      </c>
      <c r="I118" s="65" t="s">
        <v>3949</v>
      </c>
      <c r="J118" s="65" t="s">
        <v>28</v>
      </c>
      <c r="K118" s="71" t="s">
        <v>1924</v>
      </c>
      <c r="L118" s="67">
        <v>40960</v>
      </c>
      <c r="M118" s="69">
        <f>IF(Main[[#This Row],[Tech Start Date]]&lt;1/1/1990,"",IF(Main[[#This Row],[Class]]="C",WORKDAY(Main[[#This Row],[Tech Start Date]],9),IF(Main[[#This Row],[Class]]="B", WORKDAY(Main[[#This Row],[Tech Start Date]],6),IF(Main[[#This Row],[Class]]="A",WORKDAY(Main[[#This Row],[Tech Start Date]],2),""))))</f>
        <v>40968</v>
      </c>
      <c r="N118" s="69">
        <f>IF(Main[[#This Row],[Tech Start Date]]&lt;1/1/1990,"",IF(Main[[#This Row],[Class]]="C",WORKDAY(Main[[#This Row],[Tech Start Date]],19),IF(Main[[#This Row],[Class]]="B", WORKDAY(Main[[#This Row],[Tech Start Date]],12),IF(Main[[#This Row],[Class]]="A",WORKDAY(Main[[#This Row],[Tech Start Date]],4),""))))</f>
        <v>40976</v>
      </c>
      <c r="O118" s="69">
        <f>IF(Main[[#This Row],[Tech Start Date]]&lt;1/1/1990,"",IF(Main[[#This Row],[Class]]="C",WORKDAY(Main[[#This Row],[Tech Start Date]],23),IF(Main[[#This Row],[Class]]="B", WORKDAY(Main[[#This Row],[Tech Start Date]],15),IF(Main[[#This Row],[Class]]="A",WORKDAY(Main[[#This Row],[Tech Start Date]],5),""))))</f>
        <v>40981</v>
      </c>
      <c r="P118" s="69">
        <f>IF(Main[[#This Row],[Tech Start Date]]&lt;1/1/1990,"",IF(Main[[#This Row],[Class]]="C",WORKDAY(Main[[#This Row],[Tech Start Date]],28),IF(Main[[#This Row],[Class]]="B", WORKDAY(Main[[#This Row],[Tech Start Date]],19),IF(Main[[#This Row],[Class]]="A",WORKDAY(Main[[#This Row],[Tech Start Date]],9),""))))</f>
        <v>40987</v>
      </c>
      <c r="Q118" s="67">
        <v>40995</v>
      </c>
      <c r="R118" s="67">
        <v>40995</v>
      </c>
      <c r="S118" s="65" t="s">
        <v>11</v>
      </c>
      <c r="T118" s="70" t="s">
        <v>3950</v>
      </c>
      <c r="U118" s="65" t="s">
        <v>29</v>
      </c>
      <c r="V118" s="65" t="s">
        <v>1927</v>
      </c>
      <c r="W118" s="65" t="s">
        <v>1923</v>
      </c>
      <c r="X118" s="65" t="s">
        <v>2852</v>
      </c>
      <c r="Y118" s="65" t="s">
        <v>4</v>
      </c>
      <c r="Z118" s="65" t="s">
        <v>530</v>
      </c>
      <c r="AA118" s="65" t="s">
        <v>2852</v>
      </c>
    </row>
    <row r="119" spans="1:27" ht="17.45" customHeight="1">
      <c r="A119" s="131">
        <f>IF(priority(Main[[#This Row],[Comments]])&lt;&gt;0, priority(Main[[#This Row],[Comments]]),"")</f>
        <v>37</v>
      </c>
      <c r="B119" s="99" t="s">
        <v>1174</v>
      </c>
      <c r="C119" s="65" t="s">
        <v>4</v>
      </c>
      <c r="D119" s="66" t="s">
        <v>227</v>
      </c>
      <c r="E119" s="67">
        <v>40567.332951388889</v>
      </c>
      <c r="F119" s="67">
        <v>40602</v>
      </c>
      <c r="G119" s="64" t="str">
        <f>IF(stdProdLT(Main[[#This Row],[Comments]])=0.1,"N/A",IF(stdProdLT(Main[[#This Row],[Comments]])=0,"",stdProdLT(Main[[#This Row],[Comments]])))</f>
        <v/>
      </c>
      <c r="H119" s="68" t="str">
        <f>IF(AND(Main[[#This Row],[In Stock Date]]&lt;&gt;"",Main[[#This Row],[Revised Due Date]]&lt;&gt;""),Main[[#This Row],[In Stock Date]]-Main[[#This Row],[Revised Due Date]],"")</f>
        <v/>
      </c>
      <c r="I119" s="65" t="s">
        <v>914</v>
      </c>
      <c r="J119" s="65" t="s">
        <v>52</v>
      </c>
      <c r="K119" s="65" t="s">
        <v>1926</v>
      </c>
      <c r="L119" s="67"/>
      <c r="M119" s="69" t="str">
        <f>IF(Main[[#This Row],[Tech Start Date]]&lt;1/1/1990,"",IF(Main[[#This Row],[Class]]="C",WORKDAY(Main[[#This Row],[Tech Start Date]],9),IF(Main[[#This Row],[Class]]="B", WORKDAY(Main[[#This Row],[Tech Start Date]],6),IF(Main[[#This Row],[Class]]="A",WORKDAY(Main[[#This Row],[Tech Start Date]],2),""))))</f>
        <v/>
      </c>
      <c r="N119" s="69" t="str">
        <f>IF(Main[[#This Row],[Tech Start Date]]&lt;1/1/1990,"",IF(Main[[#This Row],[Class]]="C",WORKDAY(Main[[#This Row],[Tech Start Date]],19),IF(Main[[#This Row],[Class]]="B", WORKDAY(Main[[#This Row],[Tech Start Date]],12),IF(Main[[#This Row],[Class]]="A",WORKDAY(Main[[#This Row],[Tech Start Date]],4),""))))</f>
        <v/>
      </c>
      <c r="O119" s="69" t="str">
        <f>IF(Main[[#This Row],[Tech Start Date]]&lt;1/1/1990,"",IF(Main[[#This Row],[Class]]="C",WORKDAY(Main[[#This Row],[Tech Start Date]],23),IF(Main[[#This Row],[Class]]="B", WORKDAY(Main[[#This Row],[Tech Start Date]],15),IF(Main[[#This Row],[Class]]="A",WORKDAY(Main[[#This Row],[Tech Start Date]],5),""))))</f>
        <v/>
      </c>
      <c r="P119" s="69" t="str">
        <f>IF(Main[[#This Row],[Tech Start Date]]&lt;1/1/1990,"",IF(Main[[#This Row],[Class]]="C",WORKDAY(Main[[#This Row],[Tech Start Date]],28),IF(Main[[#This Row],[Class]]="B", WORKDAY(Main[[#This Row],[Tech Start Date]],19),IF(Main[[#This Row],[Class]]="A",WORKDAY(Main[[#This Row],[Tech Start Date]],9),""))))</f>
        <v/>
      </c>
      <c r="Q119" s="67">
        <v>40602</v>
      </c>
      <c r="R119" s="67"/>
      <c r="S119" s="65" t="s">
        <v>6</v>
      </c>
      <c r="T119" s="70" t="s">
        <v>2033</v>
      </c>
      <c r="U119" s="65" t="s">
        <v>29</v>
      </c>
      <c r="V119" s="65" t="s">
        <v>1917</v>
      </c>
      <c r="W119" s="65" t="s">
        <v>1919</v>
      </c>
      <c r="X119" s="65" t="s">
        <v>126</v>
      </c>
      <c r="Y119" s="65" t="s">
        <v>3058</v>
      </c>
      <c r="Z119" s="65" t="s">
        <v>129</v>
      </c>
      <c r="AA119" s="65" t="s">
        <v>126</v>
      </c>
    </row>
    <row r="120" spans="1:27" ht="17.45" customHeight="1">
      <c r="A120" s="131">
        <f>IF(priority(Main[[#This Row],[Comments]])&lt;&gt;0, priority(Main[[#This Row],[Comments]]),"")</f>
        <v>37</v>
      </c>
      <c r="B120" s="99" t="s">
        <v>3309</v>
      </c>
      <c r="C120" s="65" t="s">
        <v>4</v>
      </c>
      <c r="D120" s="66" t="s">
        <v>3581</v>
      </c>
      <c r="E120" s="67">
        <v>40933.750428240739</v>
      </c>
      <c r="F120" s="67">
        <v>40969</v>
      </c>
      <c r="G120" s="64" t="str">
        <f>IF(stdProdLT(Main[[#This Row],[Comments]])=0.1,"N/A",IF(stdProdLT(Main[[#This Row],[Comments]])=0,"",stdProdLT(Main[[#This Row],[Comments]])))</f>
        <v>N/A</v>
      </c>
      <c r="H120" s="68">
        <f>IF(AND(Main[[#This Row],[In Stock Date]]&lt;&gt;"",Main[[#This Row],[Revised Due Date]]&lt;&gt;""),Main[[#This Row],[In Stock Date]]-Main[[#This Row],[Revised Due Date]],"")</f>
        <v>-8</v>
      </c>
      <c r="I120" s="65" t="s">
        <v>2047</v>
      </c>
      <c r="J120" s="65" t="s">
        <v>28</v>
      </c>
      <c r="K120" s="65" t="s">
        <v>1930</v>
      </c>
      <c r="L120" s="67">
        <v>40948</v>
      </c>
      <c r="M120" s="69">
        <f>IF(Main[[#This Row],[Tech Start Date]]&lt;1/1/1990,"",IF(Main[[#This Row],[Class]]="C",WORKDAY(Main[[#This Row],[Tech Start Date]],9),IF(Main[[#This Row],[Class]]="B", WORKDAY(Main[[#This Row],[Tech Start Date]],6),IF(Main[[#This Row],[Class]]="A",WORKDAY(Main[[#This Row],[Tech Start Date]],2),""))))</f>
        <v>40961</v>
      </c>
      <c r="N120" s="69">
        <f>IF(Main[[#This Row],[Tech Start Date]]&lt;1/1/1990,"",IF(Main[[#This Row],[Class]]="C",WORKDAY(Main[[#This Row],[Tech Start Date]],19),IF(Main[[#This Row],[Class]]="B", WORKDAY(Main[[#This Row],[Tech Start Date]],12),IF(Main[[#This Row],[Class]]="A",WORKDAY(Main[[#This Row],[Tech Start Date]],4),""))))</f>
        <v>40975</v>
      </c>
      <c r="O120" s="69">
        <f>IF(Main[[#This Row],[Tech Start Date]]&lt;1/1/1990,"",IF(Main[[#This Row],[Class]]="C",WORKDAY(Main[[#This Row],[Tech Start Date]],23),IF(Main[[#This Row],[Class]]="B", WORKDAY(Main[[#This Row],[Tech Start Date]],15),IF(Main[[#This Row],[Class]]="A",WORKDAY(Main[[#This Row],[Tech Start Date]],5),""))))</f>
        <v>40981</v>
      </c>
      <c r="P120" s="69">
        <f>IF(Main[[#This Row],[Tech Start Date]]&lt;1/1/1990,"",IF(Main[[#This Row],[Class]]="C",WORKDAY(Main[[#This Row],[Tech Start Date]],28),IF(Main[[#This Row],[Class]]="B", WORKDAY(Main[[#This Row],[Tech Start Date]],19),IF(Main[[#This Row],[Class]]="A",WORKDAY(Main[[#This Row],[Tech Start Date]],9),""))))</f>
        <v>40988</v>
      </c>
      <c r="Q120" s="67">
        <v>40969</v>
      </c>
      <c r="R120" s="67">
        <v>40977</v>
      </c>
      <c r="S120" s="65" t="s">
        <v>11</v>
      </c>
      <c r="T120" s="70" t="s">
        <v>3900</v>
      </c>
      <c r="U120" s="65" t="s">
        <v>29</v>
      </c>
      <c r="V120" s="65" t="s">
        <v>1920</v>
      </c>
      <c r="W120" s="65" t="s">
        <v>1922</v>
      </c>
      <c r="X120" s="65" t="s">
        <v>554</v>
      </c>
      <c r="Y120" s="65" t="s">
        <v>2958</v>
      </c>
      <c r="Z120" s="65" t="s">
        <v>530</v>
      </c>
      <c r="AA120" s="65" t="s">
        <v>554</v>
      </c>
    </row>
    <row r="121" spans="1:27" ht="17.45" customHeight="1">
      <c r="A121" s="131">
        <f>IF(priority(Main[[#This Row],[Comments]])&lt;&gt;0, priority(Main[[#This Row],[Comments]]),"")</f>
        <v>38</v>
      </c>
      <c r="B121" s="99" t="s">
        <v>1228</v>
      </c>
      <c r="C121" s="65" t="s">
        <v>4</v>
      </c>
      <c r="D121" s="66" t="s">
        <v>2369</v>
      </c>
      <c r="E121" s="67">
        <v>40337.30976851852</v>
      </c>
      <c r="F121" s="67"/>
      <c r="G121" s="64" t="str">
        <f>IF(stdProdLT(Main[[#This Row],[Comments]])=0.1,"N/A",IF(stdProdLT(Main[[#This Row],[Comments]])=0,"",stdProdLT(Main[[#This Row],[Comments]])))</f>
        <v/>
      </c>
      <c r="H121" s="68" t="str">
        <f>IF(AND(Main[[#This Row],[In Stock Date]]&lt;&gt;"",Main[[#This Row],[Revised Due Date]]&lt;&gt;""),Main[[#This Row],[In Stock Date]]-Main[[#This Row],[Revised Due Date]],"")</f>
        <v/>
      </c>
      <c r="I121" s="65" t="s">
        <v>914</v>
      </c>
      <c r="J121" s="65" t="s">
        <v>52</v>
      </c>
      <c r="K121" s="65" t="s">
        <v>4</v>
      </c>
      <c r="L121" s="67"/>
      <c r="M121" s="69" t="str">
        <f>IF(Main[[#This Row],[Tech Start Date]]&lt;1/1/1990,"",IF(Main[[#This Row],[Class]]="C",WORKDAY(Main[[#This Row],[Tech Start Date]],9),IF(Main[[#This Row],[Class]]="B", WORKDAY(Main[[#This Row],[Tech Start Date]],6),IF(Main[[#This Row],[Class]]="A",WORKDAY(Main[[#This Row],[Tech Start Date]],2),""))))</f>
        <v/>
      </c>
      <c r="N121" s="69" t="str">
        <f>IF(Main[[#This Row],[Tech Start Date]]&lt;1/1/1990,"",IF(Main[[#This Row],[Class]]="C",WORKDAY(Main[[#This Row],[Tech Start Date]],19),IF(Main[[#This Row],[Class]]="B", WORKDAY(Main[[#This Row],[Tech Start Date]],12),IF(Main[[#This Row],[Class]]="A",WORKDAY(Main[[#This Row],[Tech Start Date]],4),""))))</f>
        <v/>
      </c>
      <c r="O121" s="69" t="str">
        <f>IF(Main[[#This Row],[Tech Start Date]]&lt;1/1/1990,"",IF(Main[[#This Row],[Class]]="C",WORKDAY(Main[[#This Row],[Tech Start Date]],23),IF(Main[[#This Row],[Class]]="B", WORKDAY(Main[[#This Row],[Tech Start Date]],15),IF(Main[[#This Row],[Class]]="A",WORKDAY(Main[[#This Row],[Tech Start Date]],5),""))))</f>
        <v/>
      </c>
      <c r="P121" s="69" t="str">
        <f>IF(Main[[#This Row],[Tech Start Date]]&lt;1/1/1990,"",IF(Main[[#This Row],[Class]]="C",WORKDAY(Main[[#This Row],[Tech Start Date]],28),IF(Main[[#This Row],[Class]]="B", WORKDAY(Main[[#This Row],[Tech Start Date]],19),IF(Main[[#This Row],[Class]]="A",WORKDAY(Main[[#This Row],[Tech Start Date]],9),""))))</f>
        <v/>
      </c>
      <c r="Q121" s="67">
        <v>40344</v>
      </c>
      <c r="R121" s="67"/>
      <c r="S121" s="65" t="s">
        <v>6</v>
      </c>
      <c r="T121" s="70" t="s">
        <v>2034</v>
      </c>
      <c r="U121" s="65" t="s">
        <v>29</v>
      </c>
      <c r="V121" s="65" t="s">
        <v>1917</v>
      </c>
      <c r="W121" s="65" t="s">
        <v>1921</v>
      </c>
      <c r="X121" s="65" t="s">
        <v>2872</v>
      </c>
      <c r="Y121" s="65" t="s">
        <v>3006</v>
      </c>
      <c r="Z121" s="65" t="s">
        <v>129</v>
      </c>
      <c r="AA121" s="65" t="s">
        <v>2872</v>
      </c>
    </row>
    <row r="122" spans="1:27" ht="17.45" customHeight="1">
      <c r="A122" s="131">
        <f>IF(priority(Main[[#This Row],[Comments]])&lt;&gt;0, priority(Main[[#This Row],[Comments]]),"")</f>
        <v>38</v>
      </c>
      <c r="B122" s="99" t="s">
        <v>1959</v>
      </c>
      <c r="C122" s="65" t="s">
        <v>116</v>
      </c>
      <c r="D122" s="66" t="s">
        <v>2617</v>
      </c>
      <c r="E122" s="67">
        <v>40722.573900462965</v>
      </c>
      <c r="F122" s="67">
        <v>41379</v>
      </c>
      <c r="G122" s="64" t="str">
        <f>IF(stdProdLT(Main[[#This Row],[Comments]])=0.1,"N/A",IF(stdProdLT(Main[[#This Row],[Comments]])=0,"",stdProdLT(Main[[#This Row],[Comments]])))</f>
        <v>N/A</v>
      </c>
      <c r="H122" s="68">
        <f>IF(AND(Main[[#This Row],[In Stock Date]]&lt;&gt;"",Main[[#This Row],[Revised Due Date]]&lt;&gt;""),Main[[#This Row],[In Stock Date]]-Main[[#This Row],[Revised Due Date]],"")</f>
        <v>410</v>
      </c>
      <c r="I122" s="65" t="s">
        <v>81</v>
      </c>
      <c r="J122" s="65" t="s">
        <v>21</v>
      </c>
      <c r="K122" s="65" t="s">
        <v>1930</v>
      </c>
      <c r="L122" s="67">
        <v>40767</v>
      </c>
      <c r="M122" s="69">
        <f>IF(Main[[#This Row],[Tech Start Date]]&lt;1/1/1990,"",IF(Main[[#This Row],[Class]]="C",WORKDAY(Main[[#This Row],[Tech Start Date]],9),IF(Main[[#This Row],[Class]]="B", WORKDAY(Main[[#This Row],[Tech Start Date]],6),IF(Main[[#This Row],[Class]]="A",WORKDAY(Main[[#This Row],[Tech Start Date]],2),""))))</f>
        <v>40780</v>
      </c>
      <c r="N122" s="69">
        <f>IF(Main[[#This Row],[Tech Start Date]]&lt;1/1/1990,"",IF(Main[[#This Row],[Class]]="C",WORKDAY(Main[[#This Row],[Tech Start Date]],19),IF(Main[[#This Row],[Class]]="B", WORKDAY(Main[[#This Row],[Tech Start Date]],12),IF(Main[[#This Row],[Class]]="A",WORKDAY(Main[[#This Row],[Tech Start Date]],4),""))))</f>
        <v>40794</v>
      </c>
      <c r="O122" s="69">
        <f>IF(Main[[#This Row],[Tech Start Date]]&lt;1/1/1990,"",IF(Main[[#This Row],[Class]]="C",WORKDAY(Main[[#This Row],[Tech Start Date]],23),IF(Main[[#This Row],[Class]]="B", WORKDAY(Main[[#This Row],[Tech Start Date]],15),IF(Main[[#This Row],[Class]]="A",WORKDAY(Main[[#This Row],[Tech Start Date]],5),""))))</f>
        <v>40800</v>
      </c>
      <c r="P122" s="69">
        <f>IF(Main[[#This Row],[Tech Start Date]]&lt;1/1/1990,"",IF(Main[[#This Row],[Class]]="C",WORKDAY(Main[[#This Row],[Tech Start Date]],28),IF(Main[[#This Row],[Class]]="B", WORKDAY(Main[[#This Row],[Tech Start Date]],19),IF(Main[[#This Row],[Class]]="A",WORKDAY(Main[[#This Row],[Tech Start Date]],9),""))))</f>
        <v>40807</v>
      </c>
      <c r="Q122" s="67">
        <v>41061</v>
      </c>
      <c r="R122" s="67">
        <v>40969</v>
      </c>
      <c r="S122" s="65" t="s">
        <v>11</v>
      </c>
      <c r="T122" s="70" t="s">
        <v>3833</v>
      </c>
      <c r="U122" s="65" t="s">
        <v>29</v>
      </c>
      <c r="V122" s="65" t="s">
        <v>1920</v>
      </c>
      <c r="W122" s="65" t="s">
        <v>1922</v>
      </c>
      <c r="X122" s="65" t="s">
        <v>2897</v>
      </c>
      <c r="Y122" s="65" t="s">
        <v>3108</v>
      </c>
      <c r="Z122" s="65" t="s">
        <v>81</v>
      </c>
      <c r="AA122" s="65" t="s">
        <v>2897</v>
      </c>
    </row>
    <row r="123" spans="1:27" ht="17.45" customHeight="1">
      <c r="A123" s="131">
        <f>IF(priority(Main[[#This Row],[Comments]])&lt;&gt;0, priority(Main[[#This Row],[Comments]]),"")</f>
        <v>39</v>
      </c>
      <c r="B123" s="99" t="s">
        <v>1405</v>
      </c>
      <c r="C123" s="65" t="s">
        <v>37</v>
      </c>
      <c r="D123" s="66" t="s">
        <v>485</v>
      </c>
      <c r="E123" s="67">
        <v>40682.478391203702</v>
      </c>
      <c r="F123" s="67"/>
      <c r="G123" s="64" t="str">
        <f>IF(stdProdLT(Main[[#This Row],[Comments]])=0.1,"N/A",IF(stdProdLT(Main[[#This Row],[Comments]])=0,"",stdProdLT(Main[[#This Row],[Comments]])))</f>
        <v/>
      </c>
      <c r="H123" s="68" t="str">
        <f>IF(AND(Main[[#This Row],[In Stock Date]]&lt;&gt;"",Main[[#This Row],[Revised Due Date]]&lt;&gt;""),Main[[#This Row],[In Stock Date]]-Main[[#This Row],[Revised Due Date]],"")</f>
        <v/>
      </c>
      <c r="I123" s="65" t="s">
        <v>4</v>
      </c>
      <c r="J123" s="65" t="s">
        <v>21</v>
      </c>
      <c r="K123" s="65" t="s">
        <v>4</v>
      </c>
      <c r="L123" s="67"/>
      <c r="M123" s="69" t="str">
        <f>IF(Main[[#This Row],[Tech Start Date]]&lt;1/1/1990,"",IF(Main[[#This Row],[Class]]="C",WORKDAY(Main[[#This Row],[Tech Start Date]],9),IF(Main[[#This Row],[Class]]="B", WORKDAY(Main[[#This Row],[Tech Start Date]],6),IF(Main[[#This Row],[Class]]="A",WORKDAY(Main[[#This Row],[Tech Start Date]],2),""))))</f>
        <v/>
      </c>
      <c r="N123" s="69" t="str">
        <f>IF(Main[[#This Row],[Tech Start Date]]&lt;1/1/1990,"",IF(Main[[#This Row],[Class]]="C",WORKDAY(Main[[#This Row],[Tech Start Date]],19),IF(Main[[#This Row],[Class]]="B", WORKDAY(Main[[#This Row],[Tech Start Date]],12),IF(Main[[#This Row],[Class]]="A",WORKDAY(Main[[#This Row],[Tech Start Date]],4),""))))</f>
        <v/>
      </c>
      <c r="O123" s="69" t="str">
        <f>IF(Main[[#This Row],[Tech Start Date]]&lt;1/1/1990,"",IF(Main[[#This Row],[Class]]="C",WORKDAY(Main[[#This Row],[Tech Start Date]],23),IF(Main[[#This Row],[Class]]="B", WORKDAY(Main[[#This Row],[Tech Start Date]],15),IF(Main[[#This Row],[Class]]="A",WORKDAY(Main[[#This Row],[Tech Start Date]],5),""))))</f>
        <v/>
      </c>
      <c r="P123" s="69" t="str">
        <f>IF(Main[[#This Row],[Tech Start Date]]&lt;1/1/1990,"",IF(Main[[#This Row],[Class]]="C",WORKDAY(Main[[#This Row],[Tech Start Date]],28),IF(Main[[#This Row],[Class]]="B", WORKDAY(Main[[#This Row],[Tech Start Date]],19),IF(Main[[#This Row],[Class]]="A",WORKDAY(Main[[#This Row],[Tech Start Date]],9),""))))</f>
        <v/>
      </c>
      <c r="Q123" s="67">
        <v>40696</v>
      </c>
      <c r="R123" s="67"/>
      <c r="S123" s="65" t="s">
        <v>6</v>
      </c>
      <c r="T123" s="70" t="s">
        <v>2035</v>
      </c>
      <c r="U123" s="65" t="s">
        <v>534</v>
      </c>
      <c r="V123" s="65" t="s">
        <v>1917</v>
      </c>
      <c r="W123" s="65" t="s">
        <v>1928</v>
      </c>
      <c r="X123" s="65" t="s">
        <v>972</v>
      </c>
      <c r="Y123" s="65" t="s">
        <v>3103</v>
      </c>
      <c r="Z123" s="65" t="s">
        <v>4</v>
      </c>
      <c r="AA123" s="65" t="s">
        <v>972</v>
      </c>
    </row>
    <row r="124" spans="1:27" ht="17.45" customHeight="1">
      <c r="A124" s="131">
        <f>IF(priority(Main[[#This Row],[Comments]])&lt;&gt;0, priority(Main[[#This Row],[Comments]]),"")</f>
        <v>39</v>
      </c>
      <c r="B124" s="99" t="s">
        <v>1961</v>
      </c>
      <c r="C124" s="65" t="s">
        <v>116</v>
      </c>
      <c r="D124" s="66" t="s">
        <v>2143</v>
      </c>
      <c r="E124" s="67">
        <v>40722.571018518516</v>
      </c>
      <c r="F124" s="67">
        <v>41379</v>
      </c>
      <c r="G124" s="64" t="str">
        <f>IF(stdProdLT(Main[[#This Row],[Comments]])=0.1,"N/A",IF(stdProdLT(Main[[#This Row],[Comments]])=0,"",stdProdLT(Main[[#This Row],[Comments]])))</f>
        <v>N/A</v>
      </c>
      <c r="H124" s="68">
        <f>IF(AND(Main[[#This Row],[In Stock Date]]&lt;&gt;"",Main[[#This Row],[Revised Due Date]]&lt;&gt;""),Main[[#This Row],[In Stock Date]]-Main[[#This Row],[Revised Due Date]],"")</f>
        <v>410</v>
      </c>
      <c r="I124" s="65" t="s">
        <v>81</v>
      </c>
      <c r="J124" s="65" t="s">
        <v>21</v>
      </c>
      <c r="K124" s="65" t="s">
        <v>1930</v>
      </c>
      <c r="L124" s="67">
        <v>40767</v>
      </c>
      <c r="M124" s="69">
        <f>IF(Main[[#This Row],[Tech Start Date]]&lt;1/1/1990,"",IF(Main[[#This Row],[Class]]="C",WORKDAY(Main[[#This Row],[Tech Start Date]],9),IF(Main[[#This Row],[Class]]="B", WORKDAY(Main[[#This Row],[Tech Start Date]],6),IF(Main[[#This Row],[Class]]="A",WORKDAY(Main[[#This Row],[Tech Start Date]],2),""))))</f>
        <v>40780</v>
      </c>
      <c r="N124" s="69">
        <f>IF(Main[[#This Row],[Tech Start Date]]&lt;1/1/1990,"",IF(Main[[#This Row],[Class]]="C",WORKDAY(Main[[#This Row],[Tech Start Date]],19),IF(Main[[#This Row],[Class]]="B", WORKDAY(Main[[#This Row],[Tech Start Date]],12),IF(Main[[#This Row],[Class]]="A",WORKDAY(Main[[#This Row],[Tech Start Date]],4),""))))</f>
        <v>40794</v>
      </c>
      <c r="O124" s="69">
        <f>IF(Main[[#This Row],[Tech Start Date]]&lt;1/1/1990,"",IF(Main[[#This Row],[Class]]="C",WORKDAY(Main[[#This Row],[Tech Start Date]],23),IF(Main[[#This Row],[Class]]="B", WORKDAY(Main[[#This Row],[Tech Start Date]],15),IF(Main[[#This Row],[Class]]="A",WORKDAY(Main[[#This Row],[Tech Start Date]],5),""))))</f>
        <v>40800</v>
      </c>
      <c r="P124" s="69">
        <f>IF(Main[[#This Row],[Tech Start Date]]&lt;1/1/1990,"",IF(Main[[#This Row],[Class]]="C",WORKDAY(Main[[#This Row],[Tech Start Date]],28),IF(Main[[#This Row],[Class]]="B", WORKDAY(Main[[#This Row],[Tech Start Date]],19),IF(Main[[#This Row],[Class]]="A",WORKDAY(Main[[#This Row],[Tech Start Date]],9),""))))</f>
        <v>40807</v>
      </c>
      <c r="Q124" s="67">
        <v>41061</v>
      </c>
      <c r="R124" s="67">
        <v>40969</v>
      </c>
      <c r="S124" s="65" t="s">
        <v>11</v>
      </c>
      <c r="T124" s="70" t="s">
        <v>3832</v>
      </c>
      <c r="U124" s="65" t="s">
        <v>29</v>
      </c>
      <c r="V124" s="65" t="s">
        <v>1920</v>
      </c>
      <c r="W124" s="65" t="s">
        <v>1922</v>
      </c>
      <c r="X124" s="65" t="s">
        <v>2897</v>
      </c>
      <c r="Y124" s="65" t="s">
        <v>3108</v>
      </c>
      <c r="Z124" s="65" t="s">
        <v>81</v>
      </c>
      <c r="AA124" s="65" t="s">
        <v>2897</v>
      </c>
    </row>
    <row r="125" spans="1:27" ht="17.45" customHeight="1">
      <c r="A125" s="131">
        <f>IF(priority(Main[[#This Row],[Comments]])&lt;&gt;0, priority(Main[[#This Row],[Comments]]),"")</f>
        <v>40</v>
      </c>
      <c r="B125" s="99" t="s">
        <v>1443</v>
      </c>
      <c r="C125" s="65" t="s">
        <v>4</v>
      </c>
      <c r="D125" s="66" t="s">
        <v>531</v>
      </c>
      <c r="E125" s="67">
        <v>40358.575729166667</v>
      </c>
      <c r="F125" s="67"/>
      <c r="G125" s="64" t="str">
        <f>IF(stdProdLT(Main[[#This Row],[Comments]])=0.1,"N/A",IF(stdProdLT(Main[[#This Row],[Comments]])=0,"",stdProdLT(Main[[#This Row],[Comments]])))</f>
        <v/>
      </c>
      <c r="H125" s="68" t="str">
        <f>IF(AND(Main[[#This Row],[In Stock Date]]&lt;&gt;"",Main[[#This Row],[Revised Due Date]]&lt;&gt;""),Main[[#This Row],[In Stock Date]]-Main[[#This Row],[Revised Due Date]],"")</f>
        <v/>
      </c>
      <c r="I125" s="65" t="s">
        <v>4</v>
      </c>
      <c r="J125" s="65" t="s">
        <v>21</v>
      </c>
      <c r="K125" s="65" t="s">
        <v>4</v>
      </c>
      <c r="L125" s="67"/>
      <c r="M125" s="69" t="str">
        <f>IF(Main[[#This Row],[Tech Start Date]]&lt;1/1/1990,"",IF(Main[[#This Row],[Class]]="C",WORKDAY(Main[[#This Row],[Tech Start Date]],9),IF(Main[[#This Row],[Class]]="B", WORKDAY(Main[[#This Row],[Tech Start Date]],6),IF(Main[[#This Row],[Class]]="A",WORKDAY(Main[[#This Row],[Tech Start Date]],2),""))))</f>
        <v/>
      </c>
      <c r="N125" s="69" t="str">
        <f>IF(Main[[#This Row],[Tech Start Date]]&lt;1/1/1990,"",IF(Main[[#This Row],[Class]]="C",WORKDAY(Main[[#This Row],[Tech Start Date]],19),IF(Main[[#This Row],[Class]]="B", WORKDAY(Main[[#This Row],[Tech Start Date]],12),IF(Main[[#This Row],[Class]]="A",WORKDAY(Main[[#This Row],[Tech Start Date]],4),""))))</f>
        <v/>
      </c>
      <c r="O125" s="69" t="str">
        <f>IF(Main[[#This Row],[Tech Start Date]]&lt;1/1/1990,"",IF(Main[[#This Row],[Class]]="C",WORKDAY(Main[[#This Row],[Tech Start Date]],23),IF(Main[[#This Row],[Class]]="B", WORKDAY(Main[[#This Row],[Tech Start Date]],15),IF(Main[[#This Row],[Class]]="A",WORKDAY(Main[[#This Row],[Tech Start Date]],5),""))))</f>
        <v/>
      </c>
      <c r="P125" s="69" t="str">
        <f>IF(Main[[#This Row],[Tech Start Date]]&lt;1/1/1990,"",IF(Main[[#This Row],[Class]]="C",WORKDAY(Main[[#This Row],[Tech Start Date]],28),IF(Main[[#This Row],[Class]]="B", WORKDAY(Main[[#This Row],[Tech Start Date]],19),IF(Main[[#This Row],[Class]]="A",WORKDAY(Main[[#This Row],[Tech Start Date]],9),""))))</f>
        <v/>
      </c>
      <c r="Q125" s="67">
        <v>40389</v>
      </c>
      <c r="R125" s="67"/>
      <c r="S125" s="65" t="s">
        <v>6</v>
      </c>
      <c r="T125" s="70" t="s">
        <v>2036</v>
      </c>
      <c r="U125" s="65" t="s">
        <v>7</v>
      </c>
      <c r="V125" s="65" t="s">
        <v>1917</v>
      </c>
      <c r="W125" s="65" t="s">
        <v>1921</v>
      </c>
      <c r="X125" s="65" t="s">
        <v>2825</v>
      </c>
      <c r="Y125" s="65" t="s">
        <v>2938</v>
      </c>
      <c r="Z125" s="65" t="s">
        <v>129</v>
      </c>
      <c r="AA125" s="65" t="s">
        <v>2825</v>
      </c>
    </row>
    <row r="126" spans="1:27" ht="17.45" customHeight="1">
      <c r="A126" s="131">
        <f>IF(priority(Main[[#This Row],[Comments]])&lt;&gt;0, priority(Main[[#This Row],[Comments]]),"")</f>
        <v>40</v>
      </c>
      <c r="B126" s="99" t="s">
        <v>1962</v>
      </c>
      <c r="C126" s="65" t="s">
        <v>116</v>
      </c>
      <c r="D126" s="66" t="s">
        <v>2144</v>
      </c>
      <c r="E126" s="67">
        <v>40722.572418981479</v>
      </c>
      <c r="F126" s="67">
        <v>41379</v>
      </c>
      <c r="G126" s="64" t="str">
        <f>IF(stdProdLT(Main[[#This Row],[Comments]])=0.1,"N/A",IF(stdProdLT(Main[[#This Row],[Comments]])=0,"",stdProdLT(Main[[#This Row],[Comments]])))</f>
        <v>N/A</v>
      </c>
      <c r="H126" s="68">
        <f>IF(AND(Main[[#This Row],[In Stock Date]]&lt;&gt;"",Main[[#This Row],[Revised Due Date]]&lt;&gt;""),Main[[#This Row],[In Stock Date]]-Main[[#This Row],[Revised Due Date]],"")</f>
        <v>410</v>
      </c>
      <c r="I126" s="65" t="s">
        <v>81</v>
      </c>
      <c r="J126" s="65" t="s">
        <v>21</v>
      </c>
      <c r="K126" s="65" t="s">
        <v>1930</v>
      </c>
      <c r="L126" s="67">
        <v>40767</v>
      </c>
      <c r="M126" s="69">
        <f>IF(Main[[#This Row],[Tech Start Date]]&lt;1/1/1990,"",IF(Main[[#This Row],[Class]]="C",WORKDAY(Main[[#This Row],[Tech Start Date]],9),IF(Main[[#This Row],[Class]]="B", WORKDAY(Main[[#This Row],[Tech Start Date]],6),IF(Main[[#This Row],[Class]]="A",WORKDAY(Main[[#This Row],[Tech Start Date]],2),""))))</f>
        <v>40780</v>
      </c>
      <c r="N126" s="69">
        <f>IF(Main[[#This Row],[Tech Start Date]]&lt;1/1/1990,"",IF(Main[[#This Row],[Class]]="C",WORKDAY(Main[[#This Row],[Tech Start Date]],19),IF(Main[[#This Row],[Class]]="B", WORKDAY(Main[[#This Row],[Tech Start Date]],12),IF(Main[[#This Row],[Class]]="A",WORKDAY(Main[[#This Row],[Tech Start Date]],4),""))))</f>
        <v>40794</v>
      </c>
      <c r="O126" s="69">
        <f>IF(Main[[#This Row],[Tech Start Date]]&lt;1/1/1990,"",IF(Main[[#This Row],[Class]]="C",WORKDAY(Main[[#This Row],[Tech Start Date]],23),IF(Main[[#This Row],[Class]]="B", WORKDAY(Main[[#This Row],[Tech Start Date]],15),IF(Main[[#This Row],[Class]]="A",WORKDAY(Main[[#This Row],[Tech Start Date]],5),""))))</f>
        <v>40800</v>
      </c>
      <c r="P126" s="69">
        <f>IF(Main[[#This Row],[Tech Start Date]]&lt;1/1/1990,"",IF(Main[[#This Row],[Class]]="C",WORKDAY(Main[[#This Row],[Tech Start Date]],28),IF(Main[[#This Row],[Class]]="B", WORKDAY(Main[[#This Row],[Tech Start Date]],19),IF(Main[[#This Row],[Class]]="A",WORKDAY(Main[[#This Row],[Tech Start Date]],9),""))))</f>
        <v>40807</v>
      </c>
      <c r="Q126" s="67">
        <v>41061</v>
      </c>
      <c r="R126" s="67">
        <v>40969</v>
      </c>
      <c r="S126" s="65" t="s">
        <v>11</v>
      </c>
      <c r="T126" s="70" t="s">
        <v>3830</v>
      </c>
      <c r="U126" s="65" t="s">
        <v>29</v>
      </c>
      <c r="V126" s="65" t="s">
        <v>1920</v>
      </c>
      <c r="W126" s="65" t="s">
        <v>1922</v>
      </c>
      <c r="X126" s="65" t="s">
        <v>2897</v>
      </c>
      <c r="Y126" s="65" t="s">
        <v>3108</v>
      </c>
      <c r="Z126" s="65" t="s">
        <v>81</v>
      </c>
      <c r="AA126" s="65" t="s">
        <v>2897</v>
      </c>
    </row>
    <row r="127" spans="1:27" ht="17.45" customHeight="1">
      <c r="A127" s="131">
        <f>IF(priority(Main[[#This Row],[Comments]])&lt;&gt;0, priority(Main[[#This Row],[Comments]]),"")</f>
        <v>41</v>
      </c>
      <c r="B127" s="99" t="s">
        <v>2001</v>
      </c>
      <c r="C127" s="65" t="s">
        <v>4</v>
      </c>
      <c r="D127" s="66" t="s">
        <v>2002</v>
      </c>
      <c r="E127" s="67">
        <v>40738.567210648151</v>
      </c>
      <c r="F127" s="67"/>
      <c r="G127" s="64" t="str">
        <f>IF(stdProdLT(Main[[#This Row],[Comments]])=0.1,"N/A",IF(stdProdLT(Main[[#This Row],[Comments]])=0,"",stdProdLT(Main[[#This Row],[Comments]])))</f>
        <v/>
      </c>
      <c r="H127" s="68" t="str">
        <f>IF(AND(Main[[#This Row],[In Stock Date]]&lt;&gt;"",Main[[#This Row],[Revised Due Date]]&lt;&gt;""),Main[[#This Row],[In Stock Date]]-Main[[#This Row],[Revised Due Date]],"")</f>
        <v/>
      </c>
      <c r="I127" s="65" t="s">
        <v>914</v>
      </c>
      <c r="J127" s="65" t="s">
        <v>52</v>
      </c>
      <c r="K127" s="65" t="s">
        <v>4</v>
      </c>
      <c r="L127" s="67"/>
      <c r="M127" s="69" t="str">
        <f>IF(Main[[#This Row],[Tech Start Date]]&lt;1/1/1990,"",IF(Main[[#This Row],[Class]]="C",WORKDAY(Main[[#This Row],[Tech Start Date]],9),IF(Main[[#This Row],[Class]]="B", WORKDAY(Main[[#This Row],[Tech Start Date]],6),IF(Main[[#This Row],[Class]]="A",WORKDAY(Main[[#This Row],[Tech Start Date]],2),""))))</f>
        <v/>
      </c>
      <c r="N127" s="69" t="str">
        <f>IF(Main[[#This Row],[Tech Start Date]]&lt;1/1/1990,"",IF(Main[[#This Row],[Class]]="C",WORKDAY(Main[[#This Row],[Tech Start Date]],19),IF(Main[[#This Row],[Class]]="B", WORKDAY(Main[[#This Row],[Tech Start Date]],12),IF(Main[[#This Row],[Class]]="A",WORKDAY(Main[[#This Row],[Tech Start Date]],4),""))))</f>
        <v/>
      </c>
      <c r="O127" s="69" t="str">
        <f>IF(Main[[#This Row],[Tech Start Date]]&lt;1/1/1990,"",IF(Main[[#This Row],[Class]]="C",WORKDAY(Main[[#This Row],[Tech Start Date]],23),IF(Main[[#This Row],[Class]]="B", WORKDAY(Main[[#This Row],[Tech Start Date]],15),IF(Main[[#This Row],[Class]]="A",WORKDAY(Main[[#This Row],[Tech Start Date]],5),""))))</f>
        <v/>
      </c>
      <c r="P127" s="69" t="str">
        <f>IF(Main[[#This Row],[Tech Start Date]]&lt;1/1/1990,"",IF(Main[[#This Row],[Class]]="C",WORKDAY(Main[[#This Row],[Tech Start Date]],28),IF(Main[[#This Row],[Class]]="B", WORKDAY(Main[[#This Row],[Tech Start Date]],19),IF(Main[[#This Row],[Class]]="A",WORKDAY(Main[[#This Row],[Tech Start Date]],9),""))))</f>
        <v/>
      </c>
      <c r="Q127" s="67">
        <v>40749</v>
      </c>
      <c r="R127" s="67"/>
      <c r="S127" s="65" t="s">
        <v>6</v>
      </c>
      <c r="T127" s="70" t="s">
        <v>2038</v>
      </c>
      <c r="U127" s="65" t="s">
        <v>29</v>
      </c>
      <c r="V127" s="65" t="s">
        <v>1917</v>
      </c>
      <c r="W127" s="65" t="s">
        <v>1923</v>
      </c>
      <c r="X127" s="65" t="s">
        <v>914</v>
      </c>
      <c r="Y127" s="65" t="s">
        <v>3055</v>
      </c>
      <c r="Z127" s="65" t="s">
        <v>129</v>
      </c>
      <c r="AA127" s="65" t="s">
        <v>2858</v>
      </c>
    </row>
    <row r="128" spans="1:27" ht="17.45" customHeight="1">
      <c r="A128" s="131">
        <f>IF(priority(Main[[#This Row],[Comments]])&lt;&gt;0, priority(Main[[#This Row],[Comments]]),"")</f>
        <v>41</v>
      </c>
      <c r="B128" s="99" t="s">
        <v>1960</v>
      </c>
      <c r="C128" s="65" t="s">
        <v>116</v>
      </c>
      <c r="D128" s="66" t="s">
        <v>2618</v>
      </c>
      <c r="E128" s="67">
        <v>40722.573182870372</v>
      </c>
      <c r="F128" s="67">
        <v>41379</v>
      </c>
      <c r="G128" s="64" t="str">
        <f>IF(stdProdLT(Main[[#This Row],[Comments]])=0.1,"N/A",IF(stdProdLT(Main[[#This Row],[Comments]])=0,"",stdProdLT(Main[[#This Row],[Comments]])))</f>
        <v>N/A</v>
      </c>
      <c r="H128" s="68">
        <f>IF(AND(Main[[#This Row],[In Stock Date]]&lt;&gt;"",Main[[#This Row],[Revised Due Date]]&lt;&gt;""),Main[[#This Row],[In Stock Date]]-Main[[#This Row],[Revised Due Date]],"")</f>
        <v>410</v>
      </c>
      <c r="I128" s="65" t="s">
        <v>81</v>
      </c>
      <c r="J128" s="65" t="s">
        <v>21</v>
      </c>
      <c r="K128" s="65" t="s">
        <v>1930</v>
      </c>
      <c r="L128" s="67">
        <v>40767</v>
      </c>
      <c r="M128" s="69">
        <f>IF(Main[[#This Row],[Tech Start Date]]&lt;1/1/1990,"",IF(Main[[#This Row],[Class]]="C",WORKDAY(Main[[#This Row],[Tech Start Date]],9),IF(Main[[#This Row],[Class]]="B", WORKDAY(Main[[#This Row],[Tech Start Date]],6),IF(Main[[#This Row],[Class]]="A",WORKDAY(Main[[#This Row],[Tech Start Date]],2),""))))</f>
        <v>40780</v>
      </c>
      <c r="N128" s="69">
        <f>IF(Main[[#This Row],[Tech Start Date]]&lt;1/1/1990,"",IF(Main[[#This Row],[Class]]="C",WORKDAY(Main[[#This Row],[Tech Start Date]],19),IF(Main[[#This Row],[Class]]="B", WORKDAY(Main[[#This Row],[Tech Start Date]],12),IF(Main[[#This Row],[Class]]="A",WORKDAY(Main[[#This Row],[Tech Start Date]],4),""))))</f>
        <v>40794</v>
      </c>
      <c r="O128" s="69">
        <f>IF(Main[[#This Row],[Tech Start Date]]&lt;1/1/1990,"",IF(Main[[#This Row],[Class]]="C",WORKDAY(Main[[#This Row],[Tech Start Date]],23),IF(Main[[#This Row],[Class]]="B", WORKDAY(Main[[#This Row],[Tech Start Date]],15),IF(Main[[#This Row],[Class]]="A",WORKDAY(Main[[#This Row],[Tech Start Date]],5),""))))</f>
        <v>40800</v>
      </c>
      <c r="P128" s="69">
        <f>IF(Main[[#This Row],[Tech Start Date]]&lt;1/1/1990,"",IF(Main[[#This Row],[Class]]="C",WORKDAY(Main[[#This Row],[Tech Start Date]],28),IF(Main[[#This Row],[Class]]="B", WORKDAY(Main[[#This Row],[Tech Start Date]],19),IF(Main[[#This Row],[Class]]="A",WORKDAY(Main[[#This Row],[Tech Start Date]],9),""))))</f>
        <v>40807</v>
      </c>
      <c r="Q128" s="67">
        <v>41061</v>
      </c>
      <c r="R128" s="67">
        <v>40969</v>
      </c>
      <c r="S128" s="65" t="s">
        <v>11</v>
      </c>
      <c r="T128" s="70" t="s">
        <v>3831</v>
      </c>
      <c r="U128" s="65" t="s">
        <v>29</v>
      </c>
      <c r="V128" s="65" t="s">
        <v>1920</v>
      </c>
      <c r="W128" s="65" t="s">
        <v>1922</v>
      </c>
      <c r="X128" s="65" t="s">
        <v>2897</v>
      </c>
      <c r="Y128" s="65" t="s">
        <v>3108</v>
      </c>
      <c r="Z128" s="65" t="s">
        <v>81</v>
      </c>
      <c r="AA128" s="65" t="s">
        <v>2897</v>
      </c>
    </row>
    <row r="129" spans="1:27" ht="17.45" customHeight="1">
      <c r="A129" s="131">
        <f>IF(priority(Main[[#This Row],[Comments]])&lt;&gt;0, priority(Main[[#This Row],[Comments]]),"")</f>
        <v>42</v>
      </c>
      <c r="B129" s="99" t="s">
        <v>3237</v>
      </c>
      <c r="C129" s="65" t="s">
        <v>3217</v>
      </c>
      <c r="D129" s="66" t="s">
        <v>3206</v>
      </c>
      <c r="E129" s="67"/>
      <c r="F129" s="67">
        <v>41153</v>
      </c>
      <c r="G129" s="64">
        <f>IF(stdProdLT(Main[[#This Row],[Comments]])=0.1,"N/A",IF(stdProdLT(Main[[#This Row],[Comments]])=0,"",stdProdLT(Main[[#This Row],[Comments]])))</f>
        <v>140</v>
      </c>
      <c r="H129" s="68" t="str">
        <f>IF(AND(Main[[#This Row],[In Stock Date]]&lt;&gt;"",Main[[#This Row],[Revised Due Date]]&lt;&gt;""),Main[[#This Row],[In Stock Date]]-Main[[#This Row],[Revised Due Date]],"")</f>
        <v/>
      </c>
      <c r="I129" s="65" t="s">
        <v>4</v>
      </c>
      <c r="J129" s="65" t="s">
        <v>4</v>
      </c>
      <c r="K129" s="65" t="s">
        <v>4</v>
      </c>
      <c r="L129" s="67"/>
      <c r="M129" s="69" t="str">
        <f>IF(Main[[#This Row],[Tech Start Date]]&lt;1/1/1990,"",IF(Main[[#This Row],[Class]]="C",WORKDAY(Main[[#This Row],[Tech Start Date]],9),IF(Main[[#This Row],[Class]]="B", WORKDAY(Main[[#This Row],[Tech Start Date]],6),IF(Main[[#This Row],[Class]]="A",WORKDAY(Main[[#This Row],[Tech Start Date]],2),""))))</f>
        <v/>
      </c>
      <c r="N129" s="69" t="str">
        <f>IF(Main[[#This Row],[Tech Start Date]]&lt;1/1/1990,"",IF(Main[[#This Row],[Class]]="C",WORKDAY(Main[[#This Row],[Tech Start Date]],19),IF(Main[[#This Row],[Class]]="B", WORKDAY(Main[[#This Row],[Tech Start Date]],12),IF(Main[[#This Row],[Class]]="A",WORKDAY(Main[[#This Row],[Tech Start Date]],4),""))))</f>
        <v/>
      </c>
      <c r="O129" s="69" t="str">
        <f>IF(Main[[#This Row],[Tech Start Date]]&lt;1/1/1990,"",IF(Main[[#This Row],[Class]]="C",WORKDAY(Main[[#This Row],[Tech Start Date]],23),IF(Main[[#This Row],[Class]]="B", WORKDAY(Main[[#This Row],[Tech Start Date]],15),IF(Main[[#This Row],[Class]]="A",WORKDAY(Main[[#This Row],[Tech Start Date]],5),""))))</f>
        <v/>
      </c>
      <c r="P129" s="69" t="str">
        <f>IF(Main[[#This Row],[Tech Start Date]]&lt;1/1/1990,"",IF(Main[[#This Row],[Class]]="C",WORKDAY(Main[[#This Row],[Tech Start Date]],28),IF(Main[[#This Row],[Class]]="B", WORKDAY(Main[[#This Row],[Tech Start Date]],19),IF(Main[[#This Row],[Class]]="A",WORKDAY(Main[[#This Row],[Tech Start Date]],9),""))))</f>
        <v/>
      </c>
      <c r="Q129" s="67">
        <v>40982</v>
      </c>
      <c r="R129" s="67"/>
      <c r="S129" s="65" t="s">
        <v>11</v>
      </c>
      <c r="T129" s="70" t="s">
        <v>3218</v>
      </c>
      <c r="U129" s="65" t="s">
        <v>12</v>
      </c>
      <c r="V129" s="65" t="s">
        <v>1927</v>
      </c>
      <c r="W129" s="65" t="s">
        <v>1923</v>
      </c>
      <c r="X129" s="65" t="s">
        <v>2854</v>
      </c>
      <c r="Y129" s="65" t="s">
        <v>4</v>
      </c>
      <c r="Z129" s="65" t="s">
        <v>4</v>
      </c>
      <c r="AA129" s="65" t="s">
        <v>2852</v>
      </c>
    </row>
    <row r="130" spans="1:27" ht="17.45" customHeight="1">
      <c r="A130" s="131">
        <f>IF(priority(Main[[#This Row],[Comments]])&lt;&gt;0, priority(Main[[#This Row],[Comments]]),"")</f>
        <v>42</v>
      </c>
      <c r="B130" s="99" t="s">
        <v>1892</v>
      </c>
      <c r="C130" s="65" t="s">
        <v>116</v>
      </c>
      <c r="D130" s="66" t="s">
        <v>2136</v>
      </c>
      <c r="E130" s="67">
        <v>40606.548784722225</v>
      </c>
      <c r="F130" s="67">
        <v>41258</v>
      </c>
      <c r="G130" s="64">
        <f>IF(stdProdLT(Main[[#This Row],[Comments]])=0.1,"N/A",IF(stdProdLT(Main[[#This Row],[Comments]])=0,"",stdProdLT(Main[[#This Row],[Comments]])))</f>
        <v>154</v>
      </c>
      <c r="H130" s="68">
        <f>IF(AND(Main[[#This Row],[In Stock Date]]&lt;&gt;"",Main[[#This Row],[Revised Due Date]]&lt;&gt;""),Main[[#This Row],[In Stock Date]]-Main[[#This Row],[Revised Due Date]],"")</f>
        <v>289</v>
      </c>
      <c r="I130" s="65" t="s">
        <v>415</v>
      </c>
      <c r="J130" s="65" t="s">
        <v>2611</v>
      </c>
      <c r="K130" s="65" t="s">
        <v>1930</v>
      </c>
      <c r="L130" s="67">
        <v>40623</v>
      </c>
      <c r="M130" s="69">
        <f>IF(Main[[#This Row],[Tech Start Date]]&lt;1/1/1990,"",IF(Main[[#This Row],[Class]]="C",WORKDAY(Main[[#This Row],[Tech Start Date]],9),IF(Main[[#This Row],[Class]]="B", WORKDAY(Main[[#This Row],[Tech Start Date]],6),IF(Main[[#This Row],[Class]]="A",WORKDAY(Main[[#This Row],[Tech Start Date]],2),""))))</f>
        <v>40634</v>
      </c>
      <c r="N130" s="69">
        <f>IF(Main[[#This Row],[Tech Start Date]]&lt;1/1/1990,"",IF(Main[[#This Row],[Class]]="C",WORKDAY(Main[[#This Row],[Tech Start Date]],19),IF(Main[[#This Row],[Class]]="B", WORKDAY(Main[[#This Row],[Tech Start Date]],12),IF(Main[[#This Row],[Class]]="A",WORKDAY(Main[[#This Row],[Tech Start Date]],4),""))))</f>
        <v>40648</v>
      </c>
      <c r="O130" s="69">
        <f>IF(Main[[#This Row],[Tech Start Date]]&lt;1/1/1990,"",IF(Main[[#This Row],[Class]]="C",WORKDAY(Main[[#This Row],[Tech Start Date]],23),IF(Main[[#This Row],[Class]]="B", WORKDAY(Main[[#This Row],[Tech Start Date]],15),IF(Main[[#This Row],[Class]]="A",WORKDAY(Main[[#This Row],[Tech Start Date]],5),""))))</f>
        <v>40654</v>
      </c>
      <c r="P130" s="69">
        <f>IF(Main[[#This Row],[Tech Start Date]]&lt;1/1/1990,"",IF(Main[[#This Row],[Class]]="C",WORKDAY(Main[[#This Row],[Tech Start Date]],28),IF(Main[[#This Row],[Class]]="B", WORKDAY(Main[[#This Row],[Tech Start Date]],19),IF(Main[[#This Row],[Class]]="A",WORKDAY(Main[[#This Row],[Tech Start Date]],9),""))))</f>
        <v>40661</v>
      </c>
      <c r="Q130" s="67">
        <v>41082</v>
      </c>
      <c r="R130" s="67">
        <v>40969</v>
      </c>
      <c r="S130" s="65" t="s">
        <v>11</v>
      </c>
      <c r="T130" s="70" t="s">
        <v>3825</v>
      </c>
      <c r="U130" s="65" t="s">
        <v>29</v>
      </c>
      <c r="V130" s="65" t="s">
        <v>1920</v>
      </c>
      <c r="W130" s="65" t="s">
        <v>1922</v>
      </c>
      <c r="X130" s="65" t="s">
        <v>2850</v>
      </c>
      <c r="Y130" s="65" t="s">
        <v>2983</v>
      </c>
      <c r="Z130" s="65" t="s">
        <v>896</v>
      </c>
      <c r="AA130" s="65" t="s">
        <v>2850</v>
      </c>
    </row>
    <row r="131" spans="1:27" ht="17.45" customHeight="1">
      <c r="A131" s="131">
        <f>IF(priority(Main[[#This Row],[Comments]])&lt;&gt;0, priority(Main[[#This Row],[Comments]]),"")</f>
        <v>42</v>
      </c>
      <c r="B131" s="99" t="s">
        <v>1889</v>
      </c>
      <c r="C131" s="65" t="s">
        <v>116</v>
      </c>
      <c r="D131" s="66" t="s">
        <v>2322</v>
      </c>
      <c r="E131" s="67">
        <v>40641.274907407409</v>
      </c>
      <c r="F131" s="67">
        <v>40714</v>
      </c>
      <c r="G131" s="64" t="str">
        <f>IF(stdProdLT(Main[[#This Row],[Comments]])=0.1,"N/A",IF(stdProdLT(Main[[#This Row],[Comments]])=0,"",stdProdLT(Main[[#This Row],[Comments]])))</f>
        <v/>
      </c>
      <c r="H131" s="68">
        <f>IF(AND(Main[[#This Row],[In Stock Date]]&lt;&gt;"",Main[[#This Row],[Revised Due Date]]&lt;&gt;""),Main[[#This Row],[In Stock Date]]-Main[[#This Row],[Revised Due Date]],"")</f>
        <v>0</v>
      </c>
      <c r="I131" s="65" t="s">
        <v>914</v>
      </c>
      <c r="J131" s="65" t="s">
        <v>21</v>
      </c>
      <c r="K131" s="65" t="s">
        <v>1930</v>
      </c>
      <c r="L131" s="67">
        <v>40679</v>
      </c>
      <c r="M131" s="69">
        <f>IF(Main[[#This Row],[Tech Start Date]]&lt;1/1/1990,"",IF(Main[[#This Row],[Class]]="C",WORKDAY(Main[[#This Row],[Tech Start Date]],9),IF(Main[[#This Row],[Class]]="B", WORKDAY(Main[[#This Row],[Tech Start Date]],6),IF(Main[[#This Row],[Class]]="A",WORKDAY(Main[[#This Row],[Tech Start Date]],2),""))))</f>
        <v>40690</v>
      </c>
      <c r="N131" s="69">
        <f>IF(Main[[#This Row],[Tech Start Date]]&lt;1/1/1990,"",IF(Main[[#This Row],[Class]]="C",WORKDAY(Main[[#This Row],[Tech Start Date]],19),IF(Main[[#This Row],[Class]]="B", WORKDAY(Main[[#This Row],[Tech Start Date]],12),IF(Main[[#This Row],[Class]]="A",WORKDAY(Main[[#This Row],[Tech Start Date]],4),""))))</f>
        <v>40704</v>
      </c>
      <c r="O131" s="69">
        <f>IF(Main[[#This Row],[Tech Start Date]]&lt;1/1/1990,"",IF(Main[[#This Row],[Class]]="C",WORKDAY(Main[[#This Row],[Tech Start Date]],23),IF(Main[[#This Row],[Class]]="B", WORKDAY(Main[[#This Row],[Tech Start Date]],15),IF(Main[[#This Row],[Class]]="A",WORKDAY(Main[[#This Row],[Tech Start Date]],5),""))))</f>
        <v>40710</v>
      </c>
      <c r="P131" s="69">
        <f>IF(Main[[#This Row],[Tech Start Date]]&lt;1/1/1990,"",IF(Main[[#This Row],[Class]]="C",WORKDAY(Main[[#This Row],[Tech Start Date]],28),IF(Main[[#This Row],[Class]]="B", WORKDAY(Main[[#This Row],[Tech Start Date]],19),IF(Main[[#This Row],[Class]]="A",WORKDAY(Main[[#This Row],[Tech Start Date]],9),""))))</f>
        <v>40717</v>
      </c>
      <c r="Q131" s="67">
        <v>40714</v>
      </c>
      <c r="R131" s="67">
        <v>40714</v>
      </c>
      <c r="S131" s="65" t="s">
        <v>6</v>
      </c>
      <c r="T131" s="70" t="s">
        <v>2039</v>
      </c>
      <c r="U131" s="65" t="s">
        <v>29</v>
      </c>
      <c r="V131" s="65" t="s">
        <v>1917</v>
      </c>
      <c r="W131" s="65" t="s">
        <v>1919</v>
      </c>
      <c r="X131" s="65" t="s">
        <v>126</v>
      </c>
      <c r="Y131" s="65" t="s">
        <v>3039</v>
      </c>
      <c r="Z131" s="65" t="s">
        <v>129</v>
      </c>
      <c r="AA131" s="65" t="s">
        <v>126</v>
      </c>
    </row>
    <row r="132" spans="1:27" ht="17.45" customHeight="1">
      <c r="A132" s="131">
        <f>IF(priority(Main[[#This Row],[Comments]])&lt;&gt;0, priority(Main[[#This Row],[Comments]]),"")</f>
        <v>42</v>
      </c>
      <c r="B132" s="99" t="s">
        <v>3205</v>
      </c>
      <c r="C132" s="65" t="s">
        <v>3217</v>
      </c>
      <c r="D132" s="66" t="s">
        <v>3206</v>
      </c>
      <c r="E132" s="67"/>
      <c r="F132" s="67">
        <v>41153</v>
      </c>
      <c r="G132" s="64">
        <f>IF(stdProdLT(Main[[#This Row],[Comments]])=0.1,"N/A",IF(stdProdLT(Main[[#This Row],[Comments]])=0,"",stdProdLT(Main[[#This Row],[Comments]])))</f>
        <v>140</v>
      </c>
      <c r="H132" s="68">
        <f>IF(AND(Main[[#This Row],[In Stock Date]]&lt;&gt;"",Main[[#This Row],[Revised Due Date]]&lt;&gt;""),Main[[#This Row],[In Stock Date]]-Main[[#This Row],[Revised Due Date]],"")</f>
        <v>194</v>
      </c>
      <c r="I132" s="65" t="s">
        <v>69</v>
      </c>
      <c r="J132" s="65" t="s">
        <v>70</v>
      </c>
      <c r="K132" s="65" t="s">
        <v>1924</v>
      </c>
      <c r="L132" s="67">
        <v>40925</v>
      </c>
      <c r="M132" s="69">
        <f>IF(Main[[#This Row],[Tech Start Date]]&lt;1/1/1990,"",IF(Main[[#This Row],[Class]]="C",WORKDAY(Main[[#This Row],[Tech Start Date]],9),IF(Main[[#This Row],[Class]]="B", WORKDAY(Main[[#This Row],[Tech Start Date]],6),IF(Main[[#This Row],[Class]]="A",WORKDAY(Main[[#This Row],[Tech Start Date]],2),""))))</f>
        <v>40933</v>
      </c>
      <c r="N132" s="69">
        <f>IF(Main[[#This Row],[Tech Start Date]]&lt;1/1/1990,"",IF(Main[[#This Row],[Class]]="C",WORKDAY(Main[[#This Row],[Tech Start Date]],19),IF(Main[[#This Row],[Class]]="B", WORKDAY(Main[[#This Row],[Tech Start Date]],12),IF(Main[[#This Row],[Class]]="A",WORKDAY(Main[[#This Row],[Tech Start Date]],4),""))))</f>
        <v>40941</v>
      </c>
      <c r="O132" s="69">
        <f>IF(Main[[#This Row],[Tech Start Date]]&lt;1/1/1990,"",IF(Main[[#This Row],[Class]]="C",WORKDAY(Main[[#This Row],[Tech Start Date]],23),IF(Main[[#This Row],[Class]]="B", WORKDAY(Main[[#This Row],[Tech Start Date]],15),IF(Main[[#This Row],[Class]]="A",WORKDAY(Main[[#This Row],[Tech Start Date]],5),""))))</f>
        <v>40946</v>
      </c>
      <c r="P132" s="69">
        <f>IF(Main[[#This Row],[Tech Start Date]]&lt;1/1/1990,"",IF(Main[[#This Row],[Class]]="C",WORKDAY(Main[[#This Row],[Tech Start Date]],28),IF(Main[[#This Row],[Class]]="B", WORKDAY(Main[[#This Row],[Tech Start Date]],19),IF(Main[[#This Row],[Class]]="A",WORKDAY(Main[[#This Row],[Tech Start Date]],9),""))))</f>
        <v>40952</v>
      </c>
      <c r="Q132" s="67">
        <v>40959</v>
      </c>
      <c r="R132" s="67">
        <v>40959</v>
      </c>
      <c r="S132" s="65" t="s">
        <v>11</v>
      </c>
      <c r="T132" s="70" t="s">
        <v>3245</v>
      </c>
      <c r="U132" s="65" t="s">
        <v>14</v>
      </c>
      <c r="V132" s="65" t="s">
        <v>1927</v>
      </c>
      <c r="W132" s="65" t="s">
        <v>1923</v>
      </c>
      <c r="X132" s="65" t="s">
        <v>2852</v>
      </c>
      <c r="Y132" s="65" t="s">
        <v>4</v>
      </c>
      <c r="Z132" s="65" t="s">
        <v>530</v>
      </c>
      <c r="AA132" s="65" t="s">
        <v>2852</v>
      </c>
    </row>
    <row r="133" spans="1:27" ht="17.45" customHeight="1">
      <c r="A133" s="131">
        <f>IF(priority(Main[[#This Row],[Comments]])&lt;&gt;0, priority(Main[[#This Row],[Comments]]),"")</f>
        <v>43</v>
      </c>
      <c r="B133" s="99" t="s">
        <v>1890</v>
      </c>
      <c r="C133" s="65" t="s">
        <v>116</v>
      </c>
      <c r="D133" s="66" t="s">
        <v>2323</v>
      </c>
      <c r="E133" s="67">
        <v>40668.56144675926</v>
      </c>
      <c r="F133" s="67">
        <v>40714</v>
      </c>
      <c r="G133" s="64" t="str">
        <f>IF(stdProdLT(Main[[#This Row],[Comments]])=0.1,"N/A",IF(stdProdLT(Main[[#This Row],[Comments]])=0,"",stdProdLT(Main[[#This Row],[Comments]])))</f>
        <v/>
      </c>
      <c r="H133" s="68">
        <f>IF(AND(Main[[#This Row],[In Stock Date]]&lt;&gt;"",Main[[#This Row],[Revised Due Date]]&lt;&gt;""),Main[[#This Row],[In Stock Date]]-Main[[#This Row],[Revised Due Date]],"")</f>
        <v>0</v>
      </c>
      <c r="I133" s="65" t="s">
        <v>914</v>
      </c>
      <c r="J133" s="65" t="s">
        <v>21</v>
      </c>
      <c r="K133" s="65" t="s">
        <v>1930</v>
      </c>
      <c r="L133" s="67">
        <v>40679</v>
      </c>
      <c r="M133" s="69">
        <f>IF(Main[[#This Row],[Tech Start Date]]&lt;1/1/1990,"",IF(Main[[#This Row],[Class]]="C",WORKDAY(Main[[#This Row],[Tech Start Date]],9),IF(Main[[#This Row],[Class]]="B", WORKDAY(Main[[#This Row],[Tech Start Date]],6),IF(Main[[#This Row],[Class]]="A",WORKDAY(Main[[#This Row],[Tech Start Date]],2),""))))</f>
        <v>40690</v>
      </c>
      <c r="N133" s="69">
        <f>IF(Main[[#This Row],[Tech Start Date]]&lt;1/1/1990,"",IF(Main[[#This Row],[Class]]="C",WORKDAY(Main[[#This Row],[Tech Start Date]],19),IF(Main[[#This Row],[Class]]="B", WORKDAY(Main[[#This Row],[Tech Start Date]],12),IF(Main[[#This Row],[Class]]="A",WORKDAY(Main[[#This Row],[Tech Start Date]],4),""))))</f>
        <v>40704</v>
      </c>
      <c r="O133" s="69">
        <f>IF(Main[[#This Row],[Tech Start Date]]&lt;1/1/1990,"",IF(Main[[#This Row],[Class]]="C",WORKDAY(Main[[#This Row],[Tech Start Date]],23),IF(Main[[#This Row],[Class]]="B", WORKDAY(Main[[#This Row],[Tech Start Date]],15),IF(Main[[#This Row],[Class]]="A",WORKDAY(Main[[#This Row],[Tech Start Date]],5),""))))</f>
        <v>40710</v>
      </c>
      <c r="P133" s="69">
        <f>IF(Main[[#This Row],[Tech Start Date]]&lt;1/1/1990,"",IF(Main[[#This Row],[Class]]="C",WORKDAY(Main[[#This Row],[Tech Start Date]],28),IF(Main[[#This Row],[Class]]="B", WORKDAY(Main[[#This Row],[Tech Start Date]],19),IF(Main[[#This Row],[Class]]="A",WORKDAY(Main[[#This Row],[Tech Start Date]],9),""))))</f>
        <v>40717</v>
      </c>
      <c r="Q133" s="67">
        <v>40714</v>
      </c>
      <c r="R133" s="67">
        <v>40714</v>
      </c>
      <c r="S133" s="65" t="s">
        <v>6</v>
      </c>
      <c r="T133" s="70" t="s">
        <v>2507</v>
      </c>
      <c r="U133" s="65" t="s">
        <v>29</v>
      </c>
      <c r="V133" s="65" t="s">
        <v>1917</v>
      </c>
      <c r="W133" s="65" t="s">
        <v>1919</v>
      </c>
      <c r="X133" s="65" t="s">
        <v>126</v>
      </c>
      <c r="Y133" s="65" t="s">
        <v>3039</v>
      </c>
      <c r="Z133" s="65" t="s">
        <v>129</v>
      </c>
      <c r="AA133" s="65" t="s">
        <v>126</v>
      </c>
    </row>
    <row r="134" spans="1:27" ht="17.45" customHeight="1">
      <c r="A134" s="131">
        <f>IF(priority(Main[[#This Row],[Comments]])&lt;&gt;0, priority(Main[[#This Row],[Comments]]),"")</f>
        <v>43</v>
      </c>
      <c r="B134" s="99" t="s">
        <v>2641</v>
      </c>
      <c r="C134" s="65" t="s">
        <v>2642</v>
      </c>
      <c r="D134" s="66" t="s">
        <v>2643</v>
      </c>
      <c r="E134" s="67">
        <v>40848.70516203704</v>
      </c>
      <c r="F134" s="67">
        <v>40969</v>
      </c>
      <c r="G134" s="64" t="str">
        <f>IF(stdProdLT(Main[[#This Row],[Comments]])=0.1,"N/A",IF(stdProdLT(Main[[#This Row],[Comments]])=0,"",stdProdLT(Main[[#This Row],[Comments]])))</f>
        <v>N/A</v>
      </c>
      <c r="H134" s="68">
        <f>IF(AND(Main[[#This Row],[In Stock Date]]&lt;&gt;"",Main[[#This Row],[Revised Due Date]]&lt;&gt;""),Main[[#This Row],[In Stock Date]]-Main[[#This Row],[Revised Due Date]],"")</f>
        <v>6</v>
      </c>
      <c r="I134" s="65" t="s">
        <v>69</v>
      </c>
      <c r="J134" s="65" t="s">
        <v>28</v>
      </c>
      <c r="K134" s="71" t="s">
        <v>1926</v>
      </c>
      <c r="L134" s="67">
        <v>40849</v>
      </c>
      <c r="M134" s="69">
        <f>IF(Main[[#This Row],[Tech Start Date]]&lt;1/1/1990,"",IF(Main[[#This Row],[Class]]="C",WORKDAY(Main[[#This Row],[Tech Start Date]],9),IF(Main[[#This Row],[Class]]="B", WORKDAY(Main[[#This Row],[Tech Start Date]],6),IF(Main[[#This Row],[Class]]="A",WORKDAY(Main[[#This Row],[Tech Start Date]],2),""))))</f>
        <v>40851</v>
      </c>
      <c r="N134" s="69">
        <f>IF(Main[[#This Row],[Tech Start Date]]&lt;1/1/1990,"",IF(Main[[#This Row],[Class]]="C",WORKDAY(Main[[#This Row],[Tech Start Date]],19),IF(Main[[#This Row],[Class]]="B", WORKDAY(Main[[#This Row],[Tech Start Date]],12),IF(Main[[#This Row],[Class]]="A",WORKDAY(Main[[#This Row],[Tech Start Date]],4),""))))</f>
        <v>40855</v>
      </c>
      <c r="O134" s="69">
        <f>IF(Main[[#This Row],[Tech Start Date]]&lt;1/1/1990,"",IF(Main[[#This Row],[Class]]="C",WORKDAY(Main[[#This Row],[Tech Start Date]],23),IF(Main[[#This Row],[Class]]="B", WORKDAY(Main[[#This Row],[Tech Start Date]],15),IF(Main[[#This Row],[Class]]="A",WORKDAY(Main[[#This Row],[Tech Start Date]],5),""))))</f>
        <v>40856</v>
      </c>
      <c r="P134" s="69">
        <f>IF(Main[[#This Row],[Tech Start Date]]&lt;1/1/1990,"",IF(Main[[#This Row],[Class]]="C",WORKDAY(Main[[#This Row],[Tech Start Date]],28),IF(Main[[#This Row],[Class]]="B", WORKDAY(Main[[#This Row],[Tech Start Date]],19),IF(Main[[#This Row],[Class]]="A",WORKDAY(Main[[#This Row],[Tech Start Date]],9),""))))</f>
        <v>40862</v>
      </c>
      <c r="Q134" s="67"/>
      <c r="R134" s="67">
        <v>40963</v>
      </c>
      <c r="S134" s="65" t="s">
        <v>11</v>
      </c>
      <c r="T134" s="70" t="s">
        <v>3845</v>
      </c>
      <c r="U134" s="65" t="s">
        <v>29</v>
      </c>
      <c r="V134" s="65" t="s">
        <v>1927</v>
      </c>
      <c r="W134" s="65" t="s">
        <v>1921</v>
      </c>
      <c r="X134" s="65" t="s">
        <v>2847</v>
      </c>
      <c r="Y134" s="65" t="s">
        <v>2977</v>
      </c>
      <c r="Z134" s="65" t="s">
        <v>2871</v>
      </c>
      <c r="AA134" s="65" t="s">
        <v>2847</v>
      </c>
    </row>
    <row r="135" spans="1:27" ht="17.45" customHeight="1">
      <c r="A135" s="131">
        <f>IF(priority(Main[[#This Row],[Comments]])&lt;&gt;0, priority(Main[[#This Row],[Comments]]),"")</f>
        <v>46</v>
      </c>
      <c r="B135" s="99" t="s">
        <v>2534</v>
      </c>
      <c r="C135" s="65" t="s">
        <v>2011</v>
      </c>
      <c r="D135" s="66" t="s">
        <v>2535</v>
      </c>
      <c r="E135" s="67"/>
      <c r="F135" s="67"/>
      <c r="G135" s="64">
        <f>IF(stdProdLT(Main[[#This Row],[Comments]])=0.1,"N/A",IF(stdProdLT(Main[[#This Row],[Comments]])=0,"",stdProdLT(Main[[#This Row],[Comments]])))</f>
        <v>168</v>
      </c>
      <c r="H135" s="68" t="str">
        <f>IF(AND(Main[[#This Row],[In Stock Date]]&lt;&gt;"",Main[[#This Row],[Revised Due Date]]&lt;&gt;""),Main[[#This Row],[In Stock Date]]-Main[[#This Row],[Revised Due Date]],"")</f>
        <v/>
      </c>
      <c r="I135" s="65" t="s">
        <v>4</v>
      </c>
      <c r="J135" s="65" t="s">
        <v>4</v>
      </c>
      <c r="K135" s="65" t="s">
        <v>4</v>
      </c>
      <c r="L135" s="67"/>
      <c r="M135" s="69" t="str">
        <f>IF(Main[[#This Row],[Tech Start Date]]&lt;1/1/1990,"",IF(Main[[#This Row],[Class]]="C",WORKDAY(Main[[#This Row],[Tech Start Date]],9),IF(Main[[#This Row],[Class]]="B", WORKDAY(Main[[#This Row],[Tech Start Date]],6),IF(Main[[#This Row],[Class]]="A",WORKDAY(Main[[#This Row],[Tech Start Date]],2),""))))</f>
        <v/>
      </c>
      <c r="N135" s="69" t="str">
        <f>IF(Main[[#This Row],[Tech Start Date]]&lt;1/1/1990,"",IF(Main[[#This Row],[Class]]="C",WORKDAY(Main[[#This Row],[Tech Start Date]],19),IF(Main[[#This Row],[Class]]="B", WORKDAY(Main[[#This Row],[Tech Start Date]],12),IF(Main[[#This Row],[Class]]="A",WORKDAY(Main[[#This Row],[Tech Start Date]],4),""))))</f>
        <v/>
      </c>
      <c r="O135" s="69" t="str">
        <f>IF(Main[[#This Row],[Tech Start Date]]&lt;1/1/1990,"",IF(Main[[#This Row],[Class]]="C",WORKDAY(Main[[#This Row],[Tech Start Date]],23),IF(Main[[#This Row],[Class]]="B", WORKDAY(Main[[#This Row],[Tech Start Date]],15),IF(Main[[#This Row],[Class]]="A",WORKDAY(Main[[#This Row],[Tech Start Date]],5),""))))</f>
        <v/>
      </c>
      <c r="P135" s="69" t="str">
        <f>IF(Main[[#This Row],[Tech Start Date]]&lt;1/1/1990,"",IF(Main[[#This Row],[Class]]="C",WORKDAY(Main[[#This Row],[Tech Start Date]],28),IF(Main[[#This Row],[Class]]="B", WORKDAY(Main[[#This Row],[Tech Start Date]],19),IF(Main[[#This Row],[Class]]="A",WORKDAY(Main[[#This Row],[Tech Start Date]],9),""))))</f>
        <v/>
      </c>
      <c r="Q135" s="67">
        <v>40874</v>
      </c>
      <c r="R135" s="67"/>
      <c r="S135" s="65" t="s">
        <v>11</v>
      </c>
      <c r="T135" s="70" t="s">
        <v>2536</v>
      </c>
      <c r="U135" s="65" t="s">
        <v>14</v>
      </c>
      <c r="V135" s="65" t="s">
        <v>1920</v>
      </c>
      <c r="W135" s="65" t="s">
        <v>1919</v>
      </c>
      <c r="X135" s="65" t="s">
        <v>2860</v>
      </c>
      <c r="Y135" s="65" t="s">
        <v>4</v>
      </c>
      <c r="Z135" s="65" t="s">
        <v>4</v>
      </c>
      <c r="AA135" s="65" t="s">
        <v>2860</v>
      </c>
    </row>
    <row r="136" spans="1:27" ht="17.45" customHeight="1">
      <c r="A136" s="131" t="str">
        <f>IF(priority(Main[[#This Row],[Comments]])&lt;&gt;0, priority(Main[[#This Row],[Comments]]),"")</f>
        <v/>
      </c>
      <c r="B136" s="99" t="s">
        <v>1014</v>
      </c>
      <c r="C136" s="65" t="s">
        <v>4</v>
      </c>
      <c r="D136" s="66" t="s">
        <v>18</v>
      </c>
      <c r="E136" s="67"/>
      <c r="F136" s="67"/>
      <c r="G136" s="64" t="str">
        <f>IF(stdProdLT(Main[[#This Row],[Comments]])=0.1,"N/A",IF(stdProdLT(Main[[#This Row],[Comments]])=0,"",stdProdLT(Main[[#This Row],[Comments]])))</f>
        <v/>
      </c>
      <c r="H136" s="68" t="str">
        <f>IF(AND(Main[[#This Row],[In Stock Date]]&lt;&gt;"",Main[[#This Row],[Revised Due Date]]&lt;&gt;""),Main[[#This Row],[In Stock Date]]-Main[[#This Row],[Revised Due Date]],"")</f>
        <v/>
      </c>
      <c r="I136" s="65" t="s">
        <v>4</v>
      </c>
      <c r="J136" s="65" t="s">
        <v>4</v>
      </c>
      <c r="K136" s="65" t="s">
        <v>4</v>
      </c>
      <c r="L136" s="67"/>
      <c r="M136" s="69" t="str">
        <f>IF(Main[[#This Row],[Tech Start Date]]&lt;1/1/1990,"",IF(Main[[#This Row],[Class]]="C",WORKDAY(Main[[#This Row],[Tech Start Date]],9),IF(Main[[#This Row],[Class]]="B", WORKDAY(Main[[#This Row],[Tech Start Date]],6),IF(Main[[#This Row],[Class]]="A",WORKDAY(Main[[#This Row],[Tech Start Date]],2),""))))</f>
        <v/>
      </c>
      <c r="N136" s="69" t="str">
        <f>IF(Main[[#This Row],[Tech Start Date]]&lt;1/1/1990,"",IF(Main[[#This Row],[Class]]="C",WORKDAY(Main[[#This Row],[Tech Start Date]],19),IF(Main[[#This Row],[Class]]="B", WORKDAY(Main[[#This Row],[Tech Start Date]],12),IF(Main[[#This Row],[Class]]="A",WORKDAY(Main[[#This Row],[Tech Start Date]],4),""))))</f>
        <v/>
      </c>
      <c r="O136" s="69" t="str">
        <f>IF(Main[[#This Row],[Tech Start Date]]&lt;1/1/1990,"",IF(Main[[#This Row],[Class]]="C",WORKDAY(Main[[#This Row],[Tech Start Date]],23),IF(Main[[#This Row],[Class]]="B", WORKDAY(Main[[#This Row],[Tech Start Date]],15),IF(Main[[#This Row],[Class]]="A",WORKDAY(Main[[#This Row],[Tech Start Date]],5),""))))</f>
        <v/>
      </c>
      <c r="P136" s="69" t="str">
        <f>IF(Main[[#This Row],[Tech Start Date]]&lt;1/1/1990,"",IF(Main[[#This Row],[Class]]="C",WORKDAY(Main[[#This Row],[Tech Start Date]],28),IF(Main[[#This Row],[Class]]="B", WORKDAY(Main[[#This Row],[Tech Start Date]],19),IF(Main[[#This Row],[Class]]="A",WORKDAY(Main[[#This Row],[Tech Start Date]],9),""))))</f>
        <v/>
      </c>
      <c r="Q136" s="67">
        <v>40585</v>
      </c>
      <c r="R136" s="67"/>
      <c r="S136" s="65" t="s">
        <v>11</v>
      </c>
      <c r="T136" s="70" t="s">
        <v>4</v>
      </c>
      <c r="U136" s="65" t="s">
        <v>14</v>
      </c>
      <c r="V136" s="65" t="s">
        <v>1917</v>
      </c>
      <c r="W136" s="65" t="s">
        <v>1922</v>
      </c>
      <c r="X136" s="65" t="s">
        <v>2827</v>
      </c>
      <c r="Y136" s="65" t="s">
        <v>2942</v>
      </c>
      <c r="Z136" s="65" t="s">
        <v>4</v>
      </c>
      <c r="AA136" s="65" t="s">
        <v>2827</v>
      </c>
    </row>
    <row r="137" spans="1:27" ht="17.45" customHeight="1">
      <c r="A137" s="131" t="str">
        <f>IF(priority(Main[[#This Row],[Comments]])&lt;&gt;0, priority(Main[[#This Row],[Comments]]),"")</f>
        <v/>
      </c>
      <c r="B137" s="99" t="s">
        <v>1935</v>
      </c>
      <c r="C137" s="65" t="s">
        <v>19</v>
      </c>
      <c r="D137" s="66" t="s">
        <v>20</v>
      </c>
      <c r="E137" s="67"/>
      <c r="F137" s="67">
        <v>40548</v>
      </c>
      <c r="G137" s="64" t="str">
        <f>IF(stdProdLT(Main[[#This Row],[Comments]])=0.1,"N/A",IF(stdProdLT(Main[[#This Row],[Comments]])=0,"",stdProdLT(Main[[#This Row],[Comments]])))</f>
        <v/>
      </c>
      <c r="H137" s="68" t="str">
        <f>IF(AND(Main[[#This Row],[In Stock Date]]&lt;&gt;"",Main[[#This Row],[Revised Due Date]]&lt;&gt;""),Main[[#This Row],[In Stock Date]]-Main[[#This Row],[Revised Due Date]],"")</f>
        <v/>
      </c>
      <c r="I137" s="65" t="s">
        <v>4</v>
      </c>
      <c r="J137" s="65" t="s">
        <v>21</v>
      </c>
      <c r="K137" s="65" t="s">
        <v>4</v>
      </c>
      <c r="L137" s="67"/>
      <c r="M137" s="69" t="str">
        <f>IF(Main[[#This Row],[Tech Start Date]]&lt;1/1/1990,"",IF(Main[[#This Row],[Class]]="C",WORKDAY(Main[[#This Row],[Tech Start Date]],9),IF(Main[[#This Row],[Class]]="B", WORKDAY(Main[[#This Row],[Tech Start Date]],6),IF(Main[[#This Row],[Class]]="A",WORKDAY(Main[[#This Row],[Tech Start Date]],2),""))))</f>
        <v/>
      </c>
      <c r="N137" s="69" t="str">
        <f>IF(Main[[#This Row],[Tech Start Date]]&lt;1/1/1990,"",IF(Main[[#This Row],[Class]]="C",WORKDAY(Main[[#This Row],[Tech Start Date]],19),IF(Main[[#This Row],[Class]]="B", WORKDAY(Main[[#This Row],[Tech Start Date]],12),IF(Main[[#This Row],[Class]]="A",WORKDAY(Main[[#This Row],[Tech Start Date]],4),""))))</f>
        <v/>
      </c>
      <c r="O137" s="69" t="str">
        <f>IF(Main[[#This Row],[Tech Start Date]]&lt;1/1/1990,"",IF(Main[[#This Row],[Class]]="C",WORKDAY(Main[[#This Row],[Tech Start Date]],23),IF(Main[[#This Row],[Class]]="B", WORKDAY(Main[[#This Row],[Tech Start Date]],15),IF(Main[[#This Row],[Class]]="A",WORKDAY(Main[[#This Row],[Tech Start Date]],5),""))))</f>
        <v/>
      </c>
      <c r="P137" s="69" t="str">
        <f>IF(Main[[#This Row],[Tech Start Date]]&lt;1/1/1990,"",IF(Main[[#This Row],[Class]]="C",WORKDAY(Main[[#This Row],[Tech Start Date]],28),IF(Main[[#This Row],[Class]]="B", WORKDAY(Main[[#This Row],[Tech Start Date]],19),IF(Main[[#This Row],[Class]]="A",WORKDAY(Main[[#This Row],[Tech Start Date]],9),""))))</f>
        <v/>
      </c>
      <c r="Q137" s="67">
        <v>40441</v>
      </c>
      <c r="R137" s="67"/>
      <c r="S137" s="65" t="s">
        <v>11</v>
      </c>
      <c r="T137" s="70" t="s">
        <v>4</v>
      </c>
      <c r="U137" s="65" t="s">
        <v>12</v>
      </c>
      <c r="V137" s="65" t="s">
        <v>1920</v>
      </c>
      <c r="W137" s="65" t="s">
        <v>1923</v>
      </c>
      <c r="X137" s="65" t="s">
        <v>81</v>
      </c>
      <c r="Y137" s="65" t="s">
        <v>2945</v>
      </c>
      <c r="Z137" s="65" t="s">
        <v>431</v>
      </c>
      <c r="AA137" s="65" t="s">
        <v>2839</v>
      </c>
    </row>
    <row r="138" spans="1:27" ht="17.45" customHeight="1">
      <c r="A138" s="131" t="str">
        <f>IF(priority(Main[[#This Row],[Comments]])&lt;&gt;0, priority(Main[[#This Row],[Comments]]),"")</f>
        <v/>
      </c>
      <c r="B138" s="99" t="s">
        <v>1015</v>
      </c>
      <c r="C138" s="65" t="s">
        <v>4</v>
      </c>
      <c r="D138" s="66" t="s">
        <v>22</v>
      </c>
      <c r="E138" s="67"/>
      <c r="F138" s="67"/>
      <c r="G138" s="64" t="str">
        <f>IF(stdProdLT(Main[[#This Row],[Comments]])=0.1,"N/A",IF(stdProdLT(Main[[#This Row],[Comments]])=0,"",stdProdLT(Main[[#This Row],[Comments]])))</f>
        <v/>
      </c>
      <c r="H138" s="68" t="str">
        <f>IF(AND(Main[[#This Row],[In Stock Date]]&lt;&gt;"",Main[[#This Row],[Revised Due Date]]&lt;&gt;""),Main[[#This Row],[In Stock Date]]-Main[[#This Row],[Revised Due Date]],"")</f>
        <v/>
      </c>
      <c r="I138" s="65" t="s">
        <v>4</v>
      </c>
      <c r="J138" s="65" t="s">
        <v>4</v>
      </c>
      <c r="K138" s="65" t="s">
        <v>4</v>
      </c>
      <c r="L138" s="67"/>
      <c r="M138" s="69" t="str">
        <f>IF(Main[[#This Row],[Tech Start Date]]&lt;1/1/1990,"",IF(Main[[#This Row],[Class]]="C",WORKDAY(Main[[#This Row],[Tech Start Date]],9),IF(Main[[#This Row],[Class]]="B", WORKDAY(Main[[#This Row],[Tech Start Date]],6),IF(Main[[#This Row],[Class]]="A",WORKDAY(Main[[#This Row],[Tech Start Date]],2),""))))</f>
        <v/>
      </c>
      <c r="N138" s="69" t="str">
        <f>IF(Main[[#This Row],[Tech Start Date]]&lt;1/1/1990,"",IF(Main[[#This Row],[Class]]="C",WORKDAY(Main[[#This Row],[Tech Start Date]],19),IF(Main[[#This Row],[Class]]="B", WORKDAY(Main[[#This Row],[Tech Start Date]],12),IF(Main[[#This Row],[Class]]="A",WORKDAY(Main[[#This Row],[Tech Start Date]],4),""))))</f>
        <v/>
      </c>
      <c r="O138" s="69" t="str">
        <f>IF(Main[[#This Row],[Tech Start Date]]&lt;1/1/1990,"",IF(Main[[#This Row],[Class]]="C",WORKDAY(Main[[#This Row],[Tech Start Date]],23),IF(Main[[#This Row],[Class]]="B", WORKDAY(Main[[#This Row],[Tech Start Date]],15),IF(Main[[#This Row],[Class]]="A",WORKDAY(Main[[#This Row],[Tech Start Date]],5),""))))</f>
        <v/>
      </c>
      <c r="P138" s="69" t="str">
        <f>IF(Main[[#This Row],[Tech Start Date]]&lt;1/1/1990,"",IF(Main[[#This Row],[Class]]="C",WORKDAY(Main[[#This Row],[Tech Start Date]],28),IF(Main[[#This Row],[Class]]="B", WORKDAY(Main[[#This Row],[Tech Start Date]],19),IF(Main[[#This Row],[Class]]="A",WORKDAY(Main[[#This Row],[Tech Start Date]],9),""))))</f>
        <v/>
      </c>
      <c r="Q138" s="67"/>
      <c r="R138" s="67"/>
      <c r="S138" s="65" t="s">
        <v>23</v>
      </c>
      <c r="T138" s="70" t="s">
        <v>4</v>
      </c>
      <c r="U138" s="65" t="s">
        <v>14</v>
      </c>
      <c r="V138" s="65" t="s">
        <v>1917</v>
      </c>
      <c r="W138" s="65" t="s">
        <v>1919</v>
      </c>
      <c r="X138" s="65" t="s">
        <v>306</v>
      </c>
      <c r="Y138" s="65" t="s">
        <v>4</v>
      </c>
      <c r="Z138" s="65" t="s">
        <v>4</v>
      </c>
      <c r="AA138" s="65" t="s">
        <v>3384</v>
      </c>
    </row>
    <row r="139" spans="1:27" ht="17.45" customHeight="1">
      <c r="A139" s="131" t="str">
        <f>IF(priority(Main[[#This Row],[Comments]])&lt;&gt;0, priority(Main[[#This Row],[Comments]]),"")</f>
        <v/>
      </c>
      <c r="B139" s="99" t="s">
        <v>1016</v>
      </c>
      <c r="C139" s="65" t="s">
        <v>24</v>
      </c>
      <c r="D139" s="66" t="s">
        <v>25</v>
      </c>
      <c r="E139" s="67"/>
      <c r="F139" s="67"/>
      <c r="G139" s="64" t="str">
        <f>IF(stdProdLT(Main[[#This Row],[Comments]])=0.1,"N/A",IF(stdProdLT(Main[[#This Row],[Comments]])=0,"",stdProdLT(Main[[#This Row],[Comments]])))</f>
        <v/>
      </c>
      <c r="H139" s="68" t="str">
        <f>IF(AND(Main[[#This Row],[In Stock Date]]&lt;&gt;"",Main[[#This Row],[Revised Due Date]]&lt;&gt;""),Main[[#This Row],[In Stock Date]]-Main[[#This Row],[Revised Due Date]],"")</f>
        <v/>
      </c>
      <c r="I139" s="65" t="s">
        <v>4</v>
      </c>
      <c r="J139" s="65" t="s">
        <v>4</v>
      </c>
      <c r="K139" s="71" t="s">
        <v>4</v>
      </c>
      <c r="L139" s="67"/>
      <c r="M139" s="69" t="str">
        <f>IF(Main[[#This Row],[Tech Start Date]]&lt;1/1/1990,"",IF(Main[[#This Row],[Class]]="C",WORKDAY(Main[[#This Row],[Tech Start Date]],9),IF(Main[[#This Row],[Class]]="B", WORKDAY(Main[[#This Row],[Tech Start Date]],6),IF(Main[[#This Row],[Class]]="A",WORKDAY(Main[[#This Row],[Tech Start Date]],2),""))))</f>
        <v/>
      </c>
      <c r="N139" s="69" t="str">
        <f>IF(Main[[#This Row],[Tech Start Date]]&lt;1/1/1990,"",IF(Main[[#This Row],[Class]]="C",WORKDAY(Main[[#This Row],[Tech Start Date]],19),IF(Main[[#This Row],[Class]]="B", WORKDAY(Main[[#This Row],[Tech Start Date]],12),IF(Main[[#This Row],[Class]]="A",WORKDAY(Main[[#This Row],[Tech Start Date]],4),""))))</f>
        <v/>
      </c>
      <c r="O139" s="69" t="str">
        <f>IF(Main[[#This Row],[Tech Start Date]]&lt;1/1/1990,"",IF(Main[[#This Row],[Class]]="C",WORKDAY(Main[[#This Row],[Tech Start Date]],23),IF(Main[[#This Row],[Class]]="B", WORKDAY(Main[[#This Row],[Tech Start Date]],15),IF(Main[[#This Row],[Class]]="A",WORKDAY(Main[[#This Row],[Tech Start Date]],5),""))))</f>
        <v/>
      </c>
      <c r="P139" s="69" t="str">
        <f>IF(Main[[#This Row],[Tech Start Date]]&lt;1/1/1990,"",IF(Main[[#This Row],[Class]]="C",WORKDAY(Main[[#This Row],[Tech Start Date]],28),IF(Main[[#This Row],[Class]]="B", WORKDAY(Main[[#This Row],[Tech Start Date]],19),IF(Main[[#This Row],[Class]]="A",WORKDAY(Main[[#This Row],[Tech Start Date]],9),""))))</f>
        <v/>
      </c>
      <c r="Q139" s="67"/>
      <c r="R139" s="67"/>
      <c r="S139" s="65" t="s">
        <v>11</v>
      </c>
      <c r="T139" s="70" t="s">
        <v>4</v>
      </c>
      <c r="U139" s="65" t="s">
        <v>14</v>
      </c>
      <c r="V139" s="65" t="s">
        <v>1918</v>
      </c>
      <c r="W139" s="65" t="s">
        <v>1922</v>
      </c>
      <c r="X139" s="65" t="s">
        <v>306</v>
      </c>
      <c r="Y139" s="65" t="s">
        <v>2947</v>
      </c>
      <c r="Z139" s="65" t="s">
        <v>4</v>
      </c>
      <c r="AA139" s="65" t="s">
        <v>306</v>
      </c>
    </row>
    <row r="140" spans="1:27" ht="17.45" customHeight="1">
      <c r="A140" s="131" t="str">
        <f>IF(priority(Main[[#This Row],[Comments]])&lt;&gt;0, priority(Main[[#This Row],[Comments]]),"")</f>
        <v/>
      </c>
      <c r="B140" s="99" t="s">
        <v>1470</v>
      </c>
      <c r="C140" s="65" t="s">
        <v>4</v>
      </c>
      <c r="D140" s="66" t="s">
        <v>2337</v>
      </c>
      <c r="E140" s="67">
        <v>40431.641157407408</v>
      </c>
      <c r="F140" s="67"/>
      <c r="G140" s="64" t="str">
        <f>IF(stdProdLT(Main[[#This Row],[Comments]])=0.1,"N/A",IF(stdProdLT(Main[[#This Row],[Comments]])=0,"",stdProdLT(Main[[#This Row],[Comments]])))</f>
        <v/>
      </c>
      <c r="H140" s="68" t="str">
        <f>IF(AND(Main[[#This Row],[In Stock Date]]&lt;&gt;"",Main[[#This Row],[Revised Due Date]]&lt;&gt;""),Main[[#This Row],[In Stock Date]]-Main[[#This Row],[Revised Due Date]],"")</f>
        <v/>
      </c>
      <c r="I140" s="65" t="s">
        <v>914</v>
      </c>
      <c r="J140" s="65" t="s">
        <v>52</v>
      </c>
      <c r="K140" s="65" t="s">
        <v>4</v>
      </c>
      <c r="L140" s="67"/>
      <c r="M140" s="69" t="str">
        <f>IF(Main[[#This Row],[Tech Start Date]]&lt;1/1/1990,"",IF(Main[[#This Row],[Class]]="C",WORKDAY(Main[[#This Row],[Tech Start Date]],9),IF(Main[[#This Row],[Class]]="B", WORKDAY(Main[[#This Row],[Tech Start Date]],6),IF(Main[[#This Row],[Class]]="A",WORKDAY(Main[[#This Row],[Tech Start Date]],2),""))))</f>
        <v/>
      </c>
      <c r="N140" s="69" t="str">
        <f>IF(Main[[#This Row],[Tech Start Date]]&lt;1/1/1990,"",IF(Main[[#This Row],[Class]]="C",WORKDAY(Main[[#This Row],[Tech Start Date]],19),IF(Main[[#This Row],[Class]]="B", WORKDAY(Main[[#This Row],[Tech Start Date]],12),IF(Main[[#This Row],[Class]]="A",WORKDAY(Main[[#This Row],[Tech Start Date]],4),""))))</f>
        <v/>
      </c>
      <c r="O140" s="69" t="str">
        <f>IF(Main[[#This Row],[Tech Start Date]]&lt;1/1/1990,"",IF(Main[[#This Row],[Class]]="C",WORKDAY(Main[[#This Row],[Tech Start Date]],23),IF(Main[[#This Row],[Class]]="B", WORKDAY(Main[[#This Row],[Tech Start Date]],15),IF(Main[[#This Row],[Class]]="A",WORKDAY(Main[[#This Row],[Tech Start Date]],5),""))))</f>
        <v/>
      </c>
      <c r="P140" s="69" t="str">
        <f>IF(Main[[#This Row],[Tech Start Date]]&lt;1/1/1990,"",IF(Main[[#This Row],[Class]]="C",WORKDAY(Main[[#This Row],[Tech Start Date]],28),IF(Main[[#This Row],[Class]]="B", WORKDAY(Main[[#This Row],[Tech Start Date]],19),IF(Main[[#This Row],[Class]]="A",WORKDAY(Main[[#This Row],[Tech Start Date]],9),""))))</f>
        <v/>
      </c>
      <c r="Q140" s="67">
        <v>40466</v>
      </c>
      <c r="R140" s="67"/>
      <c r="S140" s="65" t="s">
        <v>6</v>
      </c>
      <c r="T140" s="70" t="s">
        <v>4</v>
      </c>
      <c r="U140" s="65" t="s">
        <v>29</v>
      </c>
      <c r="V140" s="65" t="s">
        <v>1917</v>
      </c>
      <c r="W140" s="65" t="s">
        <v>1919</v>
      </c>
      <c r="X140" s="65" t="s">
        <v>2824</v>
      </c>
      <c r="Y140" s="65" t="s">
        <v>2935</v>
      </c>
      <c r="Z140" s="65" t="s">
        <v>129</v>
      </c>
      <c r="AA140" s="65" t="s">
        <v>2824</v>
      </c>
    </row>
    <row r="141" spans="1:27" ht="17.45" customHeight="1">
      <c r="A141" s="131" t="str">
        <f>IF(priority(Main[[#This Row],[Comments]])&lt;&gt;0, priority(Main[[#This Row],[Comments]]),"")</f>
        <v/>
      </c>
      <c r="B141" s="99" t="s">
        <v>2329</v>
      </c>
      <c r="C141" s="65" t="s">
        <v>4</v>
      </c>
      <c r="D141" s="66" t="s">
        <v>2330</v>
      </c>
      <c r="E141" s="67">
        <v>40828.669305555559</v>
      </c>
      <c r="F141" s="67"/>
      <c r="G141" s="64" t="str">
        <f>IF(stdProdLT(Main[[#This Row],[Comments]])=0.1,"N/A",IF(stdProdLT(Main[[#This Row],[Comments]])=0,"",stdProdLT(Main[[#This Row],[Comments]])))</f>
        <v/>
      </c>
      <c r="H141" s="68" t="str">
        <f>IF(AND(Main[[#This Row],[In Stock Date]]&lt;&gt;"",Main[[#This Row],[Revised Due Date]]&lt;&gt;""),Main[[#This Row],[In Stock Date]]-Main[[#This Row],[Revised Due Date]],"")</f>
        <v/>
      </c>
      <c r="I141" s="65" t="s">
        <v>4</v>
      </c>
      <c r="J141" s="65" t="s">
        <v>4</v>
      </c>
      <c r="K141" s="65" t="s">
        <v>4</v>
      </c>
      <c r="L141" s="67"/>
      <c r="M141" s="69" t="str">
        <f>IF(Main[[#This Row],[Tech Start Date]]&lt;1/1/1990,"",IF(Main[[#This Row],[Class]]="C",WORKDAY(Main[[#This Row],[Tech Start Date]],9),IF(Main[[#This Row],[Class]]="B", WORKDAY(Main[[#This Row],[Tech Start Date]],6),IF(Main[[#This Row],[Class]]="A",WORKDAY(Main[[#This Row],[Tech Start Date]],2),""))))</f>
        <v/>
      </c>
      <c r="N141" s="69" t="str">
        <f>IF(Main[[#This Row],[Tech Start Date]]&lt;1/1/1990,"",IF(Main[[#This Row],[Class]]="C",WORKDAY(Main[[#This Row],[Tech Start Date]],19),IF(Main[[#This Row],[Class]]="B", WORKDAY(Main[[#This Row],[Tech Start Date]],12),IF(Main[[#This Row],[Class]]="A",WORKDAY(Main[[#This Row],[Tech Start Date]],4),""))))</f>
        <v/>
      </c>
      <c r="O141" s="69" t="str">
        <f>IF(Main[[#This Row],[Tech Start Date]]&lt;1/1/1990,"",IF(Main[[#This Row],[Class]]="C",WORKDAY(Main[[#This Row],[Tech Start Date]],23),IF(Main[[#This Row],[Class]]="B", WORKDAY(Main[[#This Row],[Tech Start Date]],15),IF(Main[[#This Row],[Class]]="A",WORKDAY(Main[[#This Row],[Tech Start Date]],5),""))))</f>
        <v/>
      </c>
      <c r="P141" s="69" t="str">
        <f>IF(Main[[#This Row],[Tech Start Date]]&lt;1/1/1990,"",IF(Main[[#This Row],[Class]]="C",WORKDAY(Main[[#This Row],[Tech Start Date]],28),IF(Main[[#This Row],[Class]]="B", WORKDAY(Main[[#This Row],[Tech Start Date]],19),IF(Main[[#This Row],[Class]]="A",WORKDAY(Main[[#This Row],[Tech Start Date]],9),""))))</f>
        <v/>
      </c>
      <c r="Q141" s="67"/>
      <c r="R141" s="67"/>
      <c r="S141" s="65" t="s">
        <v>6</v>
      </c>
      <c r="T141" s="70" t="s">
        <v>4</v>
      </c>
      <c r="U141" s="65" t="s">
        <v>29</v>
      </c>
      <c r="V141" s="65" t="s">
        <v>1917</v>
      </c>
      <c r="W141" s="65" t="s">
        <v>1921</v>
      </c>
      <c r="X141" s="65" t="s">
        <v>102</v>
      </c>
      <c r="Y141" s="65" t="s">
        <v>2948</v>
      </c>
      <c r="Z141" s="65" t="s">
        <v>4</v>
      </c>
      <c r="AA141" s="65" t="s">
        <v>3385</v>
      </c>
    </row>
    <row r="142" spans="1:27" ht="17.45" customHeight="1">
      <c r="A142" s="131" t="str">
        <f>IF(priority(Main[[#This Row],[Comments]])&lt;&gt;0, priority(Main[[#This Row],[Comments]]),"")</f>
        <v/>
      </c>
      <c r="B142" s="99" t="s">
        <v>1017</v>
      </c>
      <c r="C142" s="65" t="s">
        <v>26</v>
      </c>
      <c r="D142" s="66" t="s">
        <v>27</v>
      </c>
      <c r="E142" s="67"/>
      <c r="F142" s="67">
        <v>40563</v>
      </c>
      <c r="G142" s="64" t="str">
        <f>IF(stdProdLT(Main[[#This Row],[Comments]])=0.1,"N/A",IF(stdProdLT(Main[[#This Row],[Comments]])=0,"",stdProdLT(Main[[#This Row],[Comments]])))</f>
        <v/>
      </c>
      <c r="H142" s="68" t="str">
        <f>IF(AND(Main[[#This Row],[In Stock Date]]&lt;&gt;"",Main[[#This Row],[Revised Due Date]]&lt;&gt;""),Main[[#This Row],[In Stock Date]]-Main[[#This Row],[Revised Due Date]],"")</f>
        <v/>
      </c>
      <c r="I142" s="65" t="s">
        <v>4</v>
      </c>
      <c r="J142" s="65" t="s">
        <v>28</v>
      </c>
      <c r="K142" s="65" t="s">
        <v>1924</v>
      </c>
      <c r="L142" s="67"/>
      <c r="M142" s="69" t="str">
        <f>IF(Main[[#This Row],[Tech Start Date]]&lt;1/1/1990,"",IF(Main[[#This Row],[Class]]="C",WORKDAY(Main[[#This Row],[Tech Start Date]],9),IF(Main[[#This Row],[Class]]="B", WORKDAY(Main[[#This Row],[Tech Start Date]],6),IF(Main[[#This Row],[Class]]="A",WORKDAY(Main[[#This Row],[Tech Start Date]],2),""))))</f>
        <v/>
      </c>
      <c r="N142" s="69" t="str">
        <f>IF(Main[[#This Row],[Tech Start Date]]&lt;1/1/1990,"",IF(Main[[#This Row],[Class]]="C",WORKDAY(Main[[#This Row],[Tech Start Date]],19),IF(Main[[#This Row],[Class]]="B", WORKDAY(Main[[#This Row],[Tech Start Date]],12),IF(Main[[#This Row],[Class]]="A",WORKDAY(Main[[#This Row],[Tech Start Date]],4),""))))</f>
        <v/>
      </c>
      <c r="O142" s="69" t="str">
        <f>IF(Main[[#This Row],[Tech Start Date]]&lt;1/1/1990,"",IF(Main[[#This Row],[Class]]="C",WORKDAY(Main[[#This Row],[Tech Start Date]],23),IF(Main[[#This Row],[Class]]="B", WORKDAY(Main[[#This Row],[Tech Start Date]],15),IF(Main[[#This Row],[Class]]="A",WORKDAY(Main[[#This Row],[Tech Start Date]],5),""))))</f>
        <v/>
      </c>
      <c r="P142" s="69" t="str">
        <f>IF(Main[[#This Row],[Tech Start Date]]&lt;1/1/1990,"",IF(Main[[#This Row],[Class]]="C",WORKDAY(Main[[#This Row],[Tech Start Date]],28),IF(Main[[#This Row],[Class]]="B", WORKDAY(Main[[#This Row],[Tech Start Date]],19),IF(Main[[#This Row],[Class]]="A",WORKDAY(Main[[#This Row],[Tech Start Date]],9),""))))</f>
        <v/>
      </c>
      <c r="Q142" s="67">
        <v>40563</v>
      </c>
      <c r="R142" s="67"/>
      <c r="S142" s="65" t="s">
        <v>11</v>
      </c>
      <c r="T142" s="70" t="s">
        <v>4</v>
      </c>
      <c r="U142" s="65" t="s">
        <v>14</v>
      </c>
      <c r="V142" s="65" t="s">
        <v>1918</v>
      </c>
      <c r="W142" s="65" t="s">
        <v>1919</v>
      </c>
      <c r="X142" s="65" t="s">
        <v>2822</v>
      </c>
      <c r="Y142" s="65" t="s">
        <v>2934</v>
      </c>
      <c r="Z142" s="65" t="s">
        <v>3165</v>
      </c>
      <c r="AA142" s="65" t="s">
        <v>2822</v>
      </c>
    </row>
    <row r="143" spans="1:27" ht="17.45" customHeight="1">
      <c r="A143" s="131" t="str">
        <f>IF(priority(Main[[#This Row],[Comments]])&lt;&gt;0, priority(Main[[#This Row],[Comments]]),"")</f>
        <v/>
      </c>
      <c r="B143" s="99" t="s">
        <v>1936</v>
      </c>
      <c r="C143" s="65" t="s">
        <v>4</v>
      </c>
      <c r="D143" s="66" t="s">
        <v>1937</v>
      </c>
      <c r="E143" s="67"/>
      <c r="F143" s="67">
        <v>40309</v>
      </c>
      <c r="G143" s="64" t="str">
        <f>IF(stdProdLT(Main[[#This Row],[Comments]])=0.1,"N/A",IF(stdProdLT(Main[[#This Row],[Comments]])=0,"",stdProdLT(Main[[#This Row],[Comments]])))</f>
        <v/>
      </c>
      <c r="H143" s="68" t="str">
        <f>IF(AND(Main[[#This Row],[In Stock Date]]&lt;&gt;"",Main[[#This Row],[Revised Due Date]]&lt;&gt;""),Main[[#This Row],[In Stock Date]]-Main[[#This Row],[Revised Due Date]],"")</f>
        <v/>
      </c>
      <c r="I143" s="65" t="s">
        <v>4</v>
      </c>
      <c r="J143" s="65" t="s">
        <v>4</v>
      </c>
      <c r="K143" s="65" t="s">
        <v>4</v>
      </c>
      <c r="L143" s="67"/>
      <c r="M143" s="69" t="str">
        <f>IF(Main[[#This Row],[Tech Start Date]]&lt;1/1/1990,"",IF(Main[[#This Row],[Class]]="C",WORKDAY(Main[[#This Row],[Tech Start Date]],9),IF(Main[[#This Row],[Class]]="B", WORKDAY(Main[[#This Row],[Tech Start Date]],6),IF(Main[[#This Row],[Class]]="A",WORKDAY(Main[[#This Row],[Tech Start Date]],2),""))))</f>
        <v/>
      </c>
      <c r="N143" s="69" t="str">
        <f>IF(Main[[#This Row],[Tech Start Date]]&lt;1/1/1990,"",IF(Main[[#This Row],[Class]]="C",WORKDAY(Main[[#This Row],[Tech Start Date]],19),IF(Main[[#This Row],[Class]]="B", WORKDAY(Main[[#This Row],[Tech Start Date]],12),IF(Main[[#This Row],[Class]]="A",WORKDAY(Main[[#This Row],[Tech Start Date]],4),""))))</f>
        <v/>
      </c>
      <c r="O143" s="69" t="str">
        <f>IF(Main[[#This Row],[Tech Start Date]]&lt;1/1/1990,"",IF(Main[[#This Row],[Class]]="C",WORKDAY(Main[[#This Row],[Tech Start Date]],23),IF(Main[[#This Row],[Class]]="B", WORKDAY(Main[[#This Row],[Tech Start Date]],15),IF(Main[[#This Row],[Class]]="A",WORKDAY(Main[[#This Row],[Tech Start Date]],5),""))))</f>
        <v/>
      </c>
      <c r="P143" s="69" t="str">
        <f>IF(Main[[#This Row],[Tech Start Date]]&lt;1/1/1990,"",IF(Main[[#This Row],[Class]]="C",WORKDAY(Main[[#This Row],[Tech Start Date]],28),IF(Main[[#This Row],[Class]]="B", WORKDAY(Main[[#This Row],[Tech Start Date]],19),IF(Main[[#This Row],[Class]]="A",WORKDAY(Main[[#This Row],[Tech Start Date]],9),""))))</f>
        <v/>
      </c>
      <c r="Q143" s="67">
        <v>40305</v>
      </c>
      <c r="R143" s="67"/>
      <c r="S143" s="65" t="s">
        <v>6</v>
      </c>
      <c r="T143" s="70" t="s">
        <v>4</v>
      </c>
      <c r="U143" s="65" t="s">
        <v>14</v>
      </c>
      <c r="V143" s="65" t="s">
        <v>1917</v>
      </c>
      <c r="W143" s="65" t="s">
        <v>1925</v>
      </c>
      <c r="X143" s="65" t="s">
        <v>2830</v>
      </c>
      <c r="Y143" s="65" t="s">
        <v>2949</v>
      </c>
      <c r="Z143" s="65" t="s">
        <v>4</v>
      </c>
      <c r="AA143" s="65" t="s">
        <v>2830</v>
      </c>
    </row>
    <row r="144" spans="1:27" ht="17.45" customHeight="1">
      <c r="A144" s="131" t="str">
        <f>IF(priority(Main[[#This Row],[Comments]])&lt;&gt;0, priority(Main[[#This Row],[Comments]]),"")</f>
        <v/>
      </c>
      <c r="B144" s="99" t="s">
        <v>1018</v>
      </c>
      <c r="C144" s="65" t="s">
        <v>4</v>
      </c>
      <c r="D144" s="66" t="s">
        <v>1950</v>
      </c>
      <c r="E144" s="67">
        <v>40130.654374999998</v>
      </c>
      <c r="F144" s="67"/>
      <c r="G144" s="64" t="str">
        <f>IF(stdProdLT(Main[[#This Row],[Comments]])=0.1,"N/A",IF(stdProdLT(Main[[#This Row],[Comments]])=0,"",stdProdLT(Main[[#This Row],[Comments]])))</f>
        <v/>
      </c>
      <c r="H144" s="68" t="str">
        <f>IF(AND(Main[[#This Row],[In Stock Date]]&lt;&gt;"",Main[[#This Row],[Revised Due Date]]&lt;&gt;""),Main[[#This Row],[In Stock Date]]-Main[[#This Row],[Revised Due Date]],"")</f>
        <v/>
      </c>
      <c r="I144" s="65" t="s">
        <v>4</v>
      </c>
      <c r="J144" s="65" t="s">
        <v>4</v>
      </c>
      <c r="K144" s="71" t="s">
        <v>4</v>
      </c>
      <c r="L144" s="67"/>
      <c r="M144" s="69" t="str">
        <f>IF(Main[[#This Row],[Tech Start Date]]&lt;1/1/1990,"",IF(Main[[#This Row],[Class]]="C",WORKDAY(Main[[#This Row],[Tech Start Date]],9),IF(Main[[#This Row],[Class]]="B", WORKDAY(Main[[#This Row],[Tech Start Date]],6),IF(Main[[#This Row],[Class]]="A",WORKDAY(Main[[#This Row],[Tech Start Date]],2),""))))</f>
        <v/>
      </c>
      <c r="N144" s="69" t="str">
        <f>IF(Main[[#This Row],[Tech Start Date]]&lt;1/1/1990,"",IF(Main[[#This Row],[Class]]="C",WORKDAY(Main[[#This Row],[Tech Start Date]],19),IF(Main[[#This Row],[Class]]="B", WORKDAY(Main[[#This Row],[Tech Start Date]],12),IF(Main[[#This Row],[Class]]="A",WORKDAY(Main[[#This Row],[Tech Start Date]],4),""))))</f>
        <v/>
      </c>
      <c r="O144" s="69" t="str">
        <f>IF(Main[[#This Row],[Tech Start Date]]&lt;1/1/1990,"",IF(Main[[#This Row],[Class]]="C",WORKDAY(Main[[#This Row],[Tech Start Date]],23),IF(Main[[#This Row],[Class]]="B", WORKDAY(Main[[#This Row],[Tech Start Date]],15),IF(Main[[#This Row],[Class]]="A",WORKDAY(Main[[#This Row],[Tech Start Date]],5),""))))</f>
        <v/>
      </c>
      <c r="P144" s="69" t="str">
        <f>IF(Main[[#This Row],[Tech Start Date]]&lt;1/1/1990,"",IF(Main[[#This Row],[Class]]="C",WORKDAY(Main[[#This Row],[Tech Start Date]],28),IF(Main[[#This Row],[Class]]="B", WORKDAY(Main[[#This Row],[Tech Start Date]],19),IF(Main[[#This Row],[Class]]="A",WORKDAY(Main[[#This Row],[Tech Start Date]],9),""))))</f>
        <v/>
      </c>
      <c r="Q144" s="67"/>
      <c r="R144" s="67"/>
      <c r="S144" s="65" t="s">
        <v>6</v>
      </c>
      <c r="T144" s="70" t="s">
        <v>4</v>
      </c>
      <c r="U144" s="65" t="s">
        <v>29</v>
      </c>
      <c r="V144" s="65" t="s">
        <v>1917</v>
      </c>
      <c r="W144" s="65" t="s">
        <v>1925</v>
      </c>
      <c r="X144" s="65" t="s">
        <v>2826</v>
      </c>
      <c r="Y144" s="65" t="s">
        <v>2950</v>
      </c>
      <c r="Z144" s="65" t="s">
        <v>4</v>
      </c>
      <c r="AA144" s="65" t="s">
        <v>2879</v>
      </c>
    </row>
    <row r="145" spans="1:27" ht="17.45" customHeight="1">
      <c r="A145" s="131" t="str">
        <f>IF(priority(Main[[#This Row],[Comments]])&lt;&gt;0, priority(Main[[#This Row],[Comments]]),"")</f>
        <v/>
      </c>
      <c r="B145" s="99" t="s">
        <v>1020</v>
      </c>
      <c r="C145" s="65" t="s">
        <v>31</v>
      </c>
      <c r="D145" s="66" t="s">
        <v>32</v>
      </c>
      <c r="E145" s="67"/>
      <c r="F145" s="67">
        <v>40634</v>
      </c>
      <c r="G145" s="64" t="str">
        <f>IF(stdProdLT(Main[[#This Row],[Comments]])=0.1,"N/A",IF(stdProdLT(Main[[#This Row],[Comments]])=0,"",stdProdLT(Main[[#This Row],[Comments]])))</f>
        <v/>
      </c>
      <c r="H145" s="68" t="str">
        <f>IF(AND(Main[[#This Row],[In Stock Date]]&lt;&gt;"",Main[[#This Row],[Revised Due Date]]&lt;&gt;""),Main[[#This Row],[In Stock Date]]-Main[[#This Row],[Revised Due Date]],"")</f>
        <v/>
      </c>
      <c r="I145" s="65" t="s">
        <v>4</v>
      </c>
      <c r="J145" s="65" t="s">
        <v>4</v>
      </c>
      <c r="K145" s="65" t="s">
        <v>4</v>
      </c>
      <c r="L145" s="67"/>
      <c r="M145" s="69" t="str">
        <f>IF(Main[[#This Row],[Tech Start Date]]&lt;1/1/1990,"",IF(Main[[#This Row],[Class]]="C",WORKDAY(Main[[#This Row],[Tech Start Date]],9),IF(Main[[#This Row],[Class]]="B", WORKDAY(Main[[#This Row],[Tech Start Date]],6),IF(Main[[#This Row],[Class]]="A",WORKDAY(Main[[#This Row],[Tech Start Date]],2),""))))</f>
        <v/>
      </c>
      <c r="N145" s="69" t="str">
        <f>IF(Main[[#This Row],[Tech Start Date]]&lt;1/1/1990,"",IF(Main[[#This Row],[Class]]="C",WORKDAY(Main[[#This Row],[Tech Start Date]],19),IF(Main[[#This Row],[Class]]="B", WORKDAY(Main[[#This Row],[Tech Start Date]],12),IF(Main[[#This Row],[Class]]="A",WORKDAY(Main[[#This Row],[Tech Start Date]],4),""))))</f>
        <v/>
      </c>
      <c r="O145" s="69" t="str">
        <f>IF(Main[[#This Row],[Tech Start Date]]&lt;1/1/1990,"",IF(Main[[#This Row],[Class]]="C",WORKDAY(Main[[#This Row],[Tech Start Date]],23),IF(Main[[#This Row],[Class]]="B", WORKDAY(Main[[#This Row],[Tech Start Date]],15),IF(Main[[#This Row],[Class]]="A",WORKDAY(Main[[#This Row],[Tech Start Date]],5),""))))</f>
        <v/>
      </c>
      <c r="P145" s="69" t="str">
        <f>IF(Main[[#This Row],[Tech Start Date]]&lt;1/1/1990,"",IF(Main[[#This Row],[Class]]="C",WORKDAY(Main[[#This Row],[Tech Start Date]],28),IF(Main[[#This Row],[Class]]="B", WORKDAY(Main[[#This Row],[Tech Start Date]],19),IF(Main[[#This Row],[Class]]="A",WORKDAY(Main[[#This Row],[Tech Start Date]],9),""))))</f>
        <v/>
      </c>
      <c r="Q145" s="67"/>
      <c r="R145" s="67"/>
      <c r="S145" s="65" t="s">
        <v>11</v>
      </c>
      <c r="T145" s="70" t="s">
        <v>4</v>
      </c>
      <c r="U145" s="65" t="s">
        <v>14</v>
      </c>
      <c r="V145" s="65" t="s">
        <v>1920</v>
      </c>
      <c r="W145" s="65" t="s">
        <v>1922</v>
      </c>
      <c r="X145" s="65" t="s">
        <v>2831</v>
      </c>
      <c r="Y145" s="65" t="s">
        <v>2951</v>
      </c>
      <c r="Z145" s="65" t="s">
        <v>4</v>
      </c>
      <c r="AA145" s="65" t="s">
        <v>2851</v>
      </c>
    </row>
    <row r="146" spans="1:27" ht="17.45" customHeight="1">
      <c r="A146" s="131" t="str">
        <f>IF(priority(Main[[#This Row],[Comments]])&lt;&gt;0, priority(Main[[#This Row],[Comments]]),"")</f>
        <v/>
      </c>
      <c r="B146" s="99" t="s">
        <v>1021</v>
      </c>
      <c r="C146" s="65" t="s">
        <v>33</v>
      </c>
      <c r="D146" s="66" t="s">
        <v>34</v>
      </c>
      <c r="E146" s="67"/>
      <c r="F146" s="67">
        <v>40764</v>
      </c>
      <c r="G146" s="64" t="str">
        <f>IF(stdProdLT(Main[[#This Row],[Comments]])=0.1,"N/A",IF(stdProdLT(Main[[#This Row],[Comments]])=0,"",stdProdLT(Main[[#This Row],[Comments]])))</f>
        <v/>
      </c>
      <c r="H146" s="68" t="str">
        <f>IF(AND(Main[[#This Row],[In Stock Date]]&lt;&gt;"",Main[[#This Row],[Revised Due Date]]&lt;&gt;""),Main[[#This Row],[In Stock Date]]-Main[[#This Row],[Revised Due Date]],"")</f>
        <v/>
      </c>
      <c r="I146" s="65" t="s">
        <v>4</v>
      </c>
      <c r="J146" s="65" t="s">
        <v>28</v>
      </c>
      <c r="K146" s="65" t="s">
        <v>1924</v>
      </c>
      <c r="L146" s="67"/>
      <c r="M146" s="69" t="str">
        <f>IF(Main[[#This Row],[Tech Start Date]]&lt;1/1/1990,"",IF(Main[[#This Row],[Class]]="C",WORKDAY(Main[[#This Row],[Tech Start Date]],9),IF(Main[[#This Row],[Class]]="B", WORKDAY(Main[[#This Row],[Tech Start Date]],6),IF(Main[[#This Row],[Class]]="A",WORKDAY(Main[[#This Row],[Tech Start Date]],2),""))))</f>
        <v/>
      </c>
      <c r="N146" s="69" t="str">
        <f>IF(Main[[#This Row],[Tech Start Date]]&lt;1/1/1990,"",IF(Main[[#This Row],[Class]]="C",WORKDAY(Main[[#This Row],[Tech Start Date]],19),IF(Main[[#This Row],[Class]]="B", WORKDAY(Main[[#This Row],[Tech Start Date]],12),IF(Main[[#This Row],[Class]]="A",WORKDAY(Main[[#This Row],[Tech Start Date]],4),""))))</f>
        <v/>
      </c>
      <c r="O146" s="69" t="str">
        <f>IF(Main[[#This Row],[Tech Start Date]]&lt;1/1/1990,"",IF(Main[[#This Row],[Class]]="C",WORKDAY(Main[[#This Row],[Tech Start Date]],23),IF(Main[[#This Row],[Class]]="B", WORKDAY(Main[[#This Row],[Tech Start Date]],15),IF(Main[[#This Row],[Class]]="A",WORKDAY(Main[[#This Row],[Tech Start Date]],5),""))))</f>
        <v/>
      </c>
      <c r="P146" s="69" t="str">
        <f>IF(Main[[#This Row],[Tech Start Date]]&lt;1/1/1990,"",IF(Main[[#This Row],[Class]]="C",WORKDAY(Main[[#This Row],[Tech Start Date]],28),IF(Main[[#This Row],[Class]]="B", WORKDAY(Main[[#This Row],[Tech Start Date]],19),IF(Main[[#This Row],[Class]]="A",WORKDAY(Main[[#This Row],[Tech Start Date]],9),""))))</f>
        <v/>
      </c>
      <c r="Q146" s="67">
        <v>40568</v>
      </c>
      <c r="R146" s="67"/>
      <c r="S146" s="65" t="s">
        <v>11</v>
      </c>
      <c r="T146" s="70" t="s">
        <v>4</v>
      </c>
      <c r="U146" s="65" t="s">
        <v>14</v>
      </c>
      <c r="V146" s="65" t="s">
        <v>1917</v>
      </c>
      <c r="W146" s="65" t="s">
        <v>1925</v>
      </c>
      <c r="X146" s="65" t="s">
        <v>2832</v>
      </c>
      <c r="Y146" s="65" t="s">
        <v>2952</v>
      </c>
      <c r="Z146" s="65" t="s">
        <v>129</v>
      </c>
      <c r="AA146" s="65" t="s">
        <v>2832</v>
      </c>
    </row>
    <row r="147" spans="1:27" ht="17.45" customHeight="1">
      <c r="A147" s="131" t="str">
        <f>IF(priority(Main[[#This Row],[Comments]])&lt;&gt;0, priority(Main[[#This Row],[Comments]]),"")</f>
        <v/>
      </c>
      <c r="B147" s="99" t="s">
        <v>1938</v>
      </c>
      <c r="C147" s="65" t="s">
        <v>4</v>
      </c>
      <c r="D147" s="66" t="s">
        <v>35</v>
      </c>
      <c r="E147" s="67"/>
      <c r="F147" s="67"/>
      <c r="G147" s="64" t="str">
        <f>IF(stdProdLT(Main[[#This Row],[Comments]])=0.1,"N/A",IF(stdProdLT(Main[[#This Row],[Comments]])=0,"",stdProdLT(Main[[#This Row],[Comments]])))</f>
        <v/>
      </c>
      <c r="H147" s="68" t="str">
        <f>IF(AND(Main[[#This Row],[In Stock Date]]&lt;&gt;"",Main[[#This Row],[Revised Due Date]]&lt;&gt;""),Main[[#This Row],[In Stock Date]]-Main[[#This Row],[Revised Due Date]],"")</f>
        <v/>
      </c>
      <c r="I147" s="65" t="s">
        <v>4</v>
      </c>
      <c r="J147" s="65" t="s">
        <v>4</v>
      </c>
      <c r="K147" s="65" t="s">
        <v>4</v>
      </c>
      <c r="L147" s="67"/>
      <c r="M147" s="69" t="str">
        <f>IF(Main[[#This Row],[Tech Start Date]]&lt;1/1/1990,"",IF(Main[[#This Row],[Class]]="C",WORKDAY(Main[[#This Row],[Tech Start Date]],9),IF(Main[[#This Row],[Class]]="B", WORKDAY(Main[[#This Row],[Tech Start Date]],6),IF(Main[[#This Row],[Class]]="A",WORKDAY(Main[[#This Row],[Tech Start Date]],2),""))))</f>
        <v/>
      </c>
      <c r="N147" s="69" t="str">
        <f>IF(Main[[#This Row],[Tech Start Date]]&lt;1/1/1990,"",IF(Main[[#This Row],[Class]]="C",WORKDAY(Main[[#This Row],[Tech Start Date]],19),IF(Main[[#This Row],[Class]]="B", WORKDAY(Main[[#This Row],[Tech Start Date]],12),IF(Main[[#This Row],[Class]]="A",WORKDAY(Main[[#This Row],[Tech Start Date]],4),""))))</f>
        <v/>
      </c>
      <c r="O147" s="69" t="str">
        <f>IF(Main[[#This Row],[Tech Start Date]]&lt;1/1/1990,"",IF(Main[[#This Row],[Class]]="C",WORKDAY(Main[[#This Row],[Tech Start Date]],23),IF(Main[[#This Row],[Class]]="B", WORKDAY(Main[[#This Row],[Tech Start Date]],15),IF(Main[[#This Row],[Class]]="A",WORKDAY(Main[[#This Row],[Tech Start Date]],5),""))))</f>
        <v/>
      </c>
      <c r="P147" s="69" t="str">
        <f>IF(Main[[#This Row],[Tech Start Date]]&lt;1/1/1990,"",IF(Main[[#This Row],[Class]]="C",WORKDAY(Main[[#This Row],[Tech Start Date]],28),IF(Main[[#This Row],[Class]]="B", WORKDAY(Main[[#This Row],[Tech Start Date]],19),IF(Main[[#This Row],[Class]]="A",WORKDAY(Main[[#This Row],[Tech Start Date]],9),""))))</f>
        <v/>
      </c>
      <c r="Q147" s="67"/>
      <c r="R147" s="67"/>
      <c r="S147" s="65" t="s">
        <v>23</v>
      </c>
      <c r="T147" s="70" t="s">
        <v>4</v>
      </c>
      <c r="U147" s="65" t="s">
        <v>14</v>
      </c>
      <c r="V147" s="65" t="s">
        <v>1927</v>
      </c>
      <c r="W147" s="65" t="s">
        <v>1921</v>
      </c>
      <c r="X147" s="65" t="s">
        <v>399</v>
      </c>
      <c r="Y147" s="65" t="s">
        <v>4</v>
      </c>
      <c r="Z147" s="65" t="s">
        <v>4</v>
      </c>
      <c r="AA147" s="65" t="s">
        <v>3386</v>
      </c>
    </row>
    <row r="148" spans="1:27" ht="17.45" customHeight="1">
      <c r="A148" s="131" t="str">
        <f>IF(priority(Main[[#This Row],[Comments]])&lt;&gt;0, priority(Main[[#This Row],[Comments]]),"")</f>
        <v/>
      </c>
      <c r="B148" s="99" t="s">
        <v>1022</v>
      </c>
      <c r="C148" s="65" t="s">
        <v>4</v>
      </c>
      <c r="D148" s="66" t="s">
        <v>36</v>
      </c>
      <c r="E148" s="67"/>
      <c r="F148" s="67"/>
      <c r="G148" s="64" t="str">
        <f>IF(stdProdLT(Main[[#This Row],[Comments]])=0.1,"N/A",IF(stdProdLT(Main[[#This Row],[Comments]])=0,"",stdProdLT(Main[[#This Row],[Comments]])))</f>
        <v/>
      </c>
      <c r="H148" s="68" t="str">
        <f>IF(AND(Main[[#This Row],[In Stock Date]]&lt;&gt;"",Main[[#This Row],[Revised Due Date]]&lt;&gt;""),Main[[#This Row],[In Stock Date]]-Main[[#This Row],[Revised Due Date]],"")</f>
        <v/>
      </c>
      <c r="I148" s="65" t="s">
        <v>4</v>
      </c>
      <c r="J148" s="65" t="s">
        <v>4</v>
      </c>
      <c r="K148" s="65" t="s">
        <v>4</v>
      </c>
      <c r="L148" s="67"/>
      <c r="M148" s="69" t="str">
        <f>IF(Main[[#This Row],[Tech Start Date]]&lt;1/1/1990,"",IF(Main[[#This Row],[Class]]="C",WORKDAY(Main[[#This Row],[Tech Start Date]],9),IF(Main[[#This Row],[Class]]="B", WORKDAY(Main[[#This Row],[Tech Start Date]],6),IF(Main[[#This Row],[Class]]="A",WORKDAY(Main[[#This Row],[Tech Start Date]],2),""))))</f>
        <v/>
      </c>
      <c r="N148" s="69" t="str">
        <f>IF(Main[[#This Row],[Tech Start Date]]&lt;1/1/1990,"",IF(Main[[#This Row],[Class]]="C",WORKDAY(Main[[#This Row],[Tech Start Date]],19),IF(Main[[#This Row],[Class]]="B", WORKDAY(Main[[#This Row],[Tech Start Date]],12),IF(Main[[#This Row],[Class]]="A",WORKDAY(Main[[#This Row],[Tech Start Date]],4),""))))</f>
        <v/>
      </c>
      <c r="O148" s="69" t="str">
        <f>IF(Main[[#This Row],[Tech Start Date]]&lt;1/1/1990,"",IF(Main[[#This Row],[Class]]="C",WORKDAY(Main[[#This Row],[Tech Start Date]],23),IF(Main[[#This Row],[Class]]="B", WORKDAY(Main[[#This Row],[Tech Start Date]],15),IF(Main[[#This Row],[Class]]="A",WORKDAY(Main[[#This Row],[Tech Start Date]],5),""))))</f>
        <v/>
      </c>
      <c r="P148" s="69" t="str">
        <f>IF(Main[[#This Row],[Tech Start Date]]&lt;1/1/1990,"",IF(Main[[#This Row],[Class]]="C",WORKDAY(Main[[#This Row],[Tech Start Date]],28),IF(Main[[#This Row],[Class]]="B", WORKDAY(Main[[#This Row],[Tech Start Date]],19),IF(Main[[#This Row],[Class]]="A",WORKDAY(Main[[#This Row],[Tech Start Date]],9),""))))</f>
        <v/>
      </c>
      <c r="Q148" s="67">
        <v>40781</v>
      </c>
      <c r="R148" s="67"/>
      <c r="S148" s="65" t="s">
        <v>11</v>
      </c>
      <c r="T148" s="70" t="s">
        <v>4</v>
      </c>
      <c r="U148" s="65" t="s">
        <v>14</v>
      </c>
      <c r="V148" s="65" t="s">
        <v>1917</v>
      </c>
      <c r="W148" s="65" t="s">
        <v>1921</v>
      </c>
      <c r="X148" s="65" t="s">
        <v>2827</v>
      </c>
      <c r="Y148" s="65" t="s">
        <v>2942</v>
      </c>
      <c r="Z148" s="65" t="s">
        <v>4</v>
      </c>
      <c r="AA148" s="65" t="s">
        <v>2827</v>
      </c>
    </row>
    <row r="149" spans="1:27" ht="17.45" customHeight="1">
      <c r="A149" s="131" t="str">
        <f>IF(priority(Main[[#This Row],[Comments]])&lt;&gt;0, priority(Main[[#This Row],[Comments]]),"")</f>
        <v/>
      </c>
      <c r="B149" s="99" t="s">
        <v>1023</v>
      </c>
      <c r="C149" s="65" t="s">
        <v>26</v>
      </c>
      <c r="D149" s="66" t="s">
        <v>38</v>
      </c>
      <c r="E149" s="67"/>
      <c r="F149" s="67">
        <v>40743</v>
      </c>
      <c r="G149" s="64" t="str">
        <f>IF(stdProdLT(Main[[#This Row],[Comments]])=0.1,"N/A",IF(stdProdLT(Main[[#This Row],[Comments]])=0,"",stdProdLT(Main[[#This Row],[Comments]])))</f>
        <v/>
      </c>
      <c r="H149" s="68" t="str">
        <f>IF(AND(Main[[#This Row],[In Stock Date]]&lt;&gt;"",Main[[#This Row],[Revised Due Date]]&lt;&gt;""),Main[[#This Row],[In Stock Date]]-Main[[#This Row],[Revised Due Date]],"")</f>
        <v/>
      </c>
      <c r="I149" s="65" t="s">
        <v>4</v>
      </c>
      <c r="J149" s="65" t="s">
        <v>28</v>
      </c>
      <c r="K149" s="65" t="s">
        <v>4</v>
      </c>
      <c r="L149" s="67"/>
      <c r="M149" s="69" t="str">
        <f>IF(Main[[#This Row],[Tech Start Date]]&lt;1/1/1990,"",IF(Main[[#This Row],[Class]]="C",WORKDAY(Main[[#This Row],[Tech Start Date]],9),IF(Main[[#This Row],[Class]]="B", WORKDAY(Main[[#This Row],[Tech Start Date]],6),IF(Main[[#This Row],[Class]]="A",WORKDAY(Main[[#This Row],[Tech Start Date]],2),""))))</f>
        <v/>
      </c>
      <c r="N149" s="69" t="str">
        <f>IF(Main[[#This Row],[Tech Start Date]]&lt;1/1/1990,"",IF(Main[[#This Row],[Class]]="C",WORKDAY(Main[[#This Row],[Tech Start Date]],19),IF(Main[[#This Row],[Class]]="B", WORKDAY(Main[[#This Row],[Tech Start Date]],12),IF(Main[[#This Row],[Class]]="A",WORKDAY(Main[[#This Row],[Tech Start Date]],4),""))))</f>
        <v/>
      </c>
      <c r="O149" s="69" t="str">
        <f>IF(Main[[#This Row],[Tech Start Date]]&lt;1/1/1990,"",IF(Main[[#This Row],[Class]]="C",WORKDAY(Main[[#This Row],[Tech Start Date]],23),IF(Main[[#This Row],[Class]]="B", WORKDAY(Main[[#This Row],[Tech Start Date]],15),IF(Main[[#This Row],[Class]]="A",WORKDAY(Main[[#This Row],[Tech Start Date]],5),""))))</f>
        <v/>
      </c>
      <c r="P149" s="69" t="str">
        <f>IF(Main[[#This Row],[Tech Start Date]]&lt;1/1/1990,"",IF(Main[[#This Row],[Class]]="C",WORKDAY(Main[[#This Row],[Tech Start Date]],28),IF(Main[[#This Row],[Class]]="B", WORKDAY(Main[[#This Row],[Tech Start Date]],19),IF(Main[[#This Row],[Class]]="A",WORKDAY(Main[[#This Row],[Tech Start Date]],9),""))))</f>
        <v/>
      </c>
      <c r="Q149" s="67">
        <v>40638</v>
      </c>
      <c r="R149" s="67"/>
      <c r="S149" s="65" t="s">
        <v>11</v>
      </c>
      <c r="T149" s="70" t="s">
        <v>4</v>
      </c>
      <c r="U149" s="65" t="s">
        <v>12</v>
      </c>
      <c r="V149" s="65" t="s">
        <v>1917</v>
      </c>
      <c r="W149" s="65" t="s">
        <v>1925</v>
      </c>
      <c r="X149" s="65" t="s">
        <v>129</v>
      </c>
      <c r="Y149" s="65" t="s">
        <v>4</v>
      </c>
      <c r="Z149" s="65" t="s">
        <v>129</v>
      </c>
      <c r="AA149" s="65" t="s">
        <v>3387</v>
      </c>
    </row>
    <row r="150" spans="1:27" ht="17.45" customHeight="1">
      <c r="A150" s="131" t="str">
        <f>IF(priority(Main[[#This Row],[Comments]])&lt;&gt;0, priority(Main[[#This Row],[Comments]]),"")</f>
        <v/>
      </c>
      <c r="B150" s="99" t="s">
        <v>1024</v>
      </c>
      <c r="C150" s="65" t="s">
        <v>4</v>
      </c>
      <c r="D150" s="66" t="s">
        <v>39</v>
      </c>
      <c r="E150" s="67"/>
      <c r="F150" s="67"/>
      <c r="G150" s="64" t="str">
        <f>IF(stdProdLT(Main[[#This Row],[Comments]])=0.1,"N/A",IF(stdProdLT(Main[[#This Row],[Comments]])=0,"",stdProdLT(Main[[#This Row],[Comments]])))</f>
        <v/>
      </c>
      <c r="H150" s="68" t="str">
        <f>IF(AND(Main[[#This Row],[In Stock Date]]&lt;&gt;"",Main[[#This Row],[Revised Due Date]]&lt;&gt;""),Main[[#This Row],[In Stock Date]]-Main[[#This Row],[Revised Due Date]],"")</f>
        <v/>
      </c>
      <c r="I150" s="65" t="s">
        <v>4</v>
      </c>
      <c r="J150" s="65" t="s">
        <v>4</v>
      </c>
      <c r="K150" s="71" t="s">
        <v>4</v>
      </c>
      <c r="L150" s="67"/>
      <c r="M150" s="69" t="str">
        <f>IF(Main[[#This Row],[Tech Start Date]]&lt;1/1/1990,"",IF(Main[[#This Row],[Class]]="C",WORKDAY(Main[[#This Row],[Tech Start Date]],9),IF(Main[[#This Row],[Class]]="B", WORKDAY(Main[[#This Row],[Tech Start Date]],6),IF(Main[[#This Row],[Class]]="A",WORKDAY(Main[[#This Row],[Tech Start Date]],2),""))))</f>
        <v/>
      </c>
      <c r="N150" s="69" t="str">
        <f>IF(Main[[#This Row],[Tech Start Date]]&lt;1/1/1990,"",IF(Main[[#This Row],[Class]]="C",WORKDAY(Main[[#This Row],[Tech Start Date]],19),IF(Main[[#This Row],[Class]]="B", WORKDAY(Main[[#This Row],[Tech Start Date]],12),IF(Main[[#This Row],[Class]]="A",WORKDAY(Main[[#This Row],[Tech Start Date]],4),""))))</f>
        <v/>
      </c>
      <c r="O150" s="69" t="str">
        <f>IF(Main[[#This Row],[Tech Start Date]]&lt;1/1/1990,"",IF(Main[[#This Row],[Class]]="C",WORKDAY(Main[[#This Row],[Tech Start Date]],23),IF(Main[[#This Row],[Class]]="B", WORKDAY(Main[[#This Row],[Tech Start Date]],15),IF(Main[[#This Row],[Class]]="A",WORKDAY(Main[[#This Row],[Tech Start Date]],5),""))))</f>
        <v/>
      </c>
      <c r="P150" s="69" t="str">
        <f>IF(Main[[#This Row],[Tech Start Date]]&lt;1/1/1990,"",IF(Main[[#This Row],[Class]]="C",WORKDAY(Main[[#This Row],[Tech Start Date]],28),IF(Main[[#This Row],[Class]]="B", WORKDAY(Main[[#This Row],[Tech Start Date]],19),IF(Main[[#This Row],[Class]]="A",WORKDAY(Main[[#This Row],[Tech Start Date]],9),""))))</f>
        <v/>
      </c>
      <c r="Q150" s="67">
        <v>40669</v>
      </c>
      <c r="R150" s="67"/>
      <c r="S150" s="65" t="s">
        <v>6</v>
      </c>
      <c r="T150" s="70" t="s">
        <v>4</v>
      </c>
      <c r="U150" s="65" t="s">
        <v>14</v>
      </c>
      <c r="V150" s="65" t="s">
        <v>1920</v>
      </c>
      <c r="W150" s="65" t="s">
        <v>4</v>
      </c>
      <c r="X150" s="65" t="s">
        <v>2824</v>
      </c>
      <c r="Y150" s="65" t="s">
        <v>2935</v>
      </c>
      <c r="Z150" s="65" t="s">
        <v>4</v>
      </c>
      <c r="AA150" s="65" t="s">
        <v>2824</v>
      </c>
    </row>
    <row r="151" spans="1:27" ht="17.45" customHeight="1">
      <c r="A151" s="131" t="str">
        <f>IF(priority(Main[[#This Row],[Comments]])&lt;&gt;0, priority(Main[[#This Row],[Comments]]),"")</f>
        <v/>
      </c>
      <c r="B151" s="99" t="s">
        <v>1025</v>
      </c>
      <c r="C151" s="65" t="s">
        <v>4</v>
      </c>
      <c r="D151" s="66" t="s">
        <v>40</v>
      </c>
      <c r="E151" s="67"/>
      <c r="F151" s="67"/>
      <c r="G151" s="64" t="str">
        <f>IF(stdProdLT(Main[[#This Row],[Comments]])=0.1,"N/A",IF(stdProdLT(Main[[#This Row],[Comments]])=0,"",stdProdLT(Main[[#This Row],[Comments]])))</f>
        <v/>
      </c>
      <c r="H151" s="68" t="str">
        <f>IF(AND(Main[[#This Row],[In Stock Date]]&lt;&gt;"",Main[[#This Row],[Revised Due Date]]&lt;&gt;""),Main[[#This Row],[In Stock Date]]-Main[[#This Row],[Revised Due Date]],"")</f>
        <v/>
      </c>
      <c r="I151" s="65" t="s">
        <v>4</v>
      </c>
      <c r="J151" s="65" t="s">
        <v>4</v>
      </c>
      <c r="K151" s="65" t="s">
        <v>4</v>
      </c>
      <c r="L151" s="67"/>
      <c r="M151" s="69" t="str">
        <f>IF(Main[[#This Row],[Tech Start Date]]&lt;1/1/1990,"",IF(Main[[#This Row],[Class]]="C",WORKDAY(Main[[#This Row],[Tech Start Date]],9),IF(Main[[#This Row],[Class]]="B", WORKDAY(Main[[#This Row],[Tech Start Date]],6),IF(Main[[#This Row],[Class]]="A",WORKDAY(Main[[#This Row],[Tech Start Date]],2),""))))</f>
        <v/>
      </c>
      <c r="N151" s="69" t="str">
        <f>IF(Main[[#This Row],[Tech Start Date]]&lt;1/1/1990,"",IF(Main[[#This Row],[Class]]="C",WORKDAY(Main[[#This Row],[Tech Start Date]],19),IF(Main[[#This Row],[Class]]="B", WORKDAY(Main[[#This Row],[Tech Start Date]],12),IF(Main[[#This Row],[Class]]="A",WORKDAY(Main[[#This Row],[Tech Start Date]],4),""))))</f>
        <v/>
      </c>
      <c r="O151" s="69" t="str">
        <f>IF(Main[[#This Row],[Tech Start Date]]&lt;1/1/1990,"",IF(Main[[#This Row],[Class]]="C",WORKDAY(Main[[#This Row],[Tech Start Date]],23),IF(Main[[#This Row],[Class]]="B", WORKDAY(Main[[#This Row],[Tech Start Date]],15),IF(Main[[#This Row],[Class]]="A",WORKDAY(Main[[#This Row],[Tech Start Date]],5),""))))</f>
        <v/>
      </c>
      <c r="P151" s="69" t="str">
        <f>IF(Main[[#This Row],[Tech Start Date]]&lt;1/1/1990,"",IF(Main[[#This Row],[Class]]="C",WORKDAY(Main[[#This Row],[Tech Start Date]],28),IF(Main[[#This Row],[Class]]="B", WORKDAY(Main[[#This Row],[Tech Start Date]],19),IF(Main[[#This Row],[Class]]="A",WORKDAY(Main[[#This Row],[Tech Start Date]],9),""))))</f>
        <v/>
      </c>
      <c r="Q151" s="67">
        <v>40368</v>
      </c>
      <c r="R151" s="67"/>
      <c r="S151" s="65" t="s">
        <v>6</v>
      </c>
      <c r="T151" s="70" t="s">
        <v>4</v>
      </c>
      <c r="U151" s="65" t="s">
        <v>14</v>
      </c>
      <c r="V151" s="65" t="s">
        <v>1927</v>
      </c>
      <c r="W151" s="65" t="s">
        <v>1919</v>
      </c>
      <c r="X151" s="65" t="s">
        <v>50</v>
      </c>
      <c r="Y151" s="65" t="s">
        <v>2953</v>
      </c>
      <c r="Z151" s="65" t="s">
        <v>4</v>
      </c>
      <c r="AA151" s="65" t="s">
        <v>973</v>
      </c>
    </row>
    <row r="152" spans="1:27" ht="17.45" customHeight="1">
      <c r="A152" s="131" t="str">
        <f>IF(priority(Main[[#This Row],[Comments]])&lt;&gt;0, priority(Main[[#This Row],[Comments]]),"")</f>
        <v/>
      </c>
      <c r="B152" s="99" t="s">
        <v>1026</v>
      </c>
      <c r="C152" s="65" t="s">
        <v>33</v>
      </c>
      <c r="D152" s="66" t="s">
        <v>41</v>
      </c>
      <c r="E152" s="67"/>
      <c r="F152" s="67"/>
      <c r="G152" s="64" t="str">
        <f>IF(stdProdLT(Main[[#This Row],[Comments]])=0.1,"N/A",IF(stdProdLT(Main[[#This Row],[Comments]])=0,"",stdProdLT(Main[[#This Row],[Comments]])))</f>
        <v/>
      </c>
      <c r="H152" s="68" t="str">
        <f>IF(AND(Main[[#This Row],[In Stock Date]]&lt;&gt;"",Main[[#This Row],[Revised Due Date]]&lt;&gt;""),Main[[#This Row],[In Stock Date]]-Main[[#This Row],[Revised Due Date]],"")</f>
        <v/>
      </c>
      <c r="I152" s="65" t="s">
        <v>4</v>
      </c>
      <c r="J152" s="65" t="s">
        <v>4</v>
      </c>
      <c r="K152" s="65" t="s">
        <v>4</v>
      </c>
      <c r="L152" s="67"/>
      <c r="M152" s="69" t="str">
        <f>IF(Main[[#This Row],[Tech Start Date]]&lt;1/1/1990,"",IF(Main[[#This Row],[Class]]="C",WORKDAY(Main[[#This Row],[Tech Start Date]],9),IF(Main[[#This Row],[Class]]="B", WORKDAY(Main[[#This Row],[Tech Start Date]],6),IF(Main[[#This Row],[Class]]="A",WORKDAY(Main[[#This Row],[Tech Start Date]],2),""))))</f>
        <v/>
      </c>
      <c r="N152" s="69" t="str">
        <f>IF(Main[[#This Row],[Tech Start Date]]&lt;1/1/1990,"",IF(Main[[#This Row],[Class]]="C",WORKDAY(Main[[#This Row],[Tech Start Date]],19),IF(Main[[#This Row],[Class]]="B", WORKDAY(Main[[#This Row],[Tech Start Date]],12),IF(Main[[#This Row],[Class]]="A",WORKDAY(Main[[#This Row],[Tech Start Date]],4),""))))</f>
        <v/>
      </c>
      <c r="O152" s="69" t="str">
        <f>IF(Main[[#This Row],[Tech Start Date]]&lt;1/1/1990,"",IF(Main[[#This Row],[Class]]="C",WORKDAY(Main[[#This Row],[Tech Start Date]],23),IF(Main[[#This Row],[Class]]="B", WORKDAY(Main[[#This Row],[Tech Start Date]],15),IF(Main[[#This Row],[Class]]="A",WORKDAY(Main[[#This Row],[Tech Start Date]],5),""))))</f>
        <v/>
      </c>
      <c r="P152" s="69" t="str">
        <f>IF(Main[[#This Row],[Tech Start Date]]&lt;1/1/1990,"",IF(Main[[#This Row],[Class]]="C",WORKDAY(Main[[#This Row],[Tech Start Date]],28),IF(Main[[#This Row],[Class]]="B", WORKDAY(Main[[#This Row],[Tech Start Date]],19),IF(Main[[#This Row],[Class]]="A",WORKDAY(Main[[#This Row],[Tech Start Date]],9),""))))</f>
        <v/>
      </c>
      <c r="Q152" s="67"/>
      <c r="R152" s="67"/>
      <c r="S152" s="65" t="s">
        <v>11</v>
      </c>
      <c r="T152" s="70" t="s">
        <v>4</v>
      </c>
      <c r="U152" s="65" t="s">
        <v>14</v>
      </c>
      <c r="V152" s="65" t="s">
        <v>1918</v>
      </c>
      <c r="W152" s="65" t="s">
        <v>1925</v>
      </c>
      <c r="X152" s="65" t="s">
        <v>2833</v>
      </c>
      <c r="Y152" s="65" t="s">
        <v>2954</v>
      </c>
      <c r="Z152" s="65" t="s">
        <v>4</v>
      </c>
      <c r="AA152" s="65" t="s">
        <v>2833</v>
      </c>
    </row>
    <row r="153" spans="1:27" ht="17.45" customHeight="1">
      <c r="A153" s="131" t="str">
        <f>IF(priority(Main[[#This Row],[Comments]])&lt;&gt;0, priority(Main[[#This Row],[Comments]]),"")</f>
        <v/>
      </c>
      <c r="B153" s="99" t="s">
        <v>1027</v>
      </c>
      <c r="C153" s="65" t="s">
        <v>4</v>
      </c>
      <c r="D153" s="66" t="s">
        <v>43</v>
      </c>
      <c r="E153" s="67">
        <v>40500.605023148149</v>
      </c>
      <c r="F153" s="67"/>
      <c r="G153" s="64" t="str">
        <f>IF(stdProdLT(Main[[#This Row],[Comments]])=0.1,"N/A",IF(stdProdLT(Main[[#This Row],[Comments]])=0,"",stdProdLT(Main[[#This Row],[Comments]])))</f>
        <v/>
      </c>
      <c r="H153" s="68" t="str">
        <f>IF(AND(Main[[#This Row],[In Stock Date]]&lt;&gt;"",Main[[#This Row],[Revised Due Date]]&lt;&gt;""),Main[[#This Row],[In Stock Date]]-Main[[#This Row],[Revised Due Date]],"")</f>
        <v/>
      </c>
      <c r="I153" s="65" t="s">
        <v>4</v>
      </c>
      <c r="J153" s="65" t="s">
        <v>4</v>
      </c>
      <c r="K153" s="65" t="s">
        <v>4</v>
      </c>
      <c r="L153" s="67"/>
      <c r="M153" s="69" t="str">
        <f>IF(Main[[#This Row],[Tech Start Date]]&lt;1/1/1990,"",IF(Main[[#This Row],[Class]]="C",WORKDAY(Main[[#This Row],[Tech Start Date]],9),IF(Main[[#This Row],[Class]]="B", WORKDAY(Main[[#This Row],[Tech Start Date]],6),IF(Main[[#This Row],[Class]]="A",WORKDAY(Main[[#This Row],[Tech Start Date]],2),""))))</f>
        <v/>
      </c>
      <c r="N153" s="69" t="str">
        <f>IF(Main[[#This Row],[Tech Start Date]]&lt;1/1/1990,"",IF(Main[[#This Row],[Class]]="C",WORKDAY(Main[[#This Row],[Tech Start Date]],19),IF(Main[[#This Row],[Class]]="B", WORKDAY(Main[[#This Row],[Tech Start Date]],12),IF(Main[[#This Row],[Class]]="A",WORKDAY(Main[[#This Row],[Tech Start Date]],4),""))))</f>
        <v/>
      </c>
      <c r="O153" s="69" t="str">
        <f>IF(Main[[#This Row],[Tech Start Date]]&lt;1/1/1990,"",IF(Main[[#This Row],[Class]]="C",WORKDAY(Main[[#This Row],[Tech Start Date]],23),IF(Main[[#This Row],[Class]]="B", WORKDAY(Main[[#This Row],[Tech Start Date]],15),IF(Main[[#This Row],[Class]]="A",WORKDAY(Main[[#This Row],[Tech Start Date]],5),""))))</f>
        <v/>
      </c>
      <c r="P153" s="69" t="str">
        <f>IF(Main[[#This Row],[Tech Start Date]]&lt;1/1/1990,"",IF(Main[[#This Row],[Class]]="C",WORKDAY(Main[[#This Row],[Tech Start Date]],28),IF(Main[[#This Row],[Class]]="B", WORKDAY(Main[[#This Row],[Tech Start Date]],19),IF(Main[[#This Row],[Class]]="A",WORKDAY(Main[[#This Row],[Tech Start Date]],9),""))))</f>
        <v/>
      </c>
      <c r="Q153" s="67">
        <v>40519</v>
      </c>
      <c r="R153" s="67"/>
      <c r="S153" s="65" t="s">
        <v>4</v>
      </c>
      <c r="T153" s="70" t="s">
        <v>4</v>
      </c>
      <c r="U153" s="65" t="s">
        <v>7</v>
      </c>
      <c r="V153" s="65" t="s">
        <v>1917</v>
      </c>
      <c r="W153" s="65" t="s">
        <v>4</v>
      </c>
      <c r="X153" s="65" t="s">
        <v>2827</v>
      </c>
      <c r="Y153" s="65" t="s">
        <v>2942</v>
      </c>
      <c r="Z153" s="65" t="s">
        <v>4</v>
      </c>
      <c r="AA153" s="65" t="s">
        <v>2827</v>
      </c>
    </row>
    <row r="154" spans="1:27" ht="17.45" customHeight="1">
      <c r="A154" s="131" t="str">
        <f>IF(priority(Main[[#This Row],[Comments]])&lt;&gt;0, priority(Main[[#This Row],[Comments]]),"")</f>
        <v/>
      </c>
      <c r="B154" s="99" t="s">
        <v>1029</v>
      </c>
      <c r="C154" s="65" t="s">
        <v>4</v>
      </c>
      <c r="D154" s="66" t="s">
        <v>45</v>
      </c>
      <c r="E154" s="67">
        <v>40486.407523148147</v>
      </c>
      <c r="F154" s="67"/>
      <c r="G154" s="64" t="str">
        <f>IF(stdProdLT(Main[[#This Row],[Comments]])=0.1,"N/A",IF(stdProdLT(Main[[#This Row],[Comments]])=0,"",stdProdLT(Main[[#This Row],[Comments]])))</f>
        <v/>
      </c>
      <c r="H154" s="68" t="str">
        <f>IF(AND(Main[[#This Row],[In Stock Date]]&lt;&gt;"",Main[[#This Row],[Revised Due Date]]&lt;&gt;""),Main[[#This Row],[In Stock Date]]-Main[[#This Row],[Revised Due Date]],"")</f>
        <v/>
      </c>
      <c r="I154" s="65" t="s">
        <v>4</v>
      </c>
      <c r="J154" s="65" t="s">
        <v>4</v>
      </c>
      <c r="K154" s="65" t="s">
        <v>4</v>
      </c>
      <c r="L154" s="67"/>
      <c r="M154" s="69" t="str">
        <f>IF(Main[[#This Row],[Tech Start Date]]&lt;1/1/1990,"",IF(Main[[#This Row],[Class]]="C",WORKDAY(Main[[#This Row],[Tech Start Date]],9),IF(Main[[#This Row],[Class]]="B", WORKDAY(Main[[#This Row],[Tech Start Date]],6),IF(Main[[#This Row],[Class]]="A",WORKDAY(Main[[#This Row],[Tech Start Date]],2),""))))</f>
        <v/>
      </c>
      <c r="N154" s="69" t="str">
        <f>IF(Main[[#This Row],[Tech Start Date]]&lt;1/1/1990,"",IF(Main[[#This Row],[Class]]="C",WORKDAY(Main[[#This Row],[Tech Start Date]],19),IF(Main[[#This Row],[Class]]="B", WORKDAY(Main[[#This Row],[Tech Start Date]],12),IF(Main[[#This Row],[Class]]="A",WORKDAY(Main[[#This Row],[Tech Start Date]],4),""))))</f>
        <v/>
      </c>
      <c r="O154" s="69" t="str">
        <f>IF(Main[[#This Row],[Tech Start Date]]&lt;1/1/1990,"",IF(Main[[#This Row],[Class]]="C",WORKDAY(Main[[#This Row],[Tech Start Date]],23),IF(Main[[#This Row],[Class]]="B", WORKDAY(Main[[#This Row],[Tech Start Date]],15),IF(Main[[#This Row],[Class]]="A",WORKDAY(Main[[#This Row],[Tech Start Date]],5),""))))</f>
        <v/>
      </c>
      <c r="P154" s="69" t="str">
        <f>IF(Main[[#This Row],[Tech Start Date]]&lt;1/1/1990,"",IF(Main[[#This Row],[Class]]="C",WORKDAY(Main[[#This Row],[Tech Start Date]],28),IF(Main[[#This Row],[Class]]="B", WORKDAY(Main[[#This Row],[Tech Start Date]],19),IF(Main[[#This Row],[Class]]="A",WORKDAY(Main[[#This Row],[Tech Start Date]],9),""))))</f>
        <v/>
      </c>
      <c r="Q154" s="67">
        <v>40522</v>
      </c>
      <c r="R154" s="67"/>
      <c r="S154" s="65" t="s">
        <v>6</v>
      </c>
      <c r="T154" s="70" t="s">
        <v>4</v>
      </c>
      <c r="U154" s="65" t="s">
        <v>7</v>
      </c>
      <c r="V154" s="65" t="s">
        <v>1917</v>
      </c>
      <c r="W154" s="65" t="s">
        <v>4</v>
      </c>
      <c r="X154" s="65" t="s">
        <v>2824</v>
      </c>
      <c r="Y154" s="65" t="s">
        <v>2935</v>
      </c>
      <c r="Z154" s="65" t="s">
        <v>4</v>
      </c>
      <c r="AA154" s="65" t="s">
        <v>2824</v>
      </c>
    </row>
    <row r="155" spans="1:27" ht="17.45" customHeight="1">
      <c r="A155" s="131" t="str">
        <f>IF(priority(Main[[#This Row],[Comments]])&lt;&gt;0, priority(Main[[#This Row],[Comments]]),"")</f>
        <v/>
      </c>
      <c r="B155" s="99" t="s">
        <v>1031</v>
      </c>
      <c r="C155" s="65" t="s">
        <v>47</v>
      </c>
      <c r="D155" s="66" t="s">
        <v>48</v>
      </c>
      <c r="E155" s="67"/>
      <c r="F155" s="67"/>
      <c r="G155" s="64" t="str">
        <f>IF(stdProdLT(Main[[#This Row],[Comments]])=0.1,"N/A",IF(stdProdLT(Main[[#This Row],[Comments]])=0,"",stdProdLT(Main[[#This Row],[Comments]])))</f>
        <v/>
      </c>
      <c r="H155" s="68" t="str">
        <f>IF(AND(Main[[#This Row],[In Stock Date]]&lt;&gt;"",Main[[#This Row],[Revised Due Date]]&lt;&gt;""),Main[[#This Row],[In Stock Date]]-Main[[#This Row],[Revised Due Date]],"")</f>
        <v/>
      </c>
      <c r="I155" s="65" t="s">
        <v>4</v>
      </c>
      <c r="J155" s="65" t="s">
        <v>4</v>
      </c>
      <c r="K155" s="65" t="s">
        <v>4</v>
      </c>
      <c r="L155" s="67"/>
      <c r="M155" s="69" t="str">
        <f>IF(Main[[#This Row],[Tech Start Date]]&lt;1/1/1990,"",IF(Main[[#This Row],[Class]]="C",WORKDAY(Main[[#This Row],[Tech Start Date]],9),IF(Main[[#This Row],[Class]]="B", WORKDAY(Main[[#This Row],[Tech Start Date]],6),IF(Main[[#This Row],[Class]]="A",WORKDAY(Main[[#This Row],[Tech Start Date]],2),""))))</f>
        <v/>
      </c>
      <c r="N155" s="69" t="str">
        <f>IF(Main[[#This Row],[Tech Start Date]]&lt;1/1/1990,"",IF(Main[[#This Row],[Class]]="C",WORKDAY(Main[[#This Row],[Tech Start Date]],19),IF(Main[[#This Row],[Class]]="B", WORKDAY(Main[[#This Row],[Tech Start Date]],12),IF(Main[[#This Row],[Class]]="A",WORKDAY(Main[[#This Row],[Tech Start Date]],4),""))))</f>
        <v/>
      </c>
      <c r="O155" s="69" t="str">
        <f>IF(Main[[#This Row],[Tech Start Date]]&lt;1/1/1990,"",IF(Main[[#This Row],[Class]]="C",WORKDAY(Main[[#This Row],[Tech Start Date]],23),IF(Main[[#This Row],[Class]]="B", WORKDAY(Main[[#This Row],[Tech Start Date]],15),IF(Main[[#This Row],[Class]]="A",WORKDAY(Main[[#This Row],[Tech Start Date]],5),""))))</f>
        <v/>
      </c>
      <c r="P155" s="69" t="str">
        <f>IF(Main[[#This Row],[Tech Start Date]]&lt;1/1/1990,"",IF(Main[[#This Row],[Class]]="C",WORKDAY(Main[[#This Row],[Tech Start Date]],28),IF(Main[[#This Row],[Class]]="B", WORKDAY(Main[[#This Row],[Tech Start Date]],19),IF(Main[[#This Row],[Class]]="A",WORKDAY(Main[[#This Row],[Tech Start Date]],9),""))))</f>
        <v/>
      </c>
      <c r="Q155" s="67"/>
      <c r="R155" s="67"/>
      <c r="S155" s="65" t="s">
        <v>49</v>
      </c>
      <c r="T155" s="70" t="s">
        <v>4</v>
      </c>
      <c r="U155" s="65" t="s">
        <v>14</v>
      </c>
      <c r="V155" s="65" t="s">
        <v>1920</v>
      </c>
      <c r="W155" s="65" t="s">
        <v>1921</v>
      </c>
      <c r="X155" s="65" t="s">
        <v>306</v>
      </c>
      <c r="Y155" s="65" t="s">
        <v>2947</v>
      </c>
      <c r="Z155" s="65" t="s">
        <v>4</v>
      </c>
      <c r="AA155" s="65" t="s">
        <v>3388</v>
      </c>
    </row>
    <row r="156" spans="1:27" ht="17.45" customHeight="1">
      <c r="A156" s="131" t="str">
        <f>IF(priority(Main[[#This Row],[Comments]])&lt;&gt;0, priority(Main[[#This Row],[Comments]]),"")</f>
        <v/>
      </c>
      <c r="B156" s="99" t="s">
        <v>1045</v>
      </c>
      <c r="C156" s="65" t="s">
        <v>67</v>
      </c>
      <c r="D156" s="66" t="s">
        <v>68</v>
      </c>
      <c r="E156" s="67"/>
      <c r="F156" s="67"/>
      <c r="G156" s="64" t="str">
        <f>IF(stdProdLT(Main[[#This Row],[Comments]])=0.1,"N/A",IF(stdProdLT(Main[[#This Row],[Comments]])=0,"",stdProdLT(Main[[#This Row],[Comments]])))</f>
        <v/>
      </c>
      <c r="H156" s="68" t="str">
        <f>IF(AND(Main[[#This Row],[In Stock Date]]&lt;&gt;"",Main[[#This Row],[Revised Due Date]]&lt;&gt;""),Main[[#This Row],[In Stock Date]]-Main[[#This Row],[Revised Due Date]],"")</f>
        <v/>
      </c>
      <c r="I156" s="65" t="s">
        <v>4</v>
      </c>
      <c r="J156" s="65" t="s">
        <v>4</v>
      </c>
      <c r="K156" s="71" t="s">
        <v>4</v>
      </c>
      <c r="L156" s="67"/>
      <c r="M156" s="69" t="str">
        <f>IF(Main[[#This Row],[Tech Start Date]]&lt;1/1/1990,"",IF(Main[[#This Row],[Class]]="C",WORKDAY(Main[[#This Row],[Tech Start Date]],9),IF(Main[[#This Row],[Class]]="B", WORKDAY(Main[[#This Row],[Tech Start Date]],6),IF(Main[[#This Row],[Class]]="A",WORKDAY(Main[[#This Row],[Tech Start Date]],2),""))))</f>
        <v/>
      </c>
      <c r="N156" s="69" t="str">
        <f>IF(Main[[#This Row],[Tech Start Date]]&lt;1/1/1990,"",IF(Main[[#This Row],[Class]]="C",WORKDAY(Main[[#This Row],[Tech Start Date]],19),IF(Main[[#This Row],[Class]]="B", WORKDAY(Main[[#This Row],[Tech Start Date]],12),IF(Main[[#This Row],[Class]]="A",WORKDAY(Main[[#This Row],[Tech Start Date]],4),""))))</f>
        <v/>
      </c>
      <c r="O156" s="69" t="str">
        <f>IF(Main[[#This Row],[Tech Start Date]]&lt;1/1/1990,"",IF(Main[[#This Row],[Class]]="C",WORKDAY(Main[[#This Row],[Tech Start Date]],23),IF(Main[[#This Row],[Class]]="B", WORKDAY(Main[[#This Row],[Tech Start Date]],15),IF(Main[[#This Row],[Class]]="A",WORKDAY(Main[[#This Row],[Tech Start Date]],5),""))))</f>
        <v/>
      </c>
      <c r="P156" s="69" t="str">
        <f>IF(Main[[#This Row],[Tech Start Date]]&lt;1/1/1990,"",IF(Main[[#This Row],[Class]]="C",WORKDAY(Main[[#This Row],[Tech Start Date]],28),IF(Main[[#This Row],[Class]]="B", WORKDAY(Main[[#This Row],[Tech Start Date]],19),IF(Main[[#This Row],[Class]]="A",WORKDAY(Main[[#This Row],[Tech Start Date]],9),""))))</f>
        <v/>
      </c>
      <c r="Q156" s="67">
        <v>40298</v>
      </c>
      <c r="R156" s="67"/>
      <c r="S156" s="65" t="s">
        <v>17</v>
      </c>
      <c r="T156" s="70" t="s">
        <v>4</v>
      </c>
      <c r="U156" s="65" t="s">
        <v>14</v>
      </c>
      <c r="V156" s="65" t="s">
        <v>1920</v>
      </c>
      <c r="W156" s="65" t="s">
        <v>1925</v>
      </c>
      <c r="X156" s="65" t="s">
        <v>306</v>
      </c>
      <c r="Y156" s="65" t="s">
        <v>2955</v>
      </c>
      <c r="Z156" s="65" t="s">
        <v>4</v>
      </c>
      <c r="AA156" s="65" t="s">
        <v>415</v>
      </c>
    </row>
    <row r="157" spans="1:27" ht="17.45" customHeight="1">
      <c r="A157" s="131" t="str">
        <f>IF(priority(Main[[#This Row],[Comments]])&lt;&gt;0, priority(Main[[#This Row],[Comments]]),"")</f>
        <v/>
      </c>
      <c r="B157" s="99" t="s">
        <v>1278</v>
      </c>
      <c r="C157" s="65" t="s">
        <v>4</v>
      </c>
      <c r="D157" s="66" t="s">
        <v>2331</v>
      </c>
      <c r="E157" s="67">
        <v>40578.5078587963</v>
      </c>
      <c r="F157" s="67"/>
      <c r="G157" s="64" t="str">
        <f>IF(stdProdLT(Main[[#This Row],[Comments]])=0.1,"N/A",IF(stdProdLT(Main[[#This Row],[Comments]])=0,"",stdProdLT(Main[[#This Row],[Comments]])))</f>
        <v/>
      </c>
      <c r="H157" s="68" t="str">
        <f>IF(AND(Main[[#This Row],[In Stock Date]]&lt;&gt;"",Main[[#This Row],[Revised Due Date]]&lt;&gt;""),Main[[#This Row],[In Stock Date]]-Main[[#This Row],[Revised Due Date]],"")</f>
        <v/>
      </c>
      <c r="I157" s="65" t="s">
        <v>914</v>
      </c>
      <c r="J157" s="65" t="s">
        <v>52</v>
      </c>
      <c r="K157" s="65" t="s">
        <v>4</v>
      </c>
      <c r="L157" s="67"/>
      <c r="M157" s="69" t="str">
        <f>IF(Main[[#This Row],[Tech Start Date]]&lt;1/1/1990,"",IF(Main[[#This Row],[Class]]="C",WORKDAY(Main[[#This Row],[Tech Start Date]],9),IF(Main[[#This Row],[Class]]="B", WORKDAY(Main[[#This Row],[Tech Start Date]],6),IF(Main[[#This Row],[Class]]="A",WORKDAY(Main[[#This Row],[Tech Start Date]],2),""))))</f>
        <v/>
      </c>
      <c r="N157" s="69" t="str">
        <f>IF(Main[[#This Row],[Tech Start Date]]&lt;1/1/1990,"",IF(Main[[#This Row],[Class]]="C",WORKDAY(Main[[#This Row],[Tech Start Date]],19),IF(Main[[#This Row],[Class]]="B", WORKDAY(Main[[#This Row],[Tech Start Date]],12),IF(Main[[#This Row],[Class]]="A",WORKDAY(Main[[#This Row],[Tech Start Date]],4),""))))</f>
        <v/>
      </c>
      <c r="O157" s="69" t="str">
        <f>IF(Main[[#This Row],[Tech Start Date]]&lt;1/1/1990,"",IF(Main[[#This Row],[Class]]="C",WORKDAY(Main[[#This Row],[Tech Start Date]],23),IF(Main[[#This Row],[Class]]="B", WORKDAY(Main[[#This Row],[Tech Start Date]],15),IF(Main[[#This Row],[Class]]="A",WORKDAY(Main[[#This Row],[Tech Start Date]],5),""))))</f>
        <v/>
      </c>
      <c r="P157" s="69" t="str">
        <f>IF(Main[[#This Row],[Tech Start Date]]&lt;1/1/1990,"",IF(Main[[#This Row],[Class]]="C",WORKDAY(Main[[#This Row],[Tech Start Date]],28),IF(Main[[#This Row],[Class]]="B", WORKDAY(Main[[#This Row],[Tech Start Date]],19),IF(Main[[#This Row],[Class]]="A",WORKDAY(Main[[#This Row],[Tech Start Date]],9),""))))</f>
        <v/>
      </c>
      <c r="Q157" s="67">
        <v>40592</v>
      </c>
      <c r="R157" s="67"/>
      <c r="S157" s="65" t="s">
        <v>6</v>
      </c>
      <c r="T157" s="70" t="s">
        <v>4</v>
      </c>
      <c r="U157" s="65" t="s">
        <v>29</v>
      </c>
      <c r="V157" s="65" t="s">
        <v>1917</v>
      </c>
      <c r="W157" s="65" t="s">
        <v>1921</v>
      </c>
      <c r="X157" s="65" t="s">
        <v>2834</v>
      </c>
      <c r="Y157" s="65" t="s">
        <v>2956</v>
      </c>
      <c r="Z157" s="65" t="s">
        <v>4</v>
      </c>
      <c r="AA157" s="65" t="s">
        <v>2834</v>
      </c>
    </row>
    <row r="158" spans="1:27" ht="17.45" customHeight="1">
      <c r="A158" s="131" t="str">
        <f>IF(priority(Main[[#This Row],[Comments]])&lt;&gt;0, priority(Main[[#This Row],[Comments]]),"")</f>
        <v/>
      </c>
      <c r="B158" s="99" t="s">
        <v>1046</v>
      </c>
      <c r="C158" s="65" t="s">
        <v>4</v>
      </c>
      <c r="D158" s="66" t="s">
        <v>71</v>
      </c>
      <c r="E158" s="67"/>
      <c r="F158" s="67"/>
      <c r="G158" s="64" t="str">
        <f>IF(stdProdLT(Main[[#This Row],[Comments]])=0.1,"N/A",IF(stdProdLT(Main[[#This Row],[Comments]])=0,"",stdProdLT(Main[[#This Row],[Comments]])))</f>
        <v/>
      </c>
      <c r="H158" s="68" t="str">
        <f>IF(AND(Main[[#This Row],[In Stock Date]]&lt;&gt;"",Main[[#This Row],[Revised Due Date]]&lt;&gt;""),Main[[#This Row],[In Stock Date]]-Main[[#This Row],[Revised Due Date]],"")</f>
        <v/>
      </c>
      <c r="I158" s="65" t="s">
        <v>4</v>
      </c>
      <c r="J158" s="65" t="s">
        <v>4</v>
      </c>
      <c r="K158" s="65" t="s">
        <v>4</v>
      </c>
      <c r="L158" s="67"/>
      <c r="M158" s="69" t="str">
        <f>IF(Main[[#This Row],[Tech Start Date]]&lt;1/1/1990,"",IF(Main[[#This Row],[Class]]="C",WORKDAY(Main[[#This Row],[Tech Start Date]],9),IF(Main[[#This Row],[Class]]="B", WORKDAY(Main[[#This Row],[Tech Start Date]],6),IF(Main[[#This Row],[Class]]="A",WORKDAY(Main[[#This Row],[Tech Start Date]],2),""))))</f>
        <v/>
      </c>
      <c r="N158" s="69" t="str">
        <f>IF(Main[[#This Row],[Tech Start Date]]&lt;1/1/1990,"",IF(Main[[#This Row],[Class]]="C",WORKDAY(Main[[#This Row],[Tech Start Date]],19),IF(Main[[#This Row],[Class]]="B", WORKDAY(Main[[#This Row],[Tech Start Date]],12),IF(Main[[#This Row],[Class]]="A",WORKDAY(Main[[#This Row],[Tech Start Date]],4),""))))</f>
        <v/>
      </c>
      <c r="O158" s="69" t="str">
        <f>IF(Main[[#This Row],[Tech Start Date]]&lt;1/1/1990,"",IF(Main[[#This Row],[Class]]="C",WORKDAY(Main[[#This Row],[Tech Start Date]],23),IF(Main[[#This Row],[Class]]="B", WORKDAY(Main[[#This Row],[Tech Start Date]],15),IF(Main[[#This Row],[Class]]="A",WORKDAY(Main[[#This Row],[Tech Start Date]],5),""))))</f>
        <v/>
      </c>
      <c r="P158" s="69" t="str">
        <f>IF(Main[[#This Row],[Tech Start Date]]&lt;1/1/1990,"",IF(Main[[#This Row],[Class]]="C",WORKDAY(Main[[#This Row],[Tech Start Date]],28),IF(Main[[#This Row],[Class]]="B", WORKDAY(Main[[#This Row],[Tech Start Date]],19),IF(Main[[#This Row],[Class]]="A",WORKDAY(Main[[#This Row],[Tech Start Date]],9),""))))</f>
        <v/>
      </c>
      <c r="Q158" s="67"/>
      <c r="R158" s="67"/>
      <c r="S158" s="65" t="s">
        <v>23</v>
      </c>
      <c r="T158" s="70" t="s">
        <v>4</v>
      </c>
      <c r="U158" s="65" t="s">
        <v>14</v>
      </c>
      <c r="V158" s="65" t="s">
        <v>1917</v>
      </c>
      <c r="W158" s="65" t="s">
        <v>1921</v>
      </c>
      <c r="X158" s="65" t="s">
        <v>399</v>
      </c>
      <c r="Y158" s="65" t="s">
        <v>4</v>
      </c>
      <c r="Z158" s="65" t="s">
        <v>4</v>
      </c>
      <c r="AA158" s="65" t="s">
        <v>3386</v>
      </c>
    </row>
    <row r="159" spans="1:27" ht="17.45" customHeight="1">
      <c r="A159" s="131" t="str">
        <f>IF(priority(Main[[#This Row],[Comments]])&lt;&gt;0, priority(Main[[#This Row],[Comments]]),"")</f>
        <v/>
      </c>
      <c r="B159" s="99" t="s">
        <v>1013</v>
      </c>
      <c r="C159" s="65" t="s">
        <v>15</v>
      </c>
      <c r="D159" s="66" t="s">
        <v>16</v>
      </c>
      <c r="E159" s="67">
        <v>40611.379872685182</v>
      </c>
      <c r="F159" s="67"/>
      <c r="G159" s="64" t="str">
        <f>IF(stdProdLT(Main[[#This Row],[Comments]])=0.1,"N/A",IF(stdProdLT(Main[[#This Row],[Comments]])=0,"",stdProdLT(Main[[#This Row],[Comments]])))</f>
        <v/>
      </c>
      <c r="H159" s="68" t="str">
        <f>IF(AND(Main[[#This Row],[In Stock Date]]&lt;&gt;"",Main[[#This Row],[Revised Due Date]]&lt;&gt;""),Main[[#This Row],[In Stock Date]]-Main[[#This Row],[Revised Due Date]],"")</f>
        <v/>
      </c>
      <c r="I159" s="65" t="s">
        <v>4</v>
      </c>
      <c r="J159" s="65" t="s">
        <v>4</v>
      </c>
      <c r="K159" s="71" t="s">
        <v>4</v>
      </c>
      <c r="L159" s="67"/>
      <c r="M159" s="69" t="str">
        <f>IF(Main[[#This Row],[Tech Start Date]]&lt;1/1/1990,"",IF(Main[[#This Row],[Class]]="C",WORKDAY(Main[[#This Row],[Tech Start Date]],9),IF(Main[[#This Row],[Class]]="B", WORKDAY(Main[[#This Row],[Tech Start Date]],6),IF(Main[[#This Row],[Class]]="A",WORKDAY(Main[[#This Row],[Tech Start Date]],2),""))))</f>
        <v/>
      </c>
      <c r="N159" s="69" t="str">
        <f>IF(Main[[#This Row],[Tech Start Date]]&lt;1/1/1990,"",IF(Main[[#This Row],[Class]]="C",WORKDAY(Main[[#This Row],[Tech Start Date]],19),IF(Main[[#This Row],[Class]]="B", WORKDAY(Main[[#This Row],[Tech Start Date]],12),IF(Main[[#This Row],[Class]]="A",WORKDAY(Main[[#This Row],[Tech Start Date]],4),""))))</f>
        <v/>
      </c>
      <c r="O159" s="69" t="str">
        <f>IF(Main[[#This Row],[Tech Start Date]]&lt;1/1/1990,"",IF(Main[[#This Row],[Class]]="C",WORKDAY(Main[[#This Row],[Tech Start Date]],23),IF(Main[[#This Row],[Class]]="B", WORKDAY(Main[[#This Row],[Tech Start Date]],15),IF(Main[[#This Row],[Class]]="A",WORKDAY(Main[[#This Row],[Tech Start Date]],5),""))))</f>
        <v/>
      </c>
      <c r="P159" s="69" t="str">
        <f>IF(Main[[#This Row],[Tech Start Date]]&lt;1/1/1990,"",IF(Main[[#This Row],[Class]]="C",WORKDAY(Main[[#This Row],[Tech Start Date]],28),IF(Main[[#This Row],[Class]]="B", WORKDAY(Main[[#This Row],[Tech Start Date]],19),IF(Main[[#This Row],[Class]]="A",WORKDAY(Main[[#This Row],[Tech Start Date]],9),""))))</f>
        <v/>
      </c>
      <c r="Q159" s="67">
        <v>40695</v>
      </c>
      <c r="R159" s="67"/>
      <c r="S159" s="65" t="s">
        <v>17</v>
      </c>
      <c r="T159" s="70" t="s">
        <v>4</v>
      </c>
      <c r="U159" s="65" t="s">
        <v>7</v>
      </c>
      <c r="V159" s="65" t="s">
        <v>1920</v>
      </c>
      <c r="W159" s="65" t="s">
        <v>1922</v>
      </c>
      <c r="X159" s="65" t="s">
        <v>554</v>
      </c>
      <c r="Y159" s="65" t="s">
        <v>2958</v>
      </c>
      <c r="Z159" s="65" t="s">
        <v>4</v>
      </c>
      <c r="AA159" s="65" t="s">
        <v>554</v>
      </c>
    </row>
    <row r="160" spans="1:27" ht="17.45" customHeight="1">
      <c r="A160" s="131" t="str">
        <f>IF(priority(Main[[#This Row],[Comments]])&lt;&gt;0, priority(Main[[#This Row],[Comments]]),"")</f>
        <v/>
      </c>
      <c r="B160" s="99" t="s">
        <v>2171</v>
      </c>
      <c r="C160" s="65" t="s">
        <v>2163</v>
      </c>
      <c r="D160" s="66" t="s">
        <v>3255</v>
      </c>
      <c r="E160" s="67">
        <v>40781.402488425927</v>
      </c>
      <c r="F160" s="67"/>
      <c r="G160" s="64" t="str">
        <f>IF(stdProdLT(Main[[#This Row],[Comments]])=0.1,"N/A",IF(stdProdLT(Main[[#This Row],[Comments]])=0,"",stdProdLT(Main[[#This Row],[Comments]])))</f>
        <v/>
      </c>
      <c r="H160" s="68" t="str">
        <f>IF(AND(Main[[#This Row],[In Stock Date]]&lt;&gt;"",Main[[#This Row],[Revised Due Date]]&lt;&gt;""),Main[[#This Row],[In Stock Date]]-Main[[#This Row],[Revised Due Date]],"")</f>
        <v/>
      </c>
      <c r="I160" s="65" t="s">
        <v>429</v>
      </c>
      <c r="J160" s="65" t="s">
        <v>70</v>
      </c>
      <c r="K160" s="65" t="s">
        <v>1926</v>
      </c>
      <c r="L160" s="67"/>
      <c r="M160" s="69" t="str">
        <f>IF(Main[[#This Row],[Tech Start Date]]&lt;1/1/1990,"",IF(Main[[#This Row],[Class]]="C",WORKDAY(Main[[#This Row],[Tech Start Date]],9),IF(Main[[#This Row],[Class]]="B", WORKDAY(Main[[#This Row],[Tech Start Date]],6),IF(Main[[#This Row],[Class]]="A",WORKDAY(Main[[#This Row],[Tech Start Date]],2),""))))</f>
        <v/>
      </c>
      <c r="N160" s="69" t="str">
        <f>IF(Main[[#This Row],[Tech Start Date]]&lt;1/1/1990,"",IF(Main[[#This Row],[Class]]="C",WORKDAY(Main[[#This Row],[Tech Start Date]],19),IF(Main[[#This Row],[Class]]="B", WORKDAY(Main[[#This Row],[Tech Start Date]],12),IF(Main[[#This Row],[Class]]="A",WORKDAY(Main[[#This Row],[Tech Start Date]],4),""))))</f>
        <v/>
      </c>
      <c r="O160" s="69" t="str">
        <f>IF(Main[[#This Row],[Tech Start Date]]&lt;1/1/1990,"",IF(Main[[#This Row],[Class]]="C",WORKDAY(Main[[#This Row],[Tech Start Date]],23),IF(Main[[#This Row],[Class]]="B", WORKDAY(Main[[#This Row],[Tech Start Date]],15),IF(Main[[#This Row],[Class]]="A",WORKDAY(Main[[#This Row],[Tech Start Date]],5),""))))</f>
        <v/>
      </c>
      <c r="P160" s="69" t="str">
        <f>IF(Main[[#This Row],[Tech Start Date]]&lt;1/1/1990,"",IF(Main[[#This Row],[Class]]="C",WORKDAY(Main[[#This Row],[Tech Start Date]],28),IF(Main[[#This Row],[Class]]="B", WORKDAY(Main[[#This Row],[Tech Start Date]],19),IF(Main[[#This Row],[Class]]="A",WORKDAY(Main[[#This Row],[Tech Start Date]],9),""))))</f>
        <v/>
      </c>
      <c r="Q160" s="67">
        <v>40836</v>
      </c>
      <c r="R160" s="67"/>
      <c r="S160" s="65" t="s">
        <v>6</v>
      </c>
      <c r="T160" s="70" t="s">
        <v>4</v>
      </c>
      <c r="U160" s="65" t="s">
        <v>29</v>
      </c>
      <c r="V160" s="65" t="s">
        <v>1920</v>
      </c>
      <c r="W160" s="65" t="s">
        <v>1921</v>
      </c>
      <c r="X160" s="65" t="s">
        <v>2842</v>
      </c>
      <c r="Y160" s="65" t="s">
        <v>2971</v>
      </c>
      <c r="Z160" s="65" t="s">
        <v>30</v>
      </c>
      <c r="AA160" s="65" t="s">
        <v>2842</v>
      </c>
    </row>
    <row r="161" spans="1:27" ht="17.45" customHeight="1">
      <c r="A161" s="131" t="str">
        <f>IF(priority(Main[[#This Row],[Comments]])&lt;&gt;0, priority(Main[[#This Row],[Comments]]),"")</f>
        <v/>
      </c>
      <c r="B161" s="99" t="s">
        <v>1048</v>
      </c>
      <c r="C161" s="65" t="s">
        <v>31</v>
      </c>
      <c r="D161" s="66" t="s">
        <v>77</v>
      </c>
      <c r="E161" s="67"/>
      <c r="F161" s="67">
        <v>40512</v>
      </c>
      <c r="G161" s="64" t="str">
        <f>IF(stdProdLT(Main[[#This Row],[Comments]])=0.1,"N/A",IF(stdProdLT(Main[[#This Row],[Comments]])=0,"",stdProdLT(Main[[#This Row],[Comments]])))</f>
        <v/>
      </c>
      <c r="H161" s="68" t="str">
        <f>IF(AND(Main[[#This Row],[In Stock Date]]&lt;&gt;"",Main[[#This Row],[Revised Due Date]]&lt;&gt;""),Main[[#This Row],[In Stock Date]]-Main[[#This Row],[Revised Due Date]],"")</f>
        <v/>
      </c>
      <c r="I161" s="65" t="s">
        <v>4</v>
      </c>
      <c r="J161" s="65" t="s">
        <v>4</v>
      </c>
      <c r="K161" s="65" t="s">
        <v>4</v>
      </c>
      <c r="L161" s="67"/>
      <c r="M161" s="69" t="str">
        <f>IF(Main[[#This Row],[Tech Start Date]]&lt;1/1/1990,"",IF(Main[[#This Row],[Class]]="C",WORKDAY(Main[[#This Row],[Tech Start Date]],9),IF(Main[[#This Row],[Class]]="B", WORKDAY(Main[[#This Row],[Tech Start Date]],6),IF(Main[[#This Row],[Class]]="A",WORKDAY(Main[[#This Row],[Tech Start Date]],2),""))))</f>
        <v/>
      </c>
      <c r="N161" s="69" t="str">
        <f>IF(Main[[#This Row],[Tech Start Date]]&lt;1/1/1990,"",IF(Main[[#This Row],[Class]]="C",WORKDAY(Main[[#This Row],[Tech Start Date]],19),IF(Main[[#This Row],[Class]]="B", WORKDAY(Main[[#This Row],[Tech Start Date]],12),IF(Main[[#This Row],[Class]]="A",WORKDAY(Main[[#This Row],[Tech Start Date]],4),""))))</f>
        <v/>
      </c>
      <c r="O161" s="69" t="str">
        <f>IF(Main[[#This Row],[Tech Start Date]]&lt;1/1/1990,"",IF(Main[[#This Row],[Class]]="C",WORKDAY(Main[[#This Row],[Tech Start Date]],23),IF(Main[[#This Row],[Class]]="B", WORKDAY(Main[[#This Row],[Tech Start Date]],15),IF(Main[[#This Row],[Class]]="A",WORKDAY(Main[[#This Row],[Tech Start Date]],5),""))))</f>
        <v/>
      </c>
      <c r="P161" s="69" t="str">
        <f>IF(Main[[#This Row],[Tech Start Date]]&lt;1/1/1990,"",IF(Main[[#This Row],[Class]]="C",WORKDAY(Main[[#This Row],[Tech Start Date]],28),IF(Main[[#This Row],[Class]]="B", WORKDAY(Main[[#This Row],[Tech Start Date]],19),IF(Main[[#This Row],[Class]]="A",WORKDAY(Main[[#This Row],[Tech Start Date]],9),""))))</f>
        <v/>
      </c>
      <c r="Q161" s="67">
        <v>40415</v>
      </c>
      <c r="R161" s="67"/>
      <c r="S161" s="65" t="s">
        <v>11</v>
      </c>
      <c r="T161" s="70" t="s">
        <v>4</v>
      </c>
      <c r="U161" s="65" t="s">
        <v>14</v>
      </c>
      <c r="V161" s="65" t="s">
        <v>1920</v>
      </c>
      <c r="W161" s="65" t="s">
        <v>1923</v>
      </c>
      <c r="X161" s="65" t="s">
        <v>2836</v>
      </c>
      <c r="Y161" s="65" t="s">
        <v>2959</v>
      </c>
      <c r="Z161" s="65" t="s">
        <v>4</v>
      </c>
      <c r="AA161" s="65" t="s">
        <v>2836</v>
      </c>
    </row>
    <row r="162" spans="1:27" ht="17.45" customHeight="1">
      <c r="A162" s="131" t="str">
        <f>IF(priority(Main[[#This Row],[Comments]])&lt;&gt;0, priority(Main[[#This Row],[Comments]]),"")</f>
        <v/>
      </c>
      <c r="B162" s="99" t="s">
        <v>1049</v>
      </c>
      <c r="C162" s="65" t="s">
        <v>4</v>
      </c>
      <c r="D162" s="66" t="s">
        <v>78</v>
      </c>
      <c r="E162" s="67"/>
      <c r="F162" s="67"/>
      <c r="G162" s="64" t="str">
        <f>IF(stdProdLT(Main[[#This Row],[Comments]])=0.1,"N/A",IF(stdProdLT(Main[[#This Row],[Comments]])=0,"",stdProdLT(Main[[#This Row],[Comments]])))</f>
        <v/>
      </c>
      <c r="H162" s="68" t="str">
        <f>IF(AND(Main[[#This Row],[In Stock Date]]&lt;&gt;"",Main[[#This Row],[Revised Due Date]]&lt;&gt;""),Main[[#This Row],[In Stock Date]]-Main[[#This Row],[Revised Due Date]],"")</f>
        <v/>
      </c>
      <c r="I162" s="65" t="s">
        <v>4</v>
      </c>
      <c r="J162" s="65" t="s">
        <v>4</v>
      </c>
      <c r="K162" s="65" t="s">
        <v>4</v>
      </c>
      <c r="L162" s="67"/>
      <c r="M162" s="69" t="str">
        <f>IF(Main[[#This Row],[Tech Start Date]]&lt;1/1/1990,"",IF(Main[[#This Row],[Class]]="C",WORKDAY(Main[[#This Row],[Tech Start Date]],9),IF(Main[[#This Row],[Class]]="B", WORKDAY(Main[[#This Row],[Tech Start Date]],6),IF(Main[[#This Row],[Class]]="A",WORKDAY(Main[[#This Row],[Tech Start Date]],2),""))))</f>
        <v/>
      </c>
      <c r="N162" s="69" t="str">
        <f>IF(Main[[#This Row],[Tech Start Date]]&lt;1/1/1990,"",IF(Main[[#This Row],[Class]]="C",WORKDAY(Main[[#This Row],[Tech Start Date]],19),IF(Main[[#This Row],[Class]]="B", WORKDAY(Main[[#This Row],[Tech Start Date]],12),IF(Main[[#This Row],[Class]]="A",WORKDAY(Main[[#This Row],[Tech Start Date]],4),""))))</f>
        <v/>
      </c>
      <c r="O162" s="69" t="str">
        <f>IF(Main[[#This Row],[Tech Start Date]]&lt;1/1/1990,"",IF(Main[[#This Row],[Class]]="C",WORKDAY(Main[[#This Row],[Tech Start Date]],23),IF(Main[[#This Row],[Class]]="B", WORKDAY(Main[[#This Row],[Tech Start Date]],15),IF(Main[[#This Row],[Class]]="A",WORKDAY(Main[[#This Row],[Tech Start Date]],5),""))))</f>
        <v/>
      </c>
      <c r="P162" s="69" t="str">
        <f>IF(Main[[#This Row],[Tech Start Date]]&lt;1/1/1990,"",IF(Main[[#This Row],[Class]]="C",WORKDAY(Main[[#This Row],[Tech Start Date]],28),IF(Main[[#This Row],[Class]]="B", WORKDAY(Main[[#This Row],[Tech Start Date]],19),IF(Main[[#This Row],[Class]]="A",WORKDAY(Main[[#This Row],[Tech Start Date]],9),""))))</f>
        <v/>
      </c>
      <c r="Q162" s="67"/>
      <c r="R162" s="67"/>
      <c r="S162" s="65" t="s">
        <v>49</v>
      </c>
      <c r="T162" s="70" t="s">
        <v>4</v>
      </c>
      <c r="U162" s="65" t="s">
        <v>14</v>
      </c>
      <c r="V162" s="65" t="s">
        <v>1917</v>
      </c>
      <c r="W162" s="65" t="s">
        <v>1921</v>
      </c>
      <c r="X162" s="65" t="s">
        <v>306</v>
      </c>
      <c r="Y162" s="65" t="s">
        <v>4</v>
      </c>
      <c r="Z162" s="65" t="s">
        <v>4</v>
      </c>
      <c r="AA162" s="65" t="s">
        <v>4</v>
      </c>
    </row>
    <row r="163" spans="1:27" ht="17.45" customHeight="1">
      <c r="A163" s="131" t="str">
        <f>IF(priority(Main[[#This Row],[Comments]])&lt;&gt;0, priority(Main[[#This Row],[Comments]]),"")</f>
        <v/>
      </c>
      <c r="B163" s="99" t="s">
        <v>2090</v>
      </c>
      <c r="C163" s="65" t="s">
        <v>2091</v>
      </c>
      <c r="D163" s="66" t="s">
        <v>2092</v>
      </c>
      <c r="E163" s="67"/>
      <c r="F163" s="67">
        <v>40831</v>
      </c>
      <c r="G163" s="64" t="str">
        <f>IF(stdProdLT(Main[[#This Row],[Comments]])=0.1,"N/A",IF(stdProdLT(Main[[#This Row],[Comments]])=0,"",stdProdLT(Main[[#This Row],[Comments]])))</f>
        <v/>
      </c>
      <c r="H163" s="68" t="str">
        <f>IF(AND(Main[[#This Row],[In Stock Date]]&lt;&gt;"",Main[[#This Row],[Revised Due Date]]&lt;&gt;""),Main[[#This Row],[In Stock Date]]-Main[[#This Row],[Revised Due Date]],"")</f>
        <v/>
      </c>
      <c r="I163" s="65" t="s">
        <v>4</v>
      </c>
      <c r="J163" s="65" t="s">
        <v>4</v>
      </c>
      <c r="K163" s="65" t="s">
        <v>4</v>
      </c>
      <c r="L163" s="67"/>
      <c r="M163" s="69" t="str">
        <f>IF(Main[[#This Row],[Tech Start Date]]&lt;1/1/1990,"",IF(Main[[#This Row],[Class]]="C",WORKDAY(Main[[#This Row],[Tech Start Date]],9),IF(Main[[#This Row],[Class]]="B", WORKDAY(Main[[#This Row],[Tech Start Date]],6),IF(Main[[#This Row],[Class]]="A",WORKDAY(Main[[#This Row],[Tech Start Date]],2),""))))</f>
        <v/>
      </c>
      <c r="N163" s="69" t="str">
        <f>IF(Main[[#This Row],[Tech Start Date]]&lt;1/1/1990,"",IF(Main[[#This Row],[Class]]="C",WORKDAY(Main[[#This Row],[Tech Start Date]],19),IF(Main[[#This Row],[Class]]="B", WORKDAY(Main[[#This Row],[Tech Start Date]],12),IF(Main[[#This Row],[Class]]="A",WORKDAY(Main[[#This Row],[Tech Start Date]],4),""))))</f>
        <v/>
      </c>
      <c r="O163" s="69" t="str">
        <f>IF(Main[[#This Row],[Tech Start Date]]&lt;1/1/1990,"",IF(Main[[#This Row],[Class]]="C",WORKDAY(Main[[#This Row],[Tech Start Date]],23),IF(Main[[#This Row],[Class]]="B", WORKDAY(Main[[#This Row],[Tech Start Date]],15),IF(Main[[#This Row],[Class]]="A",WORKDAY(Main[[#This Row],[Tech Start Date]],5),""))))</f>
        <v/>
      </c>
      <c r="P163" s="69" t="str">
        <f>IF(Main[[#This Row],[Tech Start Date]]&lt;1/1/1990,"",IF(Main[[#This Row],[Class]]="C",WORKDAY(Main[[#This Row],[Tech Start Date]],28),IF(Main[[#This Row],[Class]]="B", WORKDAY(Main[[#This Row],[Tech Start Date]],19),IF(Main[[#This Row],[Class]]="A",WORKDAY(Main[[#This Row],[Tech Start Date]],9),""))))</f>
        <v/>
      </c>
      <c r="Q163" s="67">
        <v>40786</v>
      </c>
      <c r="R163" s="67"/>
      <c r="S163" s="65" t="s">
        <v>11</v>
      </c>
      <c r="T163" s="70" t="s">
        <v>4</v>
      </c>
      <c r="U163" s="65" t="s">
        <v>12</v>
      </c>
      <c r="V163" s="65" t="s">
        <v>1920</v>
      </c>
      <c r="W163" s="65" t="s">
        <v>1925</v>
      </c>
      <c r="X163" s="65" t="s">
        <v>2837</v>
      </c>
      <c r="Y163" s="65" t="s">
        <v>2960</v>
      </c>
      <c r="Z163" s="65" t="s">
        <v>4</v>
      </c>
      <c r="AA163" s="65" t="s">
        <v>2837</v>
      </c>
    </row>
    <row r="164" spans="1:27" ht="17.45" customHeight="1">
      <c r="A164" s="131" t="str">
        <f>IF(priority(Main[[#This Row],[Comments]])&lt;&gt;0, priority(Main[[#This Row],[Comments]]),"")</f>
        <v/>
      </c>
      <c r="B164" s="99" t="s">
        <v>2216</v>
      </c>
      <c r="C164" s="65" t="s">
        <v>2217</v>
      </c>
      <c r="D164" s="66" t="s">
        <v>2218</v>
      </c>
      <c r="E164" s="67">
        <v>40798.585381944446</v>
      </c>
      <c r="F164" s="67">
        <v>40848</v>
      </c>
      <c r="G164" s="64" t="str">
        <f>IF(stdProdLT(Main[[#This Row],[Comments]])=0.1,"N/A",IF(stdProdLT(Main[[#This Row],[Comments]])=0,"",stdProdLT(Main[[#This Row],[Comments]])))</f>
        <v/>
      </c>
      <c r="H164" s="68" t="str">
        <f>IF(AND(Main[[#This Row],[In Stock Date]]&lt;&gt;"",Main[[#This Row],[Revised Due Date]]&lt;&gt;""),Main[[#This Row],[In Stock Date]]-Main[[#This Row],[Revised Due Date]],"")</f>
        <v/>
      </c>
      <c r="I164" s="65" t="s">
        <v>4</v>
      </c>
      <c r="J164" s="65" t="s">
        <v>4</v>
      </c>
      <c r="K164" s="65" t="s">
        <v>4</v>
      </c>
      <c r="L164" s="67"/>
      <c r="M164" s="69" t="str">
        <f>IF(Main[[#This Row],[Tech Start Date]]&lt;1/1/1990,"",IF(Main[[#This Row],[Class]]="C",WORKDAY(Main[[#This Row],[Tech Start Date]],9),IF(Main[[#This Row],[Class]]="B", WORKDAY(Main[[#This Row],[Tech Start Date]],6),IF(Main[[#This Row],[Class]]="A",WORKDAY(Main[[#This Row],[Tech Start Date]],2),""))))</f>
        <v/>
      </c>
      <c r="N164" s="69" t="str">
        <f>IF(Main[[#This Row],[Tech Start Date]]&lt;1/1/1990,"",IF(Main[[#This Row],[Class]]="C",WORKDAY(Main[[#This Row],[Tech Start Date]],19),IF(Main[[#This Row],[Class]]="B", WORKDAY(Main[[#This Row],[Tech Start Date]],12),IF(Main[[#This Row],[Class]]="A",WORKDAY(Main[[#This Row],[Tech Start Date]],4),""))))</f>
        <v/>
      </c>
      <c r="O164" s="69" t="str">
        <f>IF(Main[[#This Row],[Tech Start Date]]&lt;1/1/1990,"",IF(Main[[#This Row],[Class]]="C",WORKDAY(Main[[#This Row],[Tech Start Date]],23),IF(Main[[#This Row],[Class]]="B", WORKDAY(Main[[#This Row],[Tech Start Date]],15),IF(Main[[#This Row],[Class]]="A",WORKDAY(Main[[#This Row],[Tech Start Date]],5),""))))</f>
        <v/>
      </c>
      <c r="P164" s="69" t="str">
        <f>IF(Main[[#This Row],[Tech Start Date]]&lt;1/1/1990,"",IF(Main[[#This Row],[Class]]="C",WORKDAY(Main[[#This Row],[Tech Start Date]],28),IF(Main[[#This Row],[Class]]="B", WORKDAY(Main[[#This Row],[Tech Start Date]],19),IF(Main[[#This Row],[Class]]="A",WORKDAY(Main[[#This Row],[Tech Start Date]],9),""))))</f>
        <v/>
      </c>
      <c r="Q164" s="67"/>
      <c r="R164" s="67"/>
      <c r="S164" s="65" t="s">
        <v>49</v>
      </c>
      <c r="T164" s="70" t="s">
        <v>4</v>
      </c>
      <c r="U164" s="65" t="s">
        <v>7</v>
      </c>
      <c r="V164" s="65" t="s">
        <v>1917</v>
      </c>
      <c r="W164" s="65" t="s">
        <v>1922</v>
      </c>
      <c r="X164" s="65" t="s">
        <v>2838</v>
      </c>
      <c r="Y164" s="65" t="s">
        <v>2961</v>
      </c>
      <c r="Z164" s="65" t="s">
        <v>4</v>
      </c>
      <c r="AA164" s="65" t="s">
        <v>2838</v>
      </c>
    </row>
    <row r="165" spans="1:27" ht="17.45" customHeight="1">
      <c r="A165" s="131" t="str">
        <f>IF(priority(Main[[#This Row],[Comments]])&lt;&gt;0, priority(Main[[#This Row],[Comments]]),"")</f>
        <v/>
      </c>
      <c r="B165" s="99" t="s">
        <v>1050</v>
      </c>
      <c r="C165" s="65" t="s">
        <v>79</v>
      </c>
      <c r="D165" s="66" t="s">
        <v>80</v>
      </c>
      <c r="E165" s="67"/>
      <c r="F165" s="67"/>
      <c r="G165" s="64" t="str">
        <f>IF(stdProdLT(Main[[#This Row],[Comments]])=0.1,"N/A",IF(stdProdLT(Main[[#This Row],[Comments]])=0,"",stdProdLT(Main[[#This Row],[Comments]])))</f>
        <v/>
      </c>
      <c r="H165" s="68" t="str">
        <f>IF(AND(Main[[#This Row],[In Stock Date]]&lt;&gt;"",Main[[#This Row],[Revised Due Date]]&lt;&gt;""),Main[[#This Row],[In Stock Date]]-Main[[#This Row],[Revised Due Date]],"")</f>
        <v/>
      </c>
      <c r="I165" s="65" t="s">
        <v>81</v>
      </c>
      <c r="J165" s="65" t="s">
        <v>4</v>
      </c>
      <c r="K165" s="65" t="s">
        <v>4</v>
      </c>
      <c r="L165" s="67"/>
      <c r="M165" s="69" t="str">
        <f>IF(Main[[#This Row],[Tech Start Date]]&lt;1/1/1990,"",IF(Main[[#This Row],[Class]]="C",WORKDAY(Main[[#This Row],[Tech Start Date]],9),IF(Main[[#This Row],[Class]]="B", WORKDAY(Main[[#This Row],[Tech Start Date]],6),IF(Main[[#This Row],[Class]]="A",WORKDAY(Main[[#This Row],[Tech Start Date]],2),""))))</f>
        <v/>
      </c>
      <c r="N165" s="69" t="str">
        <f>IF(Main[[#This Row],[Tech Start Date]]&lt;1/1/1990,"",IF(Main[[#This Row],[Class]]="C",WORKDAY(Main[[#This Row],[Tech Start Date]],19),IF(Main[[#This Row],[Class]]="B", WORKDAY(Main[[#This Row],[Tech Start Date]],12),IF(Main[[#This Row],[Class]]="A",WORKDAY(Main[[#This Row],[Tech Start Date]],4),""))))</f>
        <v/>
      </c>
      <c r="O165" s="69" t="str">
        <f>IF(Main[[#This Row],[Tech Start Date]]&lt;1/1/1990,"",IF(Main[[#This Row],[Class]]="C",WORKDAY(Main[[#This Row],[Tech Start Date]],23),IF(Main[[#This Row],[Class]]="B", WORKDAY(Main[[#This Row],[Tech Start Date]],15),IF(Main[[#This Row],[Class]]="A",WORKDAY(Main[[#This Row],[Tech Start Date]],5),""))))</f>
        <v/>
      </c>
      <c r="P165" s="69" t="str">
        <f>IF(Main[[#This Row],[Tech Start Date]]&lt;1/1/1990,"",IF(Main[[#This Row],[Class]]="C",WORKDAY(Main[[#This Row],[Tech Start Date]],28),IF(Main[[#This Row],[Class]]="B", WORKDAY(Main[[#This Row],[Tech Start Date]],19),IF(Main[[#This Row],[Class]]="A",WORKDAY(Main[[#This Row],[Tech Start Date]],9),""))))</f>
        <v/>
      </c>
      <c r="Q165" s="67">
        <v>39986</v>
      </c>
      <c r="R165" s="67"/>
      <c r="S165" s="65" t="s">
        <v>11</v>
      </c>
      <c r="T165" s="70" t="s">
        <v>4</v>
      </c>
      <c r="U165" s="65" t="s">
        <v>14</v>
      </c>
      <c r="V165" s="65" t="s">
        <v>1920</v>
      </c>
      <c r="W165" s="65" t="s">
        <v>1928</v>
      </c>
      <c r="X165" s="65" t="s">
        <v>2826</v>
      </c>
      <c r="Y165" s="65" t="s">
        <v>2962</v>
      </c>
      <c r="Z165" s="65" t="s">
        <v>4</v>
      </c>
      <c r="AA165" s="65" t="s">
        <v>2867</v>
      </c>
    </row>
    <row r="166" spans="1:27" ht="17.45" customHeight="1">
      <c r="A166" s="131" t="str">
        <f>IF(priority(Main[[#This Row],[Comments]])&lt;&gt;0, priority(Main[[#This Row],[Comments]]),"")</f>
        <v/>
      </c>
      <c r="B166" s="99" t="s">
        <v>1051</v>
      </c>
      <c r="C166" s="65" t="s">
        <v>4</v>
      </c>
      <c r="D166" s="66" t="s">
        <v>82</v>
      </c>
      <c r="E166" s="67"/>
      <c r="F166" s="67"/>
      <c r="G166" s="64" t="str">
        <f>IF(stdProdLT(Main[[#This Row],[Comments]])=0.1,"N/A",IF(stdProdLT(Main[[#This Row],[Comments]])=0,"",stdProdLT(Main[[#This Row],[Comments]])))</f>
        <v/>
      </c>
      <c r="H166" s="68" t="str">
        <f>IF(AND(Main[[#This Row],[In Stock Date]]&lt;&gt;"",Main[[#This Row],[Revised Due Date]]&lt;&gt;""),Main[[#This Row],[In Stock Date]]-Main[[#This Row],[Revised Due Date]],"")</f>
        <v/>
      </c>
      <c r="I166" s="65" t="s">
        <v>4</v>
      </c>
      <c r="J166" s="65" t="s">
        <v>4</v>
      </c>
      <c r="K166" s="65" t="s">
        <v>4</v>
      </c>
      <c r="L166" s="67"/>
      <c r="M166" s="69" t="str">
        <f>IF(Main[[#This Row],[Tech Start Date]]&lt;1/1/1990,"",IF(Main[[#This Row],[Class]]="C",WORKDAY(Main[[#This Row],[Tech Start Date]],9),IF(Main[[#This Row],[Class]]="B", WORKDAY(Main[[#This Row],[Tech Start Date]],6),IF(Main[[#This Row],[Class]]="A",WORKDAY(Main[[#This Row],[Tech Start Date]],2),""))))</f>
        <v/>
      </c>
      <c r="N166" s="69" t="str">
        <f>IF(Main[[#This Row],[Tech Start Date]]&lt;1/1/1990,"",IF(Main[[#This Row],[Class]]="C",WORKDAY(Main[[#This Row],[Tech Start Date]],19),IF(Main[[#This Row],[Class]]="B", WORKDAY(Main[[#This Row],[Tech Start Date]],12),IF(Main[[#This Row],[Class]]="A",WORKDAY(Main[[#This Row],[Tech Start Date]],4),""))))</f>
        <v/>
      </c>
      <c r="O166" s="69" t="str">
        <f>IF(Main[[#This Row],[Tech Start Date]]&lt;1/1/1990,"",IF(Main[[#This Row],[Class]]="C",WORKDAY(Main[[#This Row],[Tech Start Date]],23),IF(Main[[#This Row],[Class]]="B", WORKDAY(Main[[#This Row],[Tech Start Date]],15),IF(Main[[#This Row],[Class]]="A",WORKDAY(Main[[#This Row],[Tech Start Date]],5),""))))</f>
        <v/>
      </c>
      <c r="P166" s="69" t="str">
        <f>IF(Main[[#This Row],[Tech Start Date]]&lt;1/1/1990,"",IF(Main[[#This Row],[Class]]="C",WORKDAY(Main[[#This Row],[Tech Start Date]],28),IF(Main[[#This Row],[Class]]="B", WORKDAY(Main[[#This Row],[Tech Start Date]],19),IF(Main[[#This Row],[Class]]="A",WORKDAY(Main[[#This Row],[Tech Start Date]],9),""))))</f>
        <v/>
      </c>
      <c r="Q166" s="67">
        <v>40602</v>
      </c>
      <c r="R166" s="67"/>
      <c r="S166" s="65" t="s">
        <v>6</v>
      </c>
      <c r="T166" s="70" t="s">
        <v>4</v>
      </c>
      <c r="U166" s="65" t="s">
        <v>14</v>
      </c>
      <c r="V166" s="65" t="s">
        <v>1927</v>
      </c>
      <c r="W166" s="65" t="s">
        <v>1921</v>
      </c>
      <c r="X166" s="65" t="s">
        <v>30</v>
      </c>
      <c r="Y166" s="65" t="s">
        <v>2963</v>
      </c>
      <c r="Z166" s="65" t="s">
        <v>4</v>
      </c>
      <c r="AA166" s="65" t="s">
        <v>30</v>
      </c>
    </row>
    <row r="167" spans="1:27" ht="17.45" customHeight="1">
      <c r="A167" s="131" t="str">
        <f>IF(priority(Main[[#This Row],[Comments]])&lt;&gt;0, priority(Main[[#This Row],[Comments]]),"")</f>
        <v/>
      </c>
      <c r="B167" s="99" t="s">
        <v>2688</v>
      </c>
      <c r="C167" s="65" t="s">
        <v>2689</v>
      </c>
      <c r="D167" s="66" t="s">
        <v>2690</v>
      </c>
      <c r="E167" s="67"/>
      <c r="F167" s="67"/>
      <c r="G167" s="64" t="str">
        <f>IF(stdProdLT(Main[[#This Row],[Comments]])=0.1,"N/A",IF(stdProdLT(Main[[#This Row],[Comments]])=0,"",stdProdLT(Main[[#This Row],[Comments]])))</f>
        <v/>
      </c>
      <c r="H167" s="68" t="str">
        <f>IF(AND(Main[[#This Row],[In Stock Date]]&lt;&gt;"",Main[[#This Row],[Revised Due Date]]&lt;&gt;""),Main[[#This Row],[In Stock Date]]-Main[[#This Row],[Revised Due Date]],"")</f>
        <v/>
      </c>
      <c r="I167" s="65" t="s">
        <v>4</v>
      </c>
      <c r="J167" s="65" t="s">
        <v>4</v>
      </c>
      <c r="K167" s="71" t="s">
        <v>4</v>
      </c>
      <c r="L167" s="67"/>
      <c r="M167" s="69" t="str">
        <f>IF(Main[[#This Row],[Tech Start Date]]&lt;1/1/1990,"",IF(Main[[#This Row],[Class]]="C",WORKDAY(Main[[#This Row],[Tech Start Date]],9),IF(Main[[#This Row],[Class]]="B", WORKDAY(Main[[#This Row],[Tech Start Date]],6),IF(Main[[#This Row],[Class]]="A",WORKDAY(Main[[#This Row],[Tech Start Date]],2),""))))</f>
        <v/>
      </c>
      <c r="N167" s="69" t="str">
        <f>IF(Main[[#This Row],[Tech Start Date]]&lt;1/1/1990,"",IF(Main[[#This Row],[Class]]="C",WORKDAY(Main[[#This Row],[Tech Start Date]],19),IF(Main[[#This Row],[Class]]="B", WORKDAY(Main[[#This Row],[Tech Start Date]],12),IF(Main[[#This Row],[Class]]="A",WORKDAY(Main[[#This Row],[Tech Start Date]],4),""))))</f>
        <v/>
      </c>
      <c r="O167" s="69" t="str">
        <f>IF(Main[[#This Row],[Tech Start Date]]&lt;1/1/1990,"",IF(Main[[#This Row],[Class]]="C",WORKDAY(Main[[#This Row],[Tech Start Date]],23),IF(Main[[#This Row],[Class]]="B", WORKDAY(Main[[#This Row],[Tech Start Date]],15),IF(Main[[#This Row],[Class]]="A",WORKDAY(Main[[#This Row],[Tech Start Date]],5),""))))</f>
        <v/>
      </c>
      <c r="P167" s="69" t="str">
        <f>IF(Main[[#This Row],[Tech Start Date]]&lt;1/1/1990,"",IF(Main[[#This Row],[Class]]="C",WORKDAY(Main[[#This Row],[Tech Start Date]],28),IF(Main[[#This Row],[Class]]="B", WORKDAY(Main[[#This Row],[Tech Start Date]],19),IF(Main[[#This Row],[Class]]="A",WORKDAY(Main[[#This Row],[Tech Start Date]],9),""))))</f>
        <v/>
      </c>
      <c r="Q167" s="67"/>
      <c r="R167" s="67"/>
      <c r="S167" s="65" t="s">
        <v>6</v>
      </c>
      <c r="T167" s="70" t="s">
        <v>4</v>
      </c>
      <c r="U167" s="65" t="s">
        <v>14</v>
      </c>
      <c r="V167" s="65" t="s">
        <v>1920</v>
      </c>
      <c r="W167" s="65" t="s">
        <v>1925</v>
      </c>
      <c r="X167" s="65" t="s">
        <v>885</v>
      </c>
      <c r="Y167" s="65" t="s">
        <v>2964</v>
      </c>
      <c r="Z167" s="65" t="s">
        <v>4</v>
      </c>
      <c r="AA167" s="65" t="s">
        <v>3389</v>
      </c>
    </row>
    <row r="168" spans="1:27" ht="17.45" customHeight="1">
      <c r="A168" s="131" t="str">
        <f>IF(priority(Main[[#This Row],[Comments]])&lt;&gt;0, priority(Main[[#This Row],[Comments]]),"")</f>
        <v/>
      </c>
      <c r="B168" s="99" t="s">
        <v>1052</v>
      </c>
      <c r="C168" s="65" t="s">
        <v>86</v>
      </c>
      <c r="D168" s="66" t="s">
        <v>87</v>
      </c>
      <c r="E168" s="67"/>
      <c r="F168" s="67">
        <v>40555</v>
      </c>
      <c r="G168" s="64" t="str">
        <f>IF(stdProdLT(Main[[#This Row],[Comments]])=0.1,"N/A",IF(stdProdLT(Main[[#This Row],[Comments]])=0,"",stdProdLT(Main[[#This Row],[Comments]])))</f>
        <v/>
      </c>
      <c r="H168" s="68" t="str">
        <f>IF(AND(Main[[#This Row],[In Stock Date]]&lt;&gt;"",Main[[#This Row],[Revised Due Date]]&lt;&gt;""),Main[[#This Row],[In Stock Date]]-Main[[#This Row],[Revised Due Date]],"")</f>
        <v/>
      </c>
      <c r="I168" s="65" t="s">
        <v>4</v>
      </c>
      <c r="J168" s="65" t="s">
        <v>75</v>
      </c>
      <c r="K168" s="65" t="s">
        <v>4</v>
      </c>
      <c r="L168" s="67"/>
      <c r="M168" s="69" t="str">
        <f>IF(Main[[#This Row],[Tech Start Date]]&lt;1/1/1990,"",IF(Main[[#This Row],[Class]]="C",WORKDAY(Main[[#This Row],[Tech Start Date]],9),IF(Main[[#This Row],[Class]]="B", WORKDAY(Main[[#This Row],[Tech Start Date]],6),IF(Main[[#This Row],[Class]]="A",WORKDAY(Main[[#This Row],[Tech Start Date]],2),""))))</f>
        <v/>
      </c>
      <c r="N168" s="69" t="str">
        <f>IF(Main[[#This Row],[Tech Start Date]]&lt;1/1/1990,"",IF(Main[[#This Row],[Class]]="C",WORKDAY(Main[[#This Row],[Tech Start Date]],19),IF(Main[[#This Row],[Class]]="B", WORKDAY(Main[[#This Row],[Tech Start Date]],12),IF(Main[[#This Row],[Class]]="A",WORKDAY(Main[[#This Row],[Tech Start Date]],4),""))))</f>
        <v/>
      </c>
      <c r="O168" s="69" t="str">
        <f>IF(Main[[#This Row],[Tech Start Date]]&lt;1/1/1990,"",IF(Main[[#This Row],[Class]]="C",WORKDAY(Main[[#This Row],[Tech Start Date]],23),IF(Main[[#This Row],[Class]]="B", WORKDAY(Main[[#This Row],[Tech Start Date]],15),IF(Main[[#This Row],[Class]]="A",WORKDAY(Main[[#This Row],[Tech Start Date]],5),""))))</f>
        <v/>
      </c>
      <c r="P168" s="69" t="str">
        <f>IF(Main[[#This Row],[Tech Start Date]]&lt;1/1/1990,"",IF(Main[[#This Row],[Class]]="C",WORKDAY(Main[[#This Row],[Tech Start Date]],28),IF(Main[[#This Row],[Class]]="B", WORKDAY(Main[[#This Row],[Tech Start Date]],19),IF(Main[[#This Row],[Class]]="A",WORKDAY(Main[[#This Row],[Tech Start Date]],9),""))))</f>
        <v/>
      </c>
      <c r="Q168" s="67">
        <v>40446</v>
      </c>
      <c r="R168" s="67"/>
      <c r="S168" s="65" t="s">
        <v>49</v>
      </c>
      <c r="T168" s="70" t="s">
        <v>4</v>
      </c>
      <c r="U168" s="65" t="s">
        <v>14</v>
      </c>
      <c r="V168" s="65" t="s">
        <v>1920</v>
      </c>
      <c r="W168" s="65" t="s">
        <v>1919</v>
      </c>
      <c r="X168" s="65" t="s">
        <v>306</v>
      </c>
      <c r="Y168" s="65" t="s">
        <v>2982</v>
      </c>
      <c r="Z168" s="65" t="s">
        <v>306</v>
      </c>
      <c r="AA168" s="65" t="s">
        <v>306</v>
      </c>
    </row>
    <row r="169" spans="1:27" ht="17.45" customHeight="1">
      <c r="A169" s="131" t="str">
        <f>IF(priority(Main[[#This Row],[Comments]])&lt;&gt;0, priority(Main[[#This Row],[Comments]]),"")</f>
        <v/>
      </c>
      <c r="B169" s="99" t="s">
        <v>2547</v>
      </c>
      <c r="C169" s="65" t="s">
        <v>2359</v>
      </c>
      <c r="D169" s="66" t="s">
        <v>2548</v>
      </c>
      <c r="E169" s="67"/>
      <c r="F169" s="67">
        <v>41008</v>
      </c>
      <c r="G169" s="64" t="str">
        <f>IF(stdProdLT(Main[[#This Row],[Comments]])=0.1,"N/A",IF(stdProdLT(Main[[#This Row],[Comments]])=0,"",stdProdLT(Main[[#This Row],[Comments]])))</f>
        <v/>
      </c>
      <c r="H169" s="68" t="str">
        <f>IF(AND(Main[[#This Row],[In Stock Date]]&lt;&gt;"",Main[[#This Row],[Revised Due Date]]&lt;&gt;""),Main[[#This Row],[In Stock Date]]-Main[[#This Row],[Revised Due Date]],"")</f>
        <v/>
      </c>
      <c r="I169" s="65" t="s">
        <v>4</v>
      </c>
      <c r="J169" s="65" t="s">
        <v>4</v>
      </c>
      <c r="K169" s="65" t="s">
        <v>4</v>
      </c>
      <c r="L169" s="67"/>
      <c r="M169" s="69" t="str">
        <f>IF(Main[[#This Row],[Tech Start Date]]&lt;1/1/1990,"",IF(Main[[#This Row],[Class]]="C",WORKDAY(Main[[#This Row],[Tech Start Date]],9),IF(Main[[#This Row],[Class]]="B", WORKDAY(Main[[#This Row],[Tech Start Date]],6),IF(Main[[#This Row],[Class]]="A",WORKDAY(Main[[#This Row],[Tech Start Date]],2),""))))</f>
        <v/>
      </c>
      <c r="N169" s="69" t="str">
        <f>IF(Main[[#This Row],[Tech Start Date]]&lt;1/1/1990,"",IF(Main[[#This Row],[Class]]="C",WORKDAY(Main[[#This Row],[Tech Start Date]],19),IF(Main[[#This Row],[Class]]="B", WORKDAY(Main[[#This Row],[Tech Start Date]],12),IF(Main[[#This Row],[Class]]="A",WORKDAY(Main[[#This Row],[Tech Start Date]],4),""))))</f>
        <v/>
      </c>
      <c r="O169" s="69" t="str">
        <f>IF(Main[[#This Row],[Tech Start Date]]&lt;1/1/1990,"",IF(Main[[#This Row],[Class]]="C",WORKDAY(Main[[#This Row],[Tech Start Date]],23),IF(Main[[#This Row],[Class]]="B", WORKDAY(Main[[#This Row],[Tech Start Date]],15),IF(Main[[#This Row],[Class]]="A",WORKDAY(Main[[#This Row],[Tech Start Date]],5),""))))</f>
        <v/>
      </c>
      <c r="P169" s="69" t="str">
        <f>IF(Main[[#This Row],[Tech Start Date]]&lt;1/1/1990,"",IF(Main[[#This Row],[Class]]="C",WORKDAY(Main[[#This Row],[Tech Start Date]],28),IF(Main[[#This Row],[Class]]="B", WORKDAY(Main[[#This Row],[Tech Start Date]],19),IF(Main[[#This Row],[Class]]="A",WORKDAY(Main[[#This Row],[Tech Start Date]],9),""))))</f>
        <v/>
      </c>
      <c r="Q169" s="67">
        <v>40826</v>
      </c>
      <c r="R169" s="67"/>
      <c r="S169" s="65" t="s">
        <v>11</v>
      </c>
      <c r="T169" s="70" t="s">
        <v>4</v>
      </c>
      <c r="U169" s="65" t="s">
        <v>12</v>
      </c>
      <c r="V169" s="65" t="s">
        <v>1920</v>
      </c>
      <c r="W169" s="65" t="s">
        <v>1923</v>
      </c>
      <c r="X169" s="65" t="s">
        <v>2849</v>
      </c>
      <c r="Y169" s="65" t="s">
        <v>4</v>
      </c>
      <c r="Z169" s="65" t="s">
        <v>4</v>
      </c>
      <c r="AA169" s="65" t="s">
        <v>2849</v>
      </c>
    </row>
    <row r="170" spans="1:27" ht="17.45" customHeight="1">
      <c r="A170" s="131" t="str">
        <f>IF(priority(Main[[#This Row],[Comments]])&lt;&gt;0, priority(Main[[#This Row],[Comments]]),"")</f>
        <v/>
      </c>
      <c r="B170" s="99" t="s">
        <v>1053</v>
      </c>
      <c r="C170" s="65" t="s">
        <v>88</v>
      </c>
      <c r="D170" s="66" t="s">
        <v>89</v>
      </c>
      <c r="E170" s="67"/>
      <c r="F170" s="67">
        <v>40709</v>
      </c>
      <c r="G170" s="64" t="str">
        <f>IF(stdProdLT(Main[[#This Row],[Comments]])=0.1,"N/A",IF(stdProdLT(Main[[#This Row],[Comments]])=0,"",stdProdLT(Main[[#This Row],[Comments]])))</f>
        <v/>
      </c>
      <c r="H170" s="68" t="str">
        <f>IF(AND(Main[[#This Row],[In Stock Date]]&lt;&gt;"",Main[[#This Row],[Revised Due Date]]&lt;&gt;""),Main[[#This Row],[In Stock Date]]-Main[[#This Row],[Revised Due Date]],"")</f>
        <v/>
      </c>
      <c r="I170" s="65" t="s">
        <v>4</v>
      </c>
      <c r="J170" s="65" t="s">
        <v>28</v>
      </c>
      <c r="K170" s="65" t="s">
        <v>1930</v>
      </c>
      <c r="L170" s="67"/>
      <c r="M170" s="69" t="str">
        <f>IF(Main[[#This Row],[Tech Start Date]]&lt;1/1/1990,"",IF(Main[[#This Row],[Class]]="C",WORKDAY(Main[[#This Row],[Tech Start Date]],9),IF(Main[[#This Row],[Class]]="B", WORKDAY(Main[[#This Row],[Tech Start Date]],6),IF(Main[[#This Row],[Class]]="A",WORKDAY(Main[[#This Row],[Tech Start Date]],2),""))))</f>
        <v/>
      </c>
      <c r="N170" s="69" t="str">
        <f>IF(Main[[#This Row],[Tech Start Date]]&lt;1/1/1990,"",IF(Main[[#This Row],[Class]]="C",WORKDAY(Main[[#This Row],[Tech Start Date]],19),IF(Main[[#This Row],[Class]]="B", WORKDAY(Main[[#This Row],[Tech Start Date]],12),IF(Main[[#This Row],[Class]]="A",WORKDAY(Main[[#This Row],[Tech Start Date]],4),""))))</f>
        <v/>
      </c>
      <c r="O170" s="69" t="str">
        <f>IF(Main[[#This Row],[Tech Start Date]]&lt;1/1/1990,"",IF(Main[[#This Row],[Class]]="C",WORKDAY(Main[[#This Row],[Tech Start Date]],23),IF(Main[[#This Row],[Class]]="B", WORKDAY(Main[[#This Row],[Tech Start Date]],15),IF(Main[[#This Row],[Class]]="A",WORKDAY(Main[[#This Row],[Tech Start Date]],5),""))))</f>
        <v/>
      </c>
      <c r="P170" s="69" t="str">
        <f>IF(Main[[#This Row],[Tech Start Date]]&lt;1/1/1990,"",IF(Main[[#This Row],[Class]]="C",WORKDAY(Main[[#This Row],[Tech Start Date]],28),IF(Main[[#This Row],[Class]]="B", WORKDAY(Main[[#This Row],[Tech Start Date]],19),IF(Main[[#This Row],[Class]]="A",WORKDAY(Main[[#This Row],[Tech Start Date]],9),""))))</f>
        <v/>
      </c>
      <c r="Q170" s="67">
        <v>40612</v>
      </c>
      <c r="R170" s="67"/>
      <c r="S170" s="65" t="s">
        <v>11</v>
      </c>
      <c r="T170" s="70" t="s">
        <v>4</v>
      </c>
      <c r="U170" s="65" t="s">
        <v>14</v>
      </c>
      <c r="V170" s="65" t="s">
        <v>1917</v>
      </c>
      <c r="W170" s="65" t="s">
        <v>1922</v>
      </c>
      <c r="X170" s="65" t="s">
        <v>2850</v>
      </c>
      <c r="Y170" s="65" t="s">
        <v>2983</v>
      </c>
      <c r="Z170" s="65" t="s">
        <v>129</v>
      </c>
      <c r="AA170" s="65" t="s">
        <v>2850</v>
      </c>
    </row>
    <row r="171" spans="1:27" ht="17.45" customHeight="1">
      <c r="A171" s="131" t="str">
        <f>IF(priority(Main[[#This Row],[Comments]])&lt;&gt;0, priority(Main[[#This Row],[Comments]]),"")</f>
        <v/>
      </c>
      <c r="B171" s="99" t="s">
        <v>1054</v>
      </c>
      <c r="C171" s="65" t="s">
        <v>4</v>
      </c>
      <c r="D171" s="66" t="s">
        <v>90</v>
      </c>
      <c r="E171" s="67"/>
      <c r="F171" s="67"/>
      <c r="G171" s="64" t="str">
        <f>IF(stdProdLT(Main[[#This Row],[Comments]])=0.1,"N/A",IF(stdProdLT(Main[[#This Row],[Comments]])=0,"",stdProdLT(Main[[#This Row],[Comments]])))</f>
        <v/>
      </c>
      <c r="H171" s="68" t="str">
        <f>IF(AND(Main[[#This Row],[In Stock Date]]&lt;&gt;"",Main[[#This Row],[Revised Due Date]]&lt;&gt;""),Main[[#This Row],[In Stock Date]]-Main[[#This Row],[Revised Due Date]],"")</f>
        <v/>
      </c>
      <c r="I171" s="65" t="s">
        <v>4</v>
      </c>
      <c r="J171" s="65" t="s">
        <v>4</v>
      </c>
      <c r="K171" s="65" t="s">
        <v>4</v>
      </c>
      <c r="L171" s="67"/>
      <c r="M171" s="69" t="str">
        <f>IF(Main[[#This Row],[Tech Start Date]]&lt;1/1/1990,"",IF(Main[[#This Row],[Class]]="C",WORKDAY(Main[[#This Row],[Tech Start Date]],9),IF(Main[[#This Row],[Class]]="B", WORKDAY(Main[[#This Row],[Tech Start Date]],6),IF(Main[[#This Row],[Class]]="A",WORKDAY(Main[[#This Row],[Tech Start Date]],2),""))))</f>
        <v/>
      </c>
      <c r="N171" s="69" t="str">
        <f>IF(Main[[#This Row],[Tech Start Date]]&lt;1/1/1990,"",IF(Main[[#This Row],[Class]]="C",WORKDAY(Main[[#This Row],[Tech Start Date]],19),IF(Main[[#This Row],[Class]]="B", WORKDAY(Main[[#This Row],[Tech Start Date]],12),IF(Main[[#This Row],[Class]]="A",WORKDAY(Main[[#This Row],[Tech Start Date]],4),""))))</f>
        <v/>
      </c>
      <c r="O171" s="69" t="str">
        <f>IF(Main[[#This Row],[Tech Start Date]]&lt;1/1/1990,"",IF(Main[[#This Row],[Class]]="C",WORKDAY(Main[[#This Row],[Tech Start Date]],23),IF(Main[[#This Row],[Class]]="B", WORKDAY(Main[[#This Row],[Tech Start Date]],15),IF(Main[[#This Row],[Class]]="A",WORKDAY(Main[[#This Row],[Tech Start Date]],5),""))))</f>
        <v/>
      </c>
      <c r="P171" s="69" t="str">
        <f>IF(Main[[#This Row],[Tech Start Date]]&lt;1/1/1990,"",IF(Main[[#This Row],[Class]]="C",WORKDAY(Main[[#This Row],[Tech Start Date]],28),IF(Main[[#This Row],[Class]]="B", WORKDAY(Main[[#This Row],[Tech Start Date]],19),IF(Main[[#This Row],[Class]]="A",WORKDAY(Main[[#This Row],[Tech Start Date]],9),""))))</f>
        <v/>
      </c>
      <c r="Q171" s="67"/>
      <c r="R171" s="67"/>
      <c r="S171" s="65" t="s">
        <v>23</v>
      </c>
      <c r="T171" s="70" t="s">
        <v>4</v>
      </c>
      <c r="U171" s="65" t="s">
        <v>14</v>
      </c>
      <c r="V171" s="65" t="s">
        <v>1917</v>
      </c>
      <c r="W171" s="65" t="s">
        <v>1921</v>
      </c>
      <c r="X171" s="65" t="s">
        <v>399</v>
      </c>
      <c r="Y171" s="65" t="s">
        <v>2964</v>
      </c>
      <c r="Z171" s="65" t="s">
        <v>4</v>
      </c>
      <c r="AA171" s="65" t="s">
        <v>3389</v>
      </c>
    </row>
    <row r="172" spans="1:27" ht="17.45" customHeight="1">
      <c r="A172" s="131" t="str">
        <f>IF(priority(Main[[#This Row],[Comments]])&lt;&gt;0, priority(Main[[#This Row],[Comments]]),"")</f>
        <v/>
      </c>
      <c r="B172" s="99" t="s">
        <v>1056</v>
      </c>
      <c r="C172" s="65" t="s">
        <v>93</v>
      </c>
      <c r="D172" s="66" t="s">
        <v>94</v>
      </c>
      <c r="E172" s="67"/>
      <c r="F172" s="67">
        <v>40299</v>
      </c>
      <c r="G172" s="64" t="str">
        <f>IF(stdProdLT(Main[[#This Row],[Comments]])=0.1,"N/A",IF(stdProdLT(Main[[#This Row],[Comments]])=0,"",stdProdLT(Main[[#This Row],[Comments]])))</f>
        <v/>
      </c>
      <c r="H172" s="68" t="str">
        <f>IF(AND(Main[[#This Row],[In Stock Date]]&lt;&gt;"",Main[[#This Row],[Revised Due Date]]&lt;&gt;""),Main[[#This Row],[In Stock Date]]-Main[[#This Row],[Revised Due Date]],"")</f>
        <v/>
      </c>
      <c r="I172" s="65" t="s">
        <v>4</v>
      </c>
      <c r="J172" s="65" t="s">
        <v>4</v>
      </c>
      <c r="K172" s="65" t="s">
        <v>4</v>
      </c>
      <c r="L172" s="67"/>
      <c r="M172" s="69" t="str">
        <f>IF(Main[[#This Row],[Tech Start Date]]&lt;1/1/1990,"",IF(Main[[#This Row],[Class]]="C",WORKDAY(Main[[#This Row],[Tech Start Date]],9),IF(Main[[#This Row],[Class]]="B", WORKDAY(Main[[#This Row],[Tech Start Date]],6),IF(Main[[#This Row],[Class]]="A",WORKDAY(Main[[#This Row],[Tech Start Date]],2),""))))</f>
        <v/>
      </c>
      <c r="N172" s="69" t="str">
        <f>IF(Main[[#This Row],[Tech Start Date]]&lt;1/1/1990,"",IF(Main[[#This Row],[Class]]="C",WORKDAY(Main[[#This Row],[Tech Start Date]],19),IF(Main[[#This Row],[Class]]="B", WORKDAY(Main[[#This Row],[Tech Start Date]],12),IF(Main[[#This Row],[Class]]="A",WORKDAY(Main[[#This Row],[Tech Start Date]],4),""))))</f>
        <v/>
      </c>
      <c r="O172" s="69" t="str">
        <f>IF(Main[[#This Row],[Tech Start Date]]&lt;1/1/1990,"",IF(Main[[#This Row],[Class]]="C",WORKDAY(Main[[#This Row],[Tech Start Date]],23),IF(Main[[#This Row],[Class]]="B", WORKDAY(Main[[#This Row],[Tech Start Date]],15),IF(Main[[#This Row],[Class]]="A",WORKDAY(Main[[#This Row],[Tech Start Date]],5),""))))</f>
        <v/>
      </c>
      <c r="P172" s="69" t="str">
        <f>IF(Main[[#This Row],[Tech Start Date]]&lt;1/1/1990,"",IF(Main[[#This Row],[Class]]="C",WORKDAY(Main[[#This Row],[Tech Start Date]],28),IF(Main[[#This Row],[Class]]="B", WORKDAY(Main[[#This Row],[Tech Start Date]],19),IF(Main[[#This Row],[Class]]="A",WORKDAY(Main[[#This Row],[Tech Start Date]],9),""))))</f>
        <v/>
      </c>
      <c r="Q172" s="67">
        <v>40209</v>
      </c>
      <c r="R172" s="67"/>
      <c r="S172" s="65" t="s">
        <v>11</v>
      </c>
      <c r="T172" s="70" t="s">
        <v>4</v>
      </c>
      <c r="U172" s="65" t="s">
        <v>14</v>
      </c>
      <c r="V172" s="65" t="s">
        <v>1917</v>
      </c>
      <c r="W172" s="65" t="s">
        <v>1928</v>
      </c>
      <c r="X172" s="65" t="s">
        <v>2851</v>
      </c>
      <c r="Y172" s="65" t="s">
        <v>4</v>
      </c>
      <c r="Z172" s="65" t="s">
        <v>4</v>
      </c>
      <c r="AA172" s="65" t="s">
        <v>2851</v>
      </c>
    </row>
    <row r="173" spans="1:27" ht="17.45" customHeight="1">
      <c r="A173" s="131" t="str">
        <f>IF(priority(Main[[#This Row],[Comments]])&lt;&gt;0, priority(Main[[#This Row],[Comments]]),"")</f>
        <v/>
      </c>
      <c r="B173" s="99" t="s">
        <v>1550</v>
      </c>
      <c r="C173" s="65" t="s">
        <v>4</v>
      </c>
      <c r="D173" s="66" t="s">
        <v>2694</v>
      </c>
      <c r="E173" s="67">
        <v>40718.447500000002</v>
      </c>
      <c r="F173" s="67"/>
      <c r="G173" s="64" t="str">
        <f>IF(stdProdLT(Main[[#This Row],[Comments]])=0.1,"N/A",IF(stdProdLT(Main[[#This Row],[Comments]])=0,"",stdProdLT(Main[[#This Row],[Comments]])))</f>
        <v/>
      </c>
      <c r="H173" s="68" t="str">
        <f>IF(AND(Main[[#This Row],[In Stock Date]]&lt;&gt;"",Main[[#This Row],[Revised Due Date]]&lt;&gt;""),Main[[#This Row],[In Stock Date]]-Main[[#This Row],[Revised Due Date]],"")</f>
        <v/>
      </c>
      <c r="I173" s="65" t="s">
        <v>530</v>
      </c>
      <c r="J173" s="65" t="s">
        <v>52</v>
      </c>
      <c r="K173" s="71" t="s">
        <v>1926</v>
      </c>
      <c r="L173" s="67"/>
      <c r="M173" s="69" t="str">
        <f>IF(Main[[#This Row],[Tech Start Date]]&lt;1/1/1990,"",IF(Main[[#This Row],[Class]]="C",WORKDAY(Main[[#This Row],[Tech Start Date]],9),IF(Main[[#This Row],[Class]]="B", WORKDAY(Main[[#This Row],[Tech Start Date]],6),IF(Main[[#This Row],[Class]]="A",WORKDAY(Main[[#This Row],[Tech Start Date]],2),""))))</f>
        <v/>
      </c>
      <c r="N173" s="69" t="str">
        <f>IF(Main[[#This Row],[Tech Start Date]]&lt;1/1/1990,"",IF(Main[[#This Row],[Class]]="C",WORKDAY(Main[[#This Row],[Tech Start Date]],19),IF(Main[[#This Row],[Class]]="B", WORKDAY(Main[[#This Row],[Tech Start Date]],12),IF(Main[[#This Row],[Class]]="A",WORKDAY(Main[[#This Row],[Tech Start Date]],4),""))))</f>
        <v/>
      </c>
      <c r="O173" s="69" t="str">
        <f>IF(Main[[#This Row],[Tech Start Date]]&lt;1/1/1990,"",IF(Main[[#This Row],[Class]]="C",WORKDAY(Main[[#This Row],[Tech Start Date]],23),IF(Main[[#This Row],[Class]]="B", WORKDAY(Main[[#This Row],[Tech Start Date]],15),IF(Main[[#This Row],[Class]]="A",WORKDAY(Main[[#This Row],[Tech Start Date]],5),""))))</f>
        <v/>
      </c>
      <c r="P173" s="69" t="str">
        <f>IF(Main[[#This Row],[Tech Start Date]]&lt;1/1/1990,"",IF(Main[[#This Row],[Class]]="C",WORKDAY(Main[[#This Row],[Tech Start Date]],28),IF(Main[[#This Row],[Class]]="B", WORKDAY(Main[[#This Row],[Tech Start Date]],19),IF(Main[[#This Row],[Class]]="A",WORKDAY(Main[[#This Row],[Tech Start Date]],9),""))))</f>
        <v/>
      </c>
      <c r="Q173" s="67">
        <v>40786</v>
      </c>
      <c r="R173" s="67"/>
      <c r="S173" s="65" t="s">
        <v>6</v>
      </c>
      <c r="T173" s="70" t="s">
        <v>4</v>
      </c>
      <c r="U173" s="65" t="s">
        <v>29</v>
      </c>
      <c r="V173" s="65" t="s">
        <v>1920</v>
      </c>
      <c r="W173" s="65" t="s">
        <v>1921</v>
      </c>
      <c r="X173" s="65" t="s">
        <v>306</v>
      </c>
      <c r="Y173" s="65" t="s">
        <v>2947</v>
      </c>
      <c r="Z173" s="65" t="s">
        <v>30</v>
      </c>
      <c r="AA173" s="65" t="s">
        <v>306</v>
      </c>
    </row>
    <row r="174" spans="1:27" ht="17.45" customHeight="1">
      <c r="A174" s="131" t="str">
        <f>IF(priority(Main[[#This Row],[Comments]])&lt;&gt;0, priority(Main[[#This Row],[Comments]]),"")</f>
        <v/>
      </c>
      <c r="B174" s="99" t="s">
        <v>1058</v>
      </c>
      <c r="C174" s="65" t="s">
        <v>4</v>
      </c>
      <c r="D174" s="66" t="s">
        <v>39</v>
      </c>
      <c r="E174" s="67"/>
      <c r="F174" s="67"/>
      <c r="G174" s="64" t="str">
        <f>IF(stdProdLT(Main[[#This Row],[Comments]])=0.1,"N/A",IF(stdProdLT(Main[[#This Row],[Comments]])=0,"",stdProdLT(Main[[#This Row],[Comments]])))</f>
        <v/>
      </c>
      <c r="H174" s="68" t="str">
        <f>IF(AND(Main[[#This Row],[In Stock Date]]&lt;&gt;"",Main[[#This Row],[Revised Due Date]]&lt;&gt;""),Main[[#This Row],[In Stock Date]]-Main[[#This Row],[Revised Due Date]],"")</f>
        <v/>
      </c>
      <c r="I174" s="65" t="s">
        <v>4</v>
      </c>
      <c r="J174" s="65" t="s">
        <v>4</v>
      </c>
      <c r="K174" s="71" t="s">
        <v>4</v>
      </c>
      <c r="L174" s="67"/>
      <c r="M174" s="69" t="str">
        <f>IF(Main[[#This Row],[Tech Start Date]]&lt;1/1/1990,"",IF(Main[[#This Row],[Class]]="C",WORKDAY(Main[[#This Row],[Tech Start Date]],9),IF(Main[[#This Row],[Class]]="B", WORKDAY(Main[[#This Row],[Tech Start Date]],6),IF(Main[[#This Row],[Class]]="A",WORKDAY(Main[[#This Row],[Tech Start Date]],2),""))))</f>
        <v/>
      </c>
      <c r="N174" s="69" t="str">
        <f>IF(Main[[#This Row],[Tech Start Date]]&lt;1/1/1990,"",IF(Main[[#This Row],[Class]]="C",WORKDAY(Main[[#This Row],[Tech Start Date]],19),IF(Main[[#This Row],[Class]]="B", WORKDAY(Main[[#This Row],[Tech Start Date]],12),IF(Main[[#This Row],[Class]]="A",WORKDAY(Main[[#This Row],[Tech Start Date]],4),""))))</f>
        <v/>
      </c>
      <c r="O174" s="69" t="str">
        <f>IF(Main[[#This Row],[Tech Start Date]]&lt;1/1/1990,"",IF(Main[[#This Row],[Class]]="C",WORKDAY(Main[[#This Row],[Tech Start Date]],23),IF(Main[[#This Row],[Class]]="B", WORKDAY(Main[[#This Row],[Tech Start Date]],15),IF(Main[[#This Row],[Class]]="A",WORKDAY(Main[[#This Row],[Tech Start Date]],5),""))))</f>
        <v/>
      </c>
      <c r="P174" s="69" t="str">
        <f>IF(Main[[#This Row],[Tech Start Date]]&lt;1/1/1990,"",IF(Main[[#This Row],[Class]]="C",WORKDAY(Main[[#This Row],[Tech Start Date]],28),IF(Main[[#This Row],[Class]]="B", WORKDAY(Main[[#This Row],[Tech Start Date]],19),IF(Main[[#This Row],[Class]]="A",WORKDAY(Main[[#This Row],[Tech Start Date]],9),""))))</f>
        <v/>
      </c>
      <c r="Q174" s="67">
        <v>40669</v>
      </c>
      <c r="R174" s="67"/>
      <c r="S174" s="65" t="s">
        <v>6</v>
      </c>
      <c r="T174" s="70" t="s">
        <v>4</v>
      </c>
      <c r="U174" s="65" t="s">
        <v>14</v>
      </c>
      <c r="V174" s="65" t="s">
        <v>1920</v>
      </c>
      <c r="W174" s="65" t="s">
        <v>4</v>
      </c>
      <c r="X174" s="65" t="s">
        <v>2824</v>
      </c>
      <c r="Y174" s="65" t="s">
        <v>2935</v>
      </c>
      <c r="Z174" s="65" t="s">
        <v>4</v>
      </c>
      <c r="AA174" s="65" t="s">
        <v>2824</v>
      </c>
    </row>
    <row r="175" spans="1:27" ht="17.45" customHeight="1">
      <c r="A175" s="131" t="str">
        <f>IF(priority(Main[[#This Row],[Comments]])&lt;&gt;0, priority(Main[[#This Row],[Comments]]),"")</f>
        <v/>
      </c>
      <c r="B175" s="99" t="s">
        <v>1059</v>
      </c>
      <c r="C175" s="65" t="s">
        <v>47</v>
      </c>
      <c r="D175" s="66" t="s">
        <v>91</v>
      </c>
      <c r="E175" s="67"/>
      <c r="F175" s="67"/>
      <c r="G175" s="64" t="str">
        <f>IF(stdProdLT(Main[[#This Row],[Comments]])=0.1,"N/A",IF(stdProdLT(Main[[#This Row],[Comments]])=0,"",stdProdLT(Main[[#This Row],[Comments]])))</f>
        <v/>
      </c>
      <c r="H175" s="68" t="str">
        <f>IF(AND(Main[[#This Row],[In Stock Date]]&lt;&gt;"",Main[[#This Row],[Revised Due Date]]&lt;&gt;""),Main[[#This Row],[In Stock Date]]-Main[[#This Row],[Revised Due Date]],"")</f>
        <v/>
      </c>
      <c r="I175" s="65" t="s">
        <v>4</v>
      </c>
      <c r="J175" s="65" t="s">
        <v>4</v>
      </c>
      <c r="K175" s="65" t="s">
        <v>4</v>
      </c>
      <c r="L175" s="67"/>
      <c r="M175" s="69" t="str">
        <f>IF(Main[[#This Row],[Tech Start Date]]&lt;1/1/1990,"",IF(Main[[#This Row],[Class]]="C",WORKDAY(Main[[#This Row],[Tech Start Date]],9),IF(Main[[#This Row],[Class]]="B", WORKDAY(Main[[#This Row],[Tech Start Date]],6),IF(Main[[#This Row],[Class]]="A",WORKDAY(Main[[#This Row],[Tech Start Date]],2),""))))</f>
        <v/>
      </c>
      <c r="N175" s="69" t="str">
        <f>IF(Main[[#This Row],[Tech Start Date]]&lt;1/1/1990,"",IF(Main[[#This Row],[Class]]="C",WORKDAY(Main[[#This Row],[Tech Start Date]],19),IF(Main[[#This Row],[Class]]="B", WORKDAY(Main[[#This Row],[Tech Start Date]],12),IF(Main[[#This Row],[Class]]="A",WORKDAY(Main[[#This Row],[Tech Start Date]],4),""))))</f>
        <v/>
      </c>
      <c r="O175" s="69" t="str">
        <f>IF(Main[[#This Row],[Tech Start Date]]&lt;1/1/1990,"",IF(Main[[#This Row],[Class]]="C",WORKDAY(Main[[#This Row],[Tech Start Date]],23),IF(Main[[#This Row],[Class]]="B", WORKDAY(Main[[#This Row],[Tech Start Date]],15),IF(Main[[#This Row],[Class]]="A",WORKDAY(Main[[#This Row],[Tech Start Date]],5),""))))</f>
        <v/>
      </c>
      <c r="P175" s="69" t="str">
        <f>IF(Main[[#This Row],[Tech Start Date]]&lt;1/1/1990,"",IF(Main[[#This Row],[Class]]="C",WORKDAY(Main[[#This Row],[Tech Start Date]],28),IF(Main[[#This Row],[Class]]="B", WORKDAY(Main[[#This Row],[Tech Start Date]],19),IF(Main[[#This Row],[Class]]="A",WORKDAY(Main[[#This Row],[Tech Start Date]],9),""))))</f>
        <v/>
      </c>
      <c r="Q175" s="67"/>
      <c r="R175" s="67"/>
      <c r="S175" s="65" t="s">
        <v>49</v>
      </c>
      <c r="T175" s="70" t="s">
        <v>4</v>
      </c>
      <c r="U175" s="65" t="s">
        <v>14</v>
      </c>
      <c r="V175" s="65" t="s">
        <v>1920</v>
      </c>
      <c r="W175" s="65" t="s">
        <v>1921</v>
      </c>
      <c r="X175" s="65" t="s">
        <v>306</v>
      </c>
      <c r="Y175" s="65" t="s">
        <v>2947</v>
      </c>
      <c r="Z175" s="65" t="s">
        <v>4</v>
      </c>
      <c r="AA175" s="65" t="s">
        <v>3388</v>
      </c>
    </row>
    <row r="176" spans="1:27" ht="17.45" customHeight="1">
      <c r="A176" s="131" t="str">
        <f>IF(priority(Main[[#This Row],[Comments]])&lt;&gt;0, priority(Main[[#This Row],[Comments]]),"")</f>
        <v/>
      </c>
      <c r="B176" s="99" t="s">
        <v>1060</v>
      </c>
      <c r="C176" s="65" t="s">
        <v>4</v>
      </c>
      <c r="D176" s="66" t="s">
        <v>92</v>
      </c>
      <c r="E176" s="67"/>
      <c r="F176" s="67"/>
      <c r="G176" s="64" t="str">
        <f>IF(stdProdLT(Main[[#This Row],[Comments]])=0.1,"N/A",IF(stdProdLT(Main[[#This Row],[Comments]])=0,"",stdProdLT(Main[[#This Row],[Comments]])))</f>
        <v/>
      </c>
      <c r="H176" s="68" t="str">
        <f>IF(AND(Main[[#This Row],[In Stock Date]]&lt;&gt;"",Main[[#This Row],[Revised Due Date]]&lt;&gt;""),Main[[#This Row],[In Stock Date]]-Main[[#This Row],[Revised Due Date]],"")</f>
        <v/>
      </c>
      <c r="I176" s="65" t="s">
        <v>4</v>
      </c>
      <c r="J176" s="65" t="s">
        <v>4</v>
      </c>
      <c r="K176" s="65" t="s">
        <v>4</v>
      </c>
      <c r="L176" s="67"/>
      <c r="M176" s="69" t="str">
        <f>IF(Main[[#This Row],[Tech Start Date]]&lt;1/1/1990,"",IF(Main[[#This Row],[Class]]="C",WORKDAY(Main[[#This Row],[Tech Start Date]],9),IF(Main[[#This Row],[Class]]="B", WORKDAY(Main[[#This Row],[Tech Start Date]],6),IF(Main[[#This Row],[Class]]="A",WORKDAY(Main[[#This Row],[Tech Start Date]],2),""))))</f>
        <v/>
      </c>
      <c r="N176" s="69" t="str">
        <f>IF(Main[[#This Row],[Tech Start Date]]&lt;1/1/1990,"",IF(Main[[#This Row],[Class]]="C",WORKDAY(Main[[#This Row],[Tech Start Date]],19),IF(Main[[#This Row],[Class]]="B", WORKDAY(Main[[#This Row],[Tech Start Date]],12),IF(Main[[#This Row],[Class]]="A",WORKDAY(Main[[#This Row],[Tech Start Date]],4),""))))</f>
        <v/>
      </c>
      <c r="O176" s="69" t="str">
        <f>IF(Main[[#This Row],[Tech Start Date]]&lt;1/1/1990,"",IF(Main[[#This Row],[Class]]="C",WORKDAY(Main[[#This Row],[Tech Start Date]],23),IF(Main[[#This Row],[Class]]="B", WORKDAY(Main[[#This Row],[Tech Start Date]],15),IF(Main[[#This Row],[Class]]="A",WORKDAY(Main[[#This Row],[Tech Start Date]],5),""))))</f>
        <v/>
      </c>
      <c r="P176" s="69" t="str">
        <f>IF(Main[[#This Row],[Tech Start Date]]&lt;1/1/1990,"",IF(Main[[#This Row],[Class]]="C",WORKDAY(Main[[#This Row],[Tech Start Date]],28),IF(Main[[#This Row],[Class]]="B", WORKDAY(Main[[#This Row],[Tech Start Date]],19),IF(Main[[#This Row],[Class]]="A",WORKDAY(Main[[#This Row],[Tech Start Date]],9),""))))</f>
        <v/>
      </c>
      <c r="Q176" s="67">
        <v>40289</v>
      </c>
      <c r="R176" s="67"/>
      <c r="S176" s="65" t="s">
        <v>11</v>
      </c>
      <c r="T176" s="70" t="s">
        <v>4</v>
      </c>
      <c r="U176" s="65" t="s">
        <v>14</v>
      </c>
      <c r="V176" s="65" t="s">
        <v>1917</v>
      </c>
      <c r="W176" s="65" t="s">
        <v>1919</v>
      </c>
      <c r="X176" s="65" t="s">
        <v>2827</v>
      </c>
      <c r="Y176" s="65" t="s">
        <v>2942</v>
      </c>
      <c r="Z176" s="65" t="s">
        <v>4</v>
      </c>
      <c r="AA176" s="65" t="s">
        <v>2827</v>
      </c>
    </row>
    <row r="177" spans="1:27" ht="17.45" customHeight="1">
      <c r="A177" s="131" t="str">
        <f>IF(priority(Main[[#This Row],[Comments]])&lt;&gt;0, priority(Main[[#This Row],[Comments]]),"")</f>
        <v/>
      </c>
      <c r="B177" s="99" t="s">
        <v>1061</v>
      </c>
      <c r="C177" s="65" t="s">
        <v>95</v>
      </c>
      <c r="D177" s="66" t="s">
        <v>96</v>
      </c>
      <c r="E177" s="67"/>
      <c r="F177" s="67"/>
      <c r="G177" s="64" t="str">
        <f>IF(stdProdLT(Main[[#This Row],[Comments]])=0.1,"N/A",IF(stdProdLT(Main[[#This Row],[Comments]])=0,"",stdProdLT(Main[[#This Row],[Comments]])))</f>
        <v/>
      </c>
      <c r="H177" s="68" t="str">
        <f>IF(AND(Main[[#This Row],[In Stock Date]]&lt;&gt;"",Main[[#This Row],[Revised Due Date]]&lt;&gt;""),Main[[#This Row],[In Stock Date]]-Main[[#This Row],[Revised Due Date]],"")</f>
        <v/>
      </c>
      <c r="I177" s="65" t="s">
        <v>4</v>
      </c>
      <c r="J177" s="65" t="s">
        <v>4</v>
      </c>
      <c r="K177" s="65" t="s">
        <v>4</v>
      </c>
      <c r="L177" s="67"/>
      <c r="M177" s="69" t="str">
        <f>IF(Main[[#This Row],[Tech Start Date]]&lt;1/1/1990,"",IF(Main[[#This Row],[Class]]="C",WORKDAY(Main[[#This Row],[Tech Start Date]],9),IF(Main[[#This Row],[Class]]="B", WORKDAY(Main[[#This Row],[Tech Start Date]],6),IF(Main[[#This Row],[Class]]="A",WORKDAY(Main[[#This Row],[Tech Start Date]],2),""))))</f>
        <v/>
      </c>
      <c r="N177" s="69" t="str">
        <f>IF(Main[[#This Row],[Tech Start Date]]&lt;1/1/1990,"",IF(Main[[#This Row],[Class]]="C",WORKDAY(Main[[#This Row],[Tech Start Date]],19),IF(Main[[#This Row],[Class]]="B", WORKDAY(Main[[#This Row],[Tech Start Date]],12),IF(Main[[#This Row],[Class]]="A",WORKDAY(Main[[#This Row],[Tech Start Date]],4),""))))</f>
        <v/>
      </c>
      <c r="O177" s="69" t="str">
        <f>IF(Main[[#This Row],[Tech Start Date]]&lt;1/1/1990,"",IF(Main[[#This Row],[Class]]="C",WORKDAY(Main[[#This Row],[Tech Start Date]],23),IF(Main[[#This Row],[Class]]="B", WORKDAY(Main[[#This Row],[Tech Start Date]],15),IF(Main[[#This Row],[Class]]="A",WORKDAY(Main[[#This Row],[Tech Start Date]],5),""))))</f>
        <v/>
      </c>
      <c r="P177" s="69" t="str">
        <f>IF(Main[[#This Row],[Tech Start Date]]&lt;1/1/1990,"",IF(Main[[#This Row],[Class]]="C",WORKDAY(Main[[#This Row],[Tech Start Date]],28),IF(Main[[#This Row],[Class]]="B", WORKDAY(Main[[#This Row],[Tech Start Date]],19),IF(Main[[#This Row],[Class]]="A",WORKDAY(Main[[#This Row],[Tech Start Date]],9),""))))</f>
        <v/>
      </c>
      <c r="Q177" s="67">
        <v>40302</v>
      </c>
      <c r="R177" s="67"/>
      <c r="S177" s="65" t="s">
        <v>6</v>
      </c>
      <c r="T177" s="70" t="s">
        <v>4</v>
      </c>
      <c r="U177" s="65" t="s">
        <v>14</v>
      </c>
      <c r="V177" s="65" t="s">
        <v>1917</v>
      </c>
      <c r="W177" s="65" t="s">
        <v>1923</v>
      </c>
      <c r="X177" s="65" t="s">
        <v>129</v>
      </c>
      <c r="Y177" s="65" t="s">
        <v>4</v>
      </c>
      <c r="Z177" s="65" t="s">
        <v>4</v>
      </c>
      <c r="AA177" s="65" t="s">
        <v>885</v>
      </c>
    </row>
    <row r="178" spans="1:27" ht="17.45" customHeight="1">
      <c r="A178" s="131" t="str">
        <f>IF(priority(Main[[#This Row],[Comments]])&lt;&gt;0, priority(Main[[#This Row],[Comments]]),"")</f>
        <v/>
      </c>
      <c r="B178" s="99" t="s">
        <v>1062</v>
      </c>
      <c r="C178" s="65" t="s">
        <v>4</v>
      </c>
      <c r="D178" s="66" t="s">
        <v>105</v>
      </c>
      <c r="E178" s="67"/>
      <c r="F178" s="67"/>
      <c r="G178" s="64" t="str">
        <f>IF(stdProdLT(Main[[#This Row],[Comments]])=0.1,"N/A",IF(stdProdLT(Main[[#This Row],[Comments]])=0,"",stdProdLT(Main[[#This Row],[Comments]])))</f>
        <v/>
      </c>
      <c r="H178" s="68" t="str">
        <f>IF(AND(Main[[#This Row],[In Stock Date]]&lt;&gt;"",Main[[#This Row],[Revised Due Date]]&lt;&gt;""),Main[[#This Row],[In Stock Date]]-Main[[#This Row],[Revised Due Date]],"")</f>
        <v/>
      </c>
      <c r="I178" s="65" t="s">
        <v>44</v>
      </c>
      <c r="J178" s="65" t="s">
        <v>28</v>
      </c>
      <c r="K178" s="65" t="s">
        <v>1926</v>
      </c>
      <c r="L178" s="67"/>
      <c r="M178" s="69" t="str">
        <f>IF(Main[[#This Row],[Tech Start Date]]&lt;1/1/1990,"",IF(Main[[#This Row],[Class]]="C",WORKDAY(Main[[#This Row],[Tech Start Date]],9),IF(Main[[#This Row],[Class]]="B", WORKDAY(Main[[#This Row],[Tech Start Date]],6),IF(Main[[#This Row],[Class]]="A",WORKDAY(Main[[#This Row],[Tech Start Date]],2),""))))</f>
        <v/>
      </c>
      <c r="N178" s="69" t="str">
        <f>IF(Main[[#This Row],[Tech Start Date]]&lt;1/1/1990,"",IF(Main[[#This Row],[Class]]="C",WORKDAY(Main[[#This Row],[Tech Start Date]],19),IF(Main[[#This Row],[Class]]="B", WORKDAY(Main[[#This Row],[Tech Start Date]],12),IF(Main[[#This Row],[Class]]="A",WORKDAY(Main[[#This Row],[Tech Start Date]],4),""))))</f>
        <v/>
      </c>
      <c r="O178" s="69" t="str">
        <f>IF(Main[[#This Row],[Tech Start Date]]&lt;1/1/1990,"",IF(Main[[#This Row],[Class]]="C",WORKDAY(Main[[#This Row],[Tech Start Date]],23),IF(Main[[#This Row],[Class]]="B", WORKDAY(Main[[#This Row],[Tech Start Date]],15),IF(Main[[#This Row],[Class]]="A",WORKDAY(Main[[#This Row],[Tech Start Date]],5),""))))</f>
        <v/>
      </c>
      <c r="P178" s="69" t="str">
        <f>IF(Main[[#This Row],[Tech Start Date]]&lt;1/1/1990,"",IF(Main[[#This Row],[Class]]="C",WORKDAY(Main[[#This Row],[Tech Start Date]],28),IF(Main[[#This Row],[Class]]="B", WORKDAY(Main[[#This Row],[Tech Start Date]],19),IF(Main[[#This Row],[Class]]="A",WORKDAY(Main[[#This Row],[Tech Start Date]],9),""))))</f>
        <v/>
      </c>
      <c r="Q178" s="67">
        <v>40725</v>
      </c>
      <c r="R178" s="67"/>
      <c r="S178" s="65" t="s">
        <v>6</v>
      </c>
      <c r="T178" s="70" t="s">
        <v>4</v>
      </c>
      <c r="U178" s="65" t="s">
        <v>14</v>
      </c>
      <c r="V178" s="65" t="s">
        <v>1920</v>
      </c>
      <c r="W178" s="65" t="s">
        <v>1921</v>
      </c>
      <c r="X178" s="65" t="s">
        <v>2825</v>
      </c>
      <c r="Y178" s="65" t="s">
        <v>2938</v>
      </c>
      <c r="Z178" s="65" t="s">
        <v>44</v>
      </c>
      <c r="AA178" s="65" t="s">
        <v>2825</v>
      </c>
    </row>
    <row r="179" spans="1:27" ht="17.45" customHeight="1">
      <c r="A179" s="131" t="str">
        <f>IF(priority(Main[[#This Row],[Comments]])&lt;&gt;0, priority(Main[[#This Row],[Comments]]),"")</f>
        <v/>
      </c>
      <c r="B179" s="99" t="s">
        <v>1063</v>
      </c>
      <c r="C179" s="65" t="s">
        <v>106</v>
      </c>
      <c r="D179" s="66" t="s">
        <v>107</v>
      </c>
      <c r="E179" s="67"/>
      <c r="F179" s="67"/>
      <c r="G179" s="64" t="str">
        <f>IF(stdProdLT(Main[[#This Row],[Comments]])=0.1,"N/A",IF(stdProdLT(Main[[#This Row],[Comments]])=0,"",stdProdLT(Main[[#This Row],[Comments]])))</f>
        <v/>
      </c>
      <c r="H179" s="68" t="str">
        <f>IF(AND(Main[[#This Row],[In Stock Date]]&lt;&gt;"",Main[[#This Row],[Revised Due Date]]&lt;&gt;""),Main[[#This Row],[In Stock Date]]-Main[[#This Row],[Revised Due Date]],"")</f>
        <v/>
      </c>
      <c r="I179" s="65" t="s">
        <v>108</v>
      </c>
      <c r="J179" s="65" t="s">
        <v>28</v>
      </c>
      <c r="K179" s="65" t="s">
        <v>1930</v>
      </c>
      <c r="L179" s="67"/>
      <c r="M179" s="69" t="str">
        <f>IF(Main[[#This Row],[Tech Start Date]]&lt;1/1/1990,"",IF(Main[[#This Row],[Class]]="C",WORKDAY(Main[[#This Row],[Tech Start Date]],9),IF(Main[[#This Row],[Class]]="B", WORKDAY(Main[[#This Row],[Tech Start Date]],6),IF(Main[[#This Row],[Class]]="A",WORKDAY(Main[[#This Row],[Tech Start Date]],2),""))))</f>
        <v/>
      </c>
      <c r="N179" s="69" t="str">
        <f>IF(Main[[#This Row],[Tech Start Date]]&lt;1/1/1990,"",IF(Main[[#This Row],[Class]]="C",WORKDAY(Main[[#This Row],[Tech Start Date]],19),IF(Main[[#This Row],[Class]]="B", WORKDAY(Main[[#This Row],[Tech Start Date]],12),IF(Main[[#This Row],[Class]]="A",WORKDAY(Main[[#This Row],[Tech Start Date]],4),""))))</f>
        <v/>
      </c>
      <c r="O179" s="69" t="str">
        <f>IF(Main[[#This Row],[Tech Start Date]]&lt;1/1/1990,"",IF(Main[[#This Row],[Class]]="C",WORKDAY(Main[[#This Row],[Tech Start Date]],23),IF(Main[[#This Row],[Class]]="B", WORKDAY(Main[[#This Row],[Tech Start Date]],15),IF(Main[[#This Row],[Class]]="A",WORKDAY(Main[[#This Row],[Tech Start Date]],5),""))))</f>
        <v/>
      </c>
      <c r="P179" s="69" t="str">
        <f>IF(Main[[#This Row],[Tech Start Date]]&lt;1/1/1990,"",IF(Main[[#This Row],[Class]]="C",WORKDAY(Main[[#This Row],[Tech Start Date]],28),IF(Main[[#This Row],[Class]]="B", WORKDAY(Main[[#This Row],[Tech Start Date]],19),IF(Main[[#This Row],[Class]]="A",WORKDAY(Main[[#This Row],[Tech Start Date]],9),""))))</f>
        <v/>
      </c>
      <c r="Q179" s="67">
        <v>40626</v>
      </c>
      <c r="R179" s="67"/>
      <c r="S179" s="65" t="s">
        <v>11</v>
      </c>
      <c r="T179" s="70" t="s">
        <v>4</v>
      </c>
      <c r="U179" s="65" t="s">
        <v>14</v>
      </c>
      <c r="V179" s="65" t="s">
        <v>1918</v>
      </c>
      <c r="W179" s="65" t="s">
        <v>1919</v>
      </c>
      <c r="X179" s="65" t="s">
        <v>2822</v>
      </c>
      <c r="Y179" s="65" t="s">
        <v>2934</v>
      </c>
      <c r="Z179" s="65" t="s">
        <v>108</v>
      </c>
      <c r="AA179" s="65" t="s">
        <v>2822</v>
      </c>
    </row>
    <row r="180" spans="1:27" ht="17.45" customHeight="1">
      <c r="A180" s="131" t="str">
        <f>IF(priority(Main[[#This Row],[Comments]])&lt;&gt;0, priority(Main[[#This Row],[Comments]]),"")</f>
        <v/>
      </c>
      <c r="B180" s="99" t="s">
        <v>1070</v>
      </c>
      <c r="C180" s="65" t="s">
        <v>31</v>
      </c>
      <c r="D180" s="66" t="s">
        <v>109</v>
      </c>
      <c r="E180" s="67"/>
      <c r="F180" s="67"/>
      <c r="G180" s="64" t="str">
        <f>IF(stdProdLT(Main[[#This Row],[Comments]])=0.1,"N/A",IF(stdProdLT(Main[[#This Row],[Comments]])=0,"",stdProdLT(Main[[#This Row],[Comments]])))</f>
        <v/>
      </c>
      <c r="H180" s="68" t="str">
        <f>IF(AND(Main[[#This Row],[In Stock Date]]&lt;&gt;"",Main[[#This Row],[Revised Due Date]]&lt;&gt;""),Main[[#This Row],[In Stock Date]]-Main[[#This Row],[Revised Due Date]],"")</f>
        <v/>
      </c>
      <c r="I180" s="65" t="s">
        <v>4</v>
      </c>
      <c r="J180" s="65" t="s">
        <v>4</v>
      </c>
      <c r="K180" s="65" t="s">
        <v>4</v>
      </c>
      <c r="L180" s="67"/>
      <c r="M180" s="69" t="str">
        <f>IF(Main[[#This Row],[Tech Start Date]]&lt;1/1/1990,"",IF(Main[[#This Row],[Class]]="C",WORKDAY(Main[[#This Row],[Tech Start Date]],9),IF(Main[[#This Row],[Class]]="B", WORKDAY(Main[[#This Row],[Tech Start Date]],6),IF(Main[[#This Row],[Class]]="A",WORKDAY(Main[[#This Row],[Tech Start Date]],2),""))))</f>
        <v/>
      </c>
      <c r="N180" s="69" t="str">
        <f>IF(Main[[#This Row],[Tech Start Date]]&lt;1/1/1990,"",IF(Main[[#This Row],[Class]]="C",WORKDAY(Main[[#This Row],[Tech Start Date]],19),IF(Main[[#This Row],[Class]]="B", WORKDAY(Main[[#This Row],[Tech Start Date]],12),IF(Main[[#This Row],[Class]]="A",WORKDAY(Main[[#This Row],[Tech Start Date]],4),""))))</f>
        <v/>
      </c>
      <c r="O180" s="69" t="str">
        <f>IF(Main[[#This Row],[Tech Start Date]]&lt;1/1/1990,"",IF(Main[[#This Row],[Class]]="C",WORKDAY(Main[[#This Row],[Tech Start Date]],23),IF(Main[[#This Row],[Class]]="B", WORKDAY(Main[[#This Row],[Tech Start Date]],15),IF(Main[[#This Row],[Class]]="A",WORKDAY(Main[[#This Row],[Tech Start Date]],5),""))))</f>
        <v/>
      </c>
      <c r="P180" s="69" t="str">
        <f>IF(Main[[#This Row],[Tech Start Date]]&lt;1/1/1990,"",IF(Main[[#This Row],[Class]]="C",WORKDAY(Main[[#This Row],[Tech Start Date]],28),IF(Main[[#This Row],[Class]]="B", WORKDAY(Main[[#This Row],[Tech Start Date]],19),IF(Main[[#This Row],[Class]]="A",WORKDAY(Main[[#This Row],[Tech Start Date]],9),""))))</f>
        <v/>
      </c>
      <c r="Q180" s="67">
        <v>40318</v>
      </c>
      <c r="R180" s="67"/>
      <c r="S180" s="65" t="s">
        <v>11</v>
      </c>
      <c r="T180" s="70" t="s">
        <v>4</v>
      </c>
      <c r="U180" s="65" t="s">
        <v>14</v>
      </c>
      <c r="V180" s="65" t="s">
        <v>1920</v>
      </c>
      <c r="W180" s="65" t="s">
        <v>1919</v>
      </c>
      <c r="X180" s="65" t="s">
        <v>2836</v>
      </c>
      <c r="Y180" s="65" t="s">
        <v>4</v>
      </c>
      <c r="Z180" s="65" t="s">
        <v>4</v>
      </c>
      <c r="AA180" s="65" t="s">
        <v>2836</v>
      </c>
    </row>
    <row r="181" spans="1:27" ht="17.45" customHeight="1">
      <c r="A181" s="131" t="str">
        <f>IF(priority(Main[[#This Row],[Comments]])&lt;&gt;0, priority(Main[[#This Row],[Comments]]),"")</f>
        <v/>
      </c>
      <c r="B181" s="99" t="s">
        <v>2045</v>
      </c>
      <c r="C181" s="65" t="s">
        <v>4</v>
      </c>
      <c r="D181" s="66" t="s">
        <v>2044</v>
      </c>
      <c r="E181" s="67"/>
      <c r="F181" s="67"/>
      <c r="G181" s="64" t="str">
        <f>IF(stdProdLT(Main[[#This Row],[Comments]])=0.1,"N/A",IF(stdProdLT(Main[[#This Row],[Comments]])=0,"",stdProdLT(Main[[#This Row],[Comments]])))</f>
        <v/>
      </c>
      <c r="H181" s="68" t="str">
        <f>IF(AND(Main[[#This Row],[In Stock Date]]&lt;&gt;"",Main[[#This Row],[Revised Due Date]]&lt;&gt;""),Main[[#This Row],[In Stock Date]]-Main[[#This Row],[Revised Due Date]],"")</f>
        <v/>
      </c>
      <c r="I181" s="65" t="s">
        <v>4</v>
      </c>
      <c r="J181" s="65" t="s">
        <v>4</v>
      </c>
      <c r="K181" s="65" t="s">
        <v>4</v>
      </c>
      <c r="L181" s="67"/>
      <c r="M181" s="69" t="str">
        <f>IF(Main[[#This Row],[Tech Start Date]]&lt;1/1/1990,"",IF(Main[[#This Row],[Class]]="C",WORKDAY(Main[[#This Row],[Tech Start Date]],9),IF(Main[[#This Row],[Class]]="B", WORKDAY(Main[[#This Row],[Tech Start Date]],6),IF(Main[[#This Row],[Class]]="A",WORKDAY(Main[[#This Row],[Tech Start Date]],2),""))))</f>
        <v/>
      </c>
      <c r="N181" s="69" t="str">
        <f>IF(Main[[#This Row],[Tech Start Date]]&lt;1/1/1990,"",IF(Main[[#This Row],[Class]]="C",WORKDAY(Main[[#This Row],[Tech Start Date]],19),IF(Main[[#This Row],[Class]]="B", WORKDAY(Main[[#This Row],[Tech Start Date]],12),IF(Main[[#This Row],[Class]]="A",WORKDAY(Main[[#This Row],[Tech Start Date]],4),""))))</f>
        <v/>
      </c>
      <c r="O181" s="69" t="str">
        <f>IF(Main[[#This Row],[Tech Start Date]]&lt;1/1/1990,"",IF(Main[[#This Row],[Class]]="C",WORKDAY(Main[[#This Row],[Tech Start Date]],23),IF(Main[[#This Row],[Class]]="B", WORKDAY(Main[[#This Row],[Tech Start Date]],15),IF(Main[[#This Row],[Class]]="A",WORKDAY(Main[[#This Row],[Tech Start Date]],5),""))))</f>
        <v/>
      </c>
      <c r="P181" s="69" t="str">
        <f>IF(Main[[#This Row],[Tech Start Date]]&lt;1/1/1990,"",IF(Main[[#This Row],[Class]]="C",WORKDAY(Main[[#This Row],[Tech Start Date]],28),IF(Main[[#This Row],[Class]]="B", WORKDAY(Main[[#This Row],[Tech Start Date]],19),IF(Main[[#This Row],[Class]]="A",WORKDAY(Main[[#This Row],[Tech Start Date]],9),""))))</f>
        <v/>
      </c>
      <c r="Q181" s="67"/>
      <c r="R181" s="67"/>
      <c r="S181" s="65" t="s">
        <v>6</v>
      </c>
      <c r="T181" s="70" t="s">
        <v>4</v>
      </c>
      <c r="U181" s="65" t="s">
        <v>14</v>
      </c>
      <c r="V181" s="65" t="s">
        <v>1918</v>
      </c>
      <c r="W181" s="65" t="s">
        <v>1921</v>
      </c>
      <c r="X181" s="65" t="s">
        <v>306</v>
      </c>
      <c r="Y181" s="65" t="s">
        <v>4</v>
      </c>
      <c r="Z181" s="65" t="s">
        <v>4</v>
      </c>
      <c r="AA181" s="65" t="s">
        <v>4</v>
      </c>
    </row>
    <row r="182" spans="1:27" ht="17.45" customHeight="1">
      <c r="A182" s="131" t="str">
        <f>IF(priority(Main[[#This Row],[Comments]])&lt;&gt;0, priority(Main[[#This Row],[Comments]]),"")</f>
        <v/>
      </c>
      <c r="B182" s="99" t="s">
        <v>1071</v>
      </c>
      <c r="C182" s="65" t="s">
        <v>19</v>
      </c>
      <c r="D182" s="66" t="s">
        <v>110</v>
      </c>
      <c r="E182" s="67"/>
      <c r="F182" s="67">
        <v>40548</v>
      </c>
      <c r="G182" s="64" t="str">
        <f>IF(stdProdLT(Main[[#This Row],[Comments]])=0.1,"N/A",IF(stdProdLT(Main[[#This Row],[Comments]])=0,"",stdProdLT(Main[[#This Row],[Comments]])))</f>
        <v/>
      </c>
      <c r="H182" s="68" t="str">
        <f>IF(AND(Main[[#This Row],[In Stock Date]]&lt;&gt;"",Main[[#This Row],[Revised Due Date]]&lt;&gt;""),Main[[#This Row],[In Stock Date]]-Main[[#This Row],[Revised Due Date]],"")</f>
        <v/>
      </c>
      <c r="I182" s="65" t="s">
        <v>4</v>
      </c>
      <c r="J182" s="65" t="s">
        <v>4</v>
      </c>
      <c r="K182" s="71" t="s">
        <v>4</v>
      </c>
      <c r="L182" s="67"/>
      <c r="M182" s="69" t="str">
        <f>IF(Main[[#This Row],[Tech Start Date]]&lt;1/1/1990,"",IF(Main[[#This Row],[Class]]="C",WORKDAY(Main[[#This Row],[Tech Start Date]],9),IF(Main[[#This Row],[Class]]="B", WORKDAY(Main[[#This Row],[Tech Start Date]],6),IF(Main[[#This Row],[Class]]="A",WORKDAY(Main[[#This Row],[Tech Start Date]],2),""))))</f>
        <v/>
      </c>
      <c r="N182" s="69" t="str">
        <f>IF(Main[[#This Row],[Tech Start Date]]&lt;1/1/1990,"",IF(Main[[#This Row],[Class]]="C",WORKDAY(Main[[#This Row],[Tech Start Date]],19),IF(Main[[#This Row],[Class]]="B", WORKDAY(Main[[#This Row],[Tech Start Date]],12),IF(Main[[#This Row],[Class]]="A",WORKDAY(Main[[#This Row],[Tech Start Date]],4),""))))</f>
        <v/>
      </c>
      <c r="O182" s="69" t="str">
        <f>IF(Main[[#This Row],[Tech Start Date]]&lt;1/1/1990,"",IF(Main[[#This Row],[Class]]="C",WORKDAY(Main[[#This Row],[Tech Start Date]],23),IF(Main[[#This Row],[Class]]="B", WORKDAY(Main[[#This Row],[Tech Start Date]],15),IF(Main[[#This Row],[Class]]="A",WORKDAY(Main[[#This Row],[Tech Start Date]],5),""))))</f>
        <v/>
      </c>
      <c r="P182" s="69" t="str">
        <f>IF(Main[[#This Row],[Tech Start Date]]&lt;1/1/1990,"",IF(Main[[#This Row],[Class]]="C",WORKDAY(Main[[#This Row],[Tech Start Date]],28),IF(Main[[#This Row],[Class]]="B", WORKDAY(Main[[#This Row],[Tech Start Date]],19),IF(Main[[#This Row],[Class]]="A",WORKDAY(Main[[#This Row],[Tech Start Date]],9),""))))</f>
        <v/>
      </c>
      <c r="Q182" s="67">
        <v>40415</v>
      </c>
      <c r="R182" s="67"/>
      <c r="S182" s="65" t="s">
        <v>17</v>
      </c>
      <c r="T182" s="70" t="s">
        <v>4</v>
      </c>
      <c r="U182" s="65" t="s">
        <v>12</v>
      </c>
      <c r="V182" s="65" t="s">
        <v>1920</v>
      </c>
      <c r="W182" s="65" t="s">
        <v>1925</v>
      </c>
      <c r="X182" s="65" t="s">
        <v>2839</v>
      </c>
      <c r="Y182" s="65" t="s">
        <v>2945</v>
      </c>
      <c r="Z182" s="65" t="s">
        <v>4</v>
      </c>
      <c r="AA182" s="65" t="s">
        <v>2839</v>
      </c>
    </row>
    <row r="183" spans="1:27" ht="17.45" customHeight="1">
      <c r="A183" s="131" t="str">
        <f>IF(priority(Main[[#This Row],[Comments]])&lt;&gt;0, priority(Main[[#This Row],[Comments]]),"")</f>
        <v/>
      </c>
      <c r="B183" s="99" t="s">
        <v>1064</v>
      </c>
      <c r="C183" s="65" t="s">
        <v>4</v>
      </c>
      <c r="D183" s="66" t="s">
        <v>97</v>
      </c>
      <c r="E183" s="67"/>
      <c r="F183" s="67"/>
      <c r="G183" s="64" t="str">
        <f>IF(stdProdLT(Main[[#This Row],[Comments]])=0.1,"N/A",IF(stdProdLT(Main[[#This Row],[Comments]])=0,"",stdProdLT(Main[[#This Row],[Comments]])))</f>
        <v/>
      </c>
      <c r="H183" s="68" t="str">
        <f>IF(AND(Main[[#This Row],[In Stock Date]]&lt;&gt;"",Main[[#This Row],[Revised Due Date]]&lt;&gt;""),Main[[#This Row],[In Stock Date]]-Main[[#This Row],[Revised Due Date]],"")</f>
        <v/>
      </c>
      <c r="I183" s="65" t="s">
        <v>4</v>
      </c>
      <c r="J183" s="65" t="s">
        <v>4</v>
      </c>
      <c r="K183" s="65" t="s">
        <v>4</v>
      </c>
      <c r="L183" s="67"/>
      <c r="M183" s="69" t="str">
        <f>IF(Main[[#This Row],[Tech Start Date]]&lt;1/1/1990,"",IF(Main[[#This Row],[Class]]="C",WORKDAY(Main[[#This Row],[Tech Start Date]],9),IF(Main[[#This Row],[Class]]="B", WORKDAY(Main[[#This Row],[Tech Start Date]],6),IF(Main[[#This Row],[Class]]="A",WORKDAY(Main[[#This Row],[Tech Start Date]],2),""))))</f>
        <v/>
      </c>
      <c r="N183" s="69" t="str">
        <f>IF(Main[[#This Row],[Tech Start Date]]&lt;1/1/1990,"",IF(Main[[#This Row],[Class]]="C",WORKDAY(Main[[#This Row],[Tech Start Date]],19),IF(Main[[#This Row],[Class]]="B", WORKDAY(Main[[#This Row],[Tech Start Date]],12),IF(Main[[#This Row],[Class]]="A",WORKDAY(Main[[#This Row],[Tech Start Date]],4),""))))</f>
        <v/>
      </c>
      <c r="O183" s="69" t="str">
        <f>IF(Main[[#This Row],[Tech Start Date]]&lt;1/1/1990,"",IF(Main[[#This Row],[Class]]="C",WORKDAY(Main[[#This Row],[Tech Start Date]],23),IF(Main[[#This Row],[Class]]="B", WORKDAY(Main[[#This Row],[Tech Start Date]],15),IF(Main[[#This Row],[Class]]="A",WORKDAY(Main[[#This Row],[Tech Start Date]],5),""))))</f>
        <v/>
      </c>
      <c r="P183" s="69" t="str">
        <f>IF(Main[[#This Row],[Tech Start Date]]&lt;1/1/1990,"",IF(Main[[#This Row],[Class]]="C",WORKDAY(Main[[#This Row],[Tech Start Date]],28),IF(Main[[#This Row],[Class]]="B", WORKDAY(Main[[#This Row],[Tech Start Date]],19),IF(Main[[#This Row],[Class]]="A",WORKDAY(Main[[#This Row],[Tech Start Date]],9),""))))</f>
        <v/>
      </c>
      <c r="Q183" s="67">
        <v>40858</v>
      </c>
      <c r="R183" s="67"/>
      <c r="S183" s="65" t="s">
        <v>17</v>
      </c>
      <c r="T183" s="70" t="s">
        <v>4</v>
      </c>
      <c r="U183" s="65" t="s">
        <v>14</v>
      </c>
      <c r="V183" s="65" t="s">
        <v>1917</v>
      </c>
      <c r="W183" s="65" t="s">
        <v>1922</v>
      </c>
      <c r="X183" s="65" t="s">
        <v>50</v>
      </c>
      <c r="Y183" s="65" t="s">
        <v>2965</v>
      </c>
      <c r="Z183" s="65" t="s">
        <v>4</v>
      </c>
      <c r="AA183" s="65" t="s">
        <v>2834</v>
      </c>
    </row>
    <row r="184" spans="1:27" ht="17.45" customHeight="1">
      <c r="A184" s="131" t="str">
        <f>IF(priority(Main[[#This Row],[Comments]])&lt;&gt;0, priority(Main[[#This Row],[Comments]]),"")</f>
        <v/>
      </c>
      <c r="B184" s="99" t="s">
        <v>1065</v>
      </c>
      <c r="C184" s="65" t="s">
        <v>4</v>
      </c>
      <c r="D184" s="66" t="s">
        <v>98</v>
      </c>
      <c r="E184" s="67">
        <v>40373.607708333337</v>
      </c>
      <c r="F184" s="67"/>
      <c r="G184" s="64" t="str">
        <f>IF(stdProdLT(Main[[#This Row],[Comments]])=0.1,"N/A",IF(stdProdLT(Main[[#This Row],[Comments]])=0,"",stdProdLT(Main[[#This Row],[Comments]])))</f>
        <v/>
      </c>
      <c r="H184" s="68" t="str">
        <f>IF(AND(Main[[#This Row],[In Stock Date]]&lt;&gt;"",Main[[#This Row],[Revised Due Date]]&lt;&gt;""),Main[[#This Row],[In Stock Date]]-Main[[#This Row],[Revised Due Date]],"")</f>
        <v/>
      </c>
      <c r="I184" s="65" t="s">
        <v>4</v>
      </c>
      <c r="J184" s="65" t="s">
        <v>4</v>
      </c>
      <c r="K184" s="65" t="s">
        <v>4</v>
      </c>
      <c r="L184" s="67"/>
      <c r="M184" s="69" t="str">
        <f>IF(Main[[#This Row],[Tech Start Date]]&lt;1/1/1990,"",IF(Main[[#This Row],[Class]]="C",WORKDAY(Main[[#This Row],[Tech Start Date]],9),IF(Main[[#This Row],[Class]]="B", WORKDAY(Main[[#This Row],[Tech Start Date]],6),IF(Main[[#This Row],[Class]]="A",WORKDAY(Main[[#This Row],[Tech Start Date]],2),""))))</f>
        <v/>
      </c>
      <c r="N184" s="69" t="str">
        <f>IF(Main[[#This Row],[Tech Start Date]]&lt;1/1/1990,"",IF(Main[[#This Row],[Class]]="C",WORKDAY(Main[[#This Row],[Tech Start Date]],19),IF(Main[[#This Row],[Class]]="B", WORKDAY(Main[[#This Row],[Tech Start Date]],12),IF(Main[[#This Row],[Class]]="A",WORKDAY(Main[[#This Row],[Tech Start Date]],4),""))))</f>
        <v/>
      </c>
      <c r="O184" s="69" t="str">
        <f>IF(Main[[#This Row],[Tech Start Date]]&lt;1/1/1990,"",IF(Main[[#This Row],[Class]]="C",WORKDAY(Main[[#This Row],[Tech Start Date]],23),IF(Main[[#This Row],[Class]]="B", WORKDAY(Main[[#This Row],[Tech Start Date]],15),IF(Main[[#This Row],[Class]]="A",WORKDAY(Main[[#This Row],[Tech Start Date]],5),""))))</f>
        <v/>
      </c>
      <c r="P184" s="69" t="str">
        <f>IF(Main[[#This Row],[Tech Start Date]]&lt;1/1/1990,"",IF(Main[[#This Row],[Class]]="C",WORKDAY(Main[[#This Row],[Tech Start Date]],28),IF(Main[[#This Row],[Class]]="B", WORKDAY(Main[[#This Row],[Tech Start Date]],19),IF(Main[[#This Row],[Class]]="A",WORKDAY(Main[[#This Row],[Tech Start Date]],9),""))))</f>
        <v/>
      </c>
      <c r="Q184" s="67">
        <v>40382</v>
      </c>
      <c r="R184" s="67"/>
      <c r="S184" s="65" t="s">
        <v>6</v>
      </c>
      <c r="T184" s="70" t="s">
        <v>4</v>
      </c>
      <c r="U184" s="65" t="s">
        <v>7</v>
      </c>
      <c r="V184" s="65" t="s">
        <v>1917</v>
      </c>
      <c r="W184" s="65" t="s">
        <v>1921</v>
      </c>
      <c r="X184" s="65" t="s">
        <v>399</v>
      </c>
      <c r="Y184" s="65" t="s">
        <v>4</v>
      </c>
      <c r="Z184" s="65" t="s">
        <v>4</v>
      </c>
      <c r="AA184" s="65" t="s">
        <v>3395</v>
      </c>
    </row>
    <row r="185" spans="1:27" ht="17.45" customHeight="1">
      <c r="A185" s="131" t="str">
        <f>IF(priority(Main[[#This Row],[Comments]])&lt;&gt;0, priority(Main[[#This Row],[Comments]]),"")</f>
        <v/>
      </c>
      <c r="B185" s="99" t="s">
        <v>1066</v>
      </c>
      <c r="C185" s="65" t="s">
        <v>99</v>
      </c>
      <c r="D185" s="66" t="s">
        <v>100</v>
      </c>
      <c r="E185" s="67"/>
      <c r="F185" s="67"/>
      <c r="G185" s="64" t="str">
        <f>IF(stdProdLT(Main[[#This Row],[Comments]])=0.1,"N/A",IF(stdProdLT(Main[[#This Row],[Comments]])=0,"",stdProdLT(Main[[#This Row],[Comments]])))</f>
        <v/>
      </c>
      <c r="H185" s="68" t="str">
        <f>IF(AND(Main[[#This Row],[In Stock Date]]&lt;&gt;"",Main[[#This Row],[Revised Due Date]]&lt;&gt;""),Main[[#This Row],[In Stock Date]]-Main[[#This Row],[Revised Due Date]],"")</f>
        <v/>
      </c>
      <c r="I185" s="65" t="s">
        <v>4</v>
      </c>
      <c r="J185" s="65" t="s">
        <v>4</v>
      </c>
      <c r="K185" s="65" t="s">
        <v>4</v>
      </c>
      <c r="L185" s="67"/>
      <c r="M185" s="69" t="str">
        <f>IF(Main[[#This Row],[Tech Start Date]]&lt;1/1/1990,"",IF(Main[[#This Row],[Class]]="C",WORKDAY(Main[[#This Row],[Tech Start Date]],9),IF(Main[[#This Row],[Class]]="B", WORKDAY(Main[[#This Row],[Tech Start Date]],6),IF(Main[[#This Row],[Class]]="A",WORKDAY(Main[[#This Row],[Tech Start Date]],2),""))))</f>
        <v/>
      </c>
      <c r="N185" s="69" t="str">
        <f>IF(Main[[#This Row],[Tech Start Date]]&lt;1/1/1990,"",IF(Main[[#This Row],[Class]]="C",WORKDAY(Main[[#This Row],[Tech Start Date]],19),IF(Main[[#This Row],[Class]]="B", WORKDAY(Main[[#This Row],[Tech Start Date]],12),IF(Main[[#This Row],[Class]]="A",WORKDAY(Main[[#This Row],[Tech Start Date]],4),""))))</f>
        <v/>
      </c>
      <c r="O185" s="69" t="str">
        <f>IF(Main[[#This Row],[Tech Start Date]]&lt;1/1/1990,"",IF(Main[[#This Row],[Class]]="C",WORKDAY(Main[[#This Row],[Tech Start Date]],23),IF(Main[[#This Row],[Class]]="B", WORKDAY(Main[[#This Row],[Tech Start Date]],15),IF(Main[[#This Row],[Class]]="A",WORKDAY(Main[[#This Row],[Tech Start Date]],5),""))))</f>
        <v/>
      </c>
      <c r="P185" s="69" t="str">
        <f>IF(Main[[#This Row],[Tech Start Date]]&lt;1/1/1990,"",IF(Main[[#This Row],[Class]]="C",WORKDAY(Main[[#This Row],[Tech Start Date]],28),IF(Main[[#This Row],[Class]]="B", WORKDAY(Main[[#This Row],[Tech Start Date]],19),IF(Main[[#This Row],[Class]]="A",WORKDAY(Main[[#This Row],[Tech Start Date]],9),""))))</f>
        <v/>
      </c>
      <c r="Q185" s="67"/>
      <c r="R185" s="67"/>
      <c r="S185" s="65" t="s">
        <v>49</v>
      </c>
      <c r="T185" s="70" t="s">
        <v>4</v>
      </c>
      <c r="U185" s="65" t="s">
        <v>12</v>
      </c>
      <c r="V185" s="65" t="s">
        <v>1918</v>
      </c>
      <c r="W185" s="65" t="s">
        <v>1919</v>
      </c>
      <c r="X185" s="65" t="s">
        <v>2840</v>
      </c>
      <c r="Y185" s="65" t="s">
        <v>2966</v>
      </c>
      <c r="Z185" s="65" t="s">
        <v>4</v>
      </c>
      <c r="AA185" s="65" t="s">
        <v>3396</v>
      </c>
    </row>
    <row r="186" spans="1:27" ht="17.45" customHeight="1">
      <c r="A186" s="131" t="str">
        <f>IF(priority(Main[[#This Row],[Comments]])&lt;&gt;0, priority(Main[[#This Row],[Comments]]),"")</f>
        <v/>
      </c>
      <c r="B186" s="99" t="s">
        <v>1067</v>
      </c>
      <c r="C186" s="65" t="s">
        <v>67</v>
      </c>
      <c r="D186" s="66" t="s">
        <v>101</v>
      </c>
      <c r="E186" s="67"/>
      <c r="F186" s="67">
        <v>40664</v>
      </c>
      <c r="G186" s="64" t="str">
        <f>IF(stdProdLT(Main[[#This Row],[Comments]])=0.1,"N/A",IF(stdProdLT(Main[[#This Row],[Comments]])=0,"",stdProdLT(Main[[#This Row],[Comments]])))</f>
        <v/>
      </c>
      <c r="H186" s="68" t="str">
        <f>IF(AND(Main[[#This Row],[In Stock Date]]&lt;&gt;"",Main[[#This Row],[Revised Due Date]]&lt;&gt;""),Main[[#This Row],[In Stock Date]]-Main[[#This Row],[Revised Due Date]],"")</f>
        <v/>
      </c>
      <c r="I186" s="65" t="s">
        <v>102</v>
      </c>
      <c r="J186" s="65" t="s">
        <v>51</v>
      </c>
      <c r="K186" s="65" t="s">
        <v>1926</v>
      </c>
      <c r="L186" s="67"/>
      <c r="M186" s="69" t="str">
        <f>IF(Main[[#This Row],[Tech Start Date]]&lt;1/1/1990,"",IF(Main[[#This Row],[Class]]="C",WORKDAY(Main[[#This Row],[Tech Start Date]],9),IF(Main[[#This Row],[Class]]="B", WORKDAY(Main[[#This Row],[Tech Start Date]],6),IF(Main[[#This Row],[Class]]="A",WORKDAY(Main[[#This Row],[Tech Start Date]],2),""))))</f>
        <v/>
      </c>
      <c r="N186" s="69" t="str">
        <f>IF(Main[[#This Row],[Tech Start Date]]&lt;1/1/1990,"",IF(Main[[#This Row],[Class]]="C",WORKDAY(Main[[#This Row],[Tech Start Date]],19),IF(Main[[#This Row],[Class]]="B", WORKDAY(Main[[#This Row],[Tech Start Date]],12),IF(Main[[#This Row],[Class]]="A",WORKDAY(Main[[#This Row],[Tech Start Date]],4),""))))</f>
        <v/>
      </c>
      <c r="O186" s="69" t="str">
        <f>IF(Main[[#This Row],[Tech Start Date]]&lt;1/1/1990,"",IF(Main[[#This Row],[Class]]="C",WORKDAY(Main[[#This Row],[Tech Start Date]],23),IF(Main[[#This Row],[Class]]="B", WORKDAY(Main[[#This Row],[Tech Start Date]],15),IF(Main[[#This Row],[Class]]="A",WORKDAY(Main[[#This Row],[Tech Start Date]],5),""))))</f>
        <v/>
      </c>
      <c r="P186" s="69" t="str">
        <f>IF(Main[[#This Row],[Tech Start Date]]&lt;1/1/1990,"",IF(Main[[#This Row],[Class]]="C",WORKDAY(Main[[#This Row],[Tech Start Date]],28),IF(Main[[#This Row],[Class]]="B", WORKDAY(Main[[#This Row],[Tech Start Date]],19),IF(Main[[#This Row],[Class]]="A",WORKDAY(Main[[#This Row],[Tech Start Date]],9),""))))</f>
        <v/>
      </c>
      <c r="Q186" s="67">
        <v>40585</v>
      </c>
      <c r="R186" s="67"/>
      <c r="S186" s="65" t="s">
        <v>11</v>
      </c>
      <c r="T186" s="70" t="s">
        <v>4</v>
      </c>
      <c r="U186" s="65" t="s">
        <v>14</v>
      </c>
      <c r="V186" s="65" t="s">
        <v>1917</v>
      </c>
      <c r="W186" s="65" t="s">
        <v>1923</v>
      </c>
      <c r="X186" s="65" t="s">
        <v>50</v>
      </c>
      <c r="Y186" s="65" t="s">
        <v>2967</v>
      </c>
      <c r="Z186" s="65" t="s">
        <v>129</v>
      </c>
      <c r="AA186" s="65" t="s">
        <v>50</v>
      </c>
    </row>
    <row r="187" spans="1:27" ht="17.45" customHeight="1">
      <c r="A187" s="131" t="str">
        <f>IF(priority(Main[[#This Row],[Comments]])&lt;&gt;0, priority(Main[[#This Row],[Comments]]),"")</f>
        <v/>
      </c>
      <c r="B187" s="99" t="s">
        <v>2451</v>
      </c>
      <c r="C187" s="65" t="s">
        <v>4</v>
      </c>
      <c r="D187" s="66" t="s">
        <v>2695</v>
      </c>
      <c r="E187" s="67">
        <v>40869.337650462963</v>
      </c>
      <c r="F187" s="67"/>
      <c r="G187" s="64" t="str">
        <f>IF(stdProdLT(Main[[#This Row],[Comments]])=0.1,"N/A",IF(stdProdLT(Main[[#This Row],[Comments]])=0,"",stdProdLT(Main[[#This Row],[Comments]])))</f>
        <v/>
      </c>
      <c r="H187" s="68" t="str">
        <f>IF(AND(Main[[#This Row],[In Stock Date]]&lt;&gt;"",Main[[#This Row],[Revised Due Date]]&lt;&gt;""),Main[[#This Row],[In Stock Date]]-Main[[#This Row],[Revised Due Date]],"")</f>
        <v/>
      </c>
      <c r="I187" s="65" t="s">
        <v>4</v>
      </c>
      <c r="J187" s="65" t="s">
        <v>4</v>
      </c>
      <c r="K187" s="65" t="s">
        <v>4</v>
      </c>
      <c r="L187" s="67"/>
      <c r="M187" s="69" t="str">
        <f>IF(Main[[#This Row],[Tech Start Date]]&lt;1/1/1990,"",IF(Main[[#This Row],[Class]]="C",WORKDAY(Main[[#This Row],[Tech Start Date]],9),IF(Main[[#This Row],[Class]]="B", WORKDAY(Main[[#This Row],[Tech Start Date]],6),IF(Main[[#This Row],[Class]]="A",WORKDAY(Main[[#This Row],[Tech Start Date]],2),""))))</f>
        <v/>
      </c>
      <c r="N187" s="69" t="str">
        <f>IF(Main[[#This Row],[Tech Start Date]]&lt;1/1/1990,"",IF(Main[[#This Row],[Class]]="C",WORKDAY(Main[[#This Row],[Tech Start Date]],19),IF(Main[[#This Row],[Class]]="B", WORKDAY(Main[[#This Row],[Tech Start Date]],12),IF(Main[[#This Row],[Class]]="A",WORKDAY(Main[[#This Row],[Tech Start Date]],4),""))))</f>
        <v/>
      </c>
      <c r="O187" s="69" t="str">
        <f>IF(Main[[#This Row],[Tech Start Date]]&lt;1/1/1990,"",IF(Main[[#This Row],[Class]]="C",WORKDAY(Main[[#This Row],[Tech Start Date]],23),IF(Main[[#This Row],[Class]]="B", WORKDAY(Main[[#This Row],[Tech Start Date]],15),IF(Main[[#This Row],[Class]]="A",WORKDAY(Main[[#This Row],[Tech Start Date]],5),""))))</f>
        <v/>
      </c>
      <c r="P187" s="69" t="str">
        <f>IF(Main[[#This Row],[Tech Start Date]]&lt;1/1/1990,"",IF(Main[[#This Row],[Class]]="C",WORKDAY(Main[[#This Row],[Tech Start Date]],28),IF(Main[[#This Row],[Class]]="B", WORKDAY(Main[[#This Row],[Tech Start Date]],19),IF(Main[[#This Row],[Class]]="A",WORKDAY(Main[[#This Row],[Tech Start Date]],9),""))))</f>
        <v/>
      </c>
      <c r="Q187" s="67"/>
      <c r="R187" s="67"/>
      <c r="S187" s="65" t="s">
        <v>6</v>
      </c>
      <c r="T187" s="70" t="s">
        <v>2696</v>
      </c>
      <c r="U187" s="65" t="s">
        <v>29</v>
      </c>
      <c r="V187" s="65" t="s">
        <v>1917</v>
      </c>
      <c r="W187" s="65" t="s">
        <v>1921</v>
      </c>
      <c r="X187" s="65" t="s">
        <v>102</v>
      </c>
      <c r="Y187" s="65" t="s">
        <v>2968</v>
      </c>
      <c r="Z187" s="65" t="s">
        <v>4</v>
      </c>
      <c r="AA187" s="65" t="s">
        <v>3397</v>
      </c>
    </row>
    <row r="188" spans="1:27" ht="17.45" customHeight="1">
      <c r="A188" s="131" t="str">
        <f>IF(priority(Main[[#This Row],[Comments]])&lt;&gt;0, priority(Main[[#This Row],[Comments]]),"")</f>
        <v/>
      </c>
      <c r="B188" s="99" t="s">
        <v>1069</v>
      </c>
      <c r="C188" s="65" t="s">
        <v>31</v>
      </c>
      <c r="D188" s="66" t="s">
        <v>104</v>
      </c>
      <c r="E188" s="67"/>
      <c r="F188" s="67"/>
      <c r="G188" s="64" t="str">
        <f>IF(stdProdLT(Main[[#This Row],[Comments]])=0.1,"N/A",IF(stdProdLT(Main[[#This Row],[Comments]])=0,"",stdProdLT(Main[[#This Row],[Comments]])))</f>
        <v/>
      </c>
      <c r="H188" s="68" t="str">
        <f>IF(AND(Main[[#This Row],[In Stock Date]]&lt;&gt;"",Main[[#This Row],[Revised Due Date]]&lt;&gt;""),Main[[#This Row],[In Stock Date]]-Main[[#This Row],[Revised Due Date]],"")</f>
        <v/>
      </c>
      <c r="I188" s="65" t="s">
        <v>4</v>
      </c>
      <c r="J188" s="65" t="s">
        <v>4</v>
      </c>
      <c r="K188" s="65" t="s">
        <v>4</v>
      </c>
      <c r="L188" s="67"/>
      <c r="M188" s="69" t="str">
        <f>IF(Main[[#This Row],[Tech Start Date]]&lt;1/1/1990,"",IF(Main[[#This Row],[Class]]="C",WORKDAY(Main[[#This Row],[Tech Start Date]],9),IF(Main[[#This Row],[Class]]="B", WORKDAY(Main[[#This Row],[Tech Start Date]],6),IF(Main[[#This Row],[Class]]="A",WORKDAY(Main[[#This Row],[Tech Start Date]],2),""))))</f>
        <v/>
      </c>
      <c r="N188" s="69" t="str">
        <f>IF(Main[[#This Row],[Tech Start Date]]&lt;1/1/1990,"",IF(Main[[#This Row],[Class]]="C",WORKDAY(Main[[#This Row],[Tech Start Date]],19),IF(Main[[#This Row],[Class]]="B", WORKDAY(Main[[#This Row],[Tech Start Date]],12),IF(Main[[#This Row],[Class]]="A",WORKDAY(Main[[#This Row],[Tech Start Date]],4),""))))</f>
        <v/>
      </c>
      <c r="O188" s="69" t="str">
        <f>IF(Main[[#This Row],[Tech Start Date]]&lt;1/1/1990,"",IF(Main[[#This Row],[Class]]="C",WORKDAY(Main[[#This Row],[Tech Start Date]],23),IF(Main[[#This Row],[Class]]="B", WORKDAY(Main[[#This Row],[Tech Start Date]],15),IF(Main[[#This Row],[Class]]="A",WORKDAY(Main[[#This Row],[Tech Start Date]],5),""))))</f>
        <v/>
      </c>
      <c r="P188" s="69" t="str">
        <f>IF(Main[[#This Row],[Tech Start Date]]&lt;1/1/1990,"",IF(Main[[#This Row],[Class]]="C",WORKDAY(Main[[#This Row],[Tech Start Date]],28),IF(Main[[#This Row],[Class]]="B", WORKDAY(Main[[#This Row],[Tech Start Date]],19),IF(Main[[#This Row],[Class]]="A",WORKDAY(Main[[#This Row],[Tech Start Date]],9),""))))</f>
        <v/>
      </c>
      <c r="Q188" s="67">
        <v>40318</v>
      </c>
      <c r="R188" s="67"/>
      <c r="S188" s="65" t="s">
        <v>11</v>
      </c>
      <c r="T188" s="70" t="s">
        <v>4</v>
      </c>
      <c r="U188" s="65" t="s">
        <v>14</v>
      </c>
      <c r="V188" s="65" t="s">
        <v>1927</v>
      </c>
      <c r="W188" s="65" t="s">
        <v>1919</v>
      </c>
      <c r="X188" s="65" t="s">
        <v>2836</v>
      </c>
      <c r="Y188" s="65" t="s">
        <v>4</v>
      </c>
      <c r="Z188" s="65" t="s">
        <v>4</v>
      </c>
      <c r="AA188" s="65" t="s">
        <v>2836</v>
      </c>
    </row>
    <row r="189" spans="1:27" ht="17.45" customHeight="1">
      <c r="A189" s="131" t="str">
        <f>IF(priority(Main[[#This Row],[Comments]])&lt;&gt;0, priority(Main[[#This Row],[Comments]]),"")</f>
        <v/>
      </c>
      <c r="B189" s="99" t="s">
        <v>2699</v>
      </c>
      <c r="C189" s="65" t="s">
        <v>2700</v>
      </c>
      <c r="D189" s="66" t="s">
        <v>2701</v>
      </c>
      <c r="E189" s="67"/>
      <c r="F189" s="67"/>
      <c r="G189" s="64" t="str">
        <f>IF(stdProdLT(Main[[#This Row],[Comments]])=0.1,"N/A",IF(stdProdLT(Main[[#This Row],[Comments]])=0,"",stdProdLT(Main[[#This Row],[Comments]])))</f>
        <v/>
      </c>
      <c r="H189" s="68" t="str">
        <f>IF(AND(Main[[#This Row],[In Stock Date]]&lt;&gt;"",Main[[#This Row],[Revised Due Date]]&lt;&gt;""),Main[[#This Row],[In Stock Date]]-Main[[#This Row],[Revised Due Date]],"")</f>
        <v/>
      </c>
      <c r="I189" s="65" t="s">
        <v>4</v>
      </c>
      <c r="J189" s="65" t="s">
        <v>4</v>
      </c>
      <c r="K189" s="65" t="s">
        <v>4</v>
      </c>
      <c r="L189" s="67"/>
      <c r="M189" s="69" t="str">
        <f>IF(Main[[#This Row],[Tech Start Date]]&lt;1/1/1990,"",IF(Main[[#This Row],[Class]]="C",WORKDAY(Main[[#This Row],[Tech Start Date]],9),IF(Main[[#This Row],[Class]]="B", WORKDAY(Main[[#This Row],[Tech Start Date]],6),IF(Main[[#This Row],[Class]]="A",WORKDAY(Main[[#This Row],[Tech Start Date]],2),""))))</f>
        <v/>
      </c>
      <c r="N189" s="69" t="str">
        <f>IF(Main[[#This Row],[Tech Start Date]]&lt;1/1/1990,"",IF(Main[[#This Row],[Class]]="C",WORKDAY(Main[[#This Row],[Tech Start Date]],19),IF(Main[[#This Row],[Class]]="B", WORKDAY(Main[[#This Row],[Tech Start Date]],12),IF(Main[[#This Row],[Class]]="A",WORKDAY(Main[[#This Row],[Tech Start Date]],4),""))))</f>
        <v/>
      </c>
      <c r="O189" s="69" t="str">
        <f>IF(Main[[#This Row],[Tech Start Date]]&lt;1/1/1990,"",IF(Main[[#This Row],[Class]]="C",WORKDAY(Main[[#This Row],[Tech Start Date]],23),IF(Main[[#This Row],[Class]]="B", WORKDAY(Main[[#This Row],[Tech Start Date]],15),IF(Main[[#This Row],[Class]]="A",WORKDAY(Main[[#This Row],[Tech Start Date]],5),""))))</f>
        <v/>
      </c>
      <c r="P189" s="69" t="str">
        <f>IF(Main[[#This Row],[Tech Start Date]]&lt;1/1/1990,"",IF(Main[[#This Row],[Class]]="C",WORKDAY(Main[[#This Row],[Tech Start Date]],28),IF(Main[[#This Row],[Class]]="B", WORKDAY(Main[[#This Row],[Tech Start Date]],19),IF(Main[[#This Row],[Class]]="A",WORKDAY(Main[[#This Row],[Tech Start Date]],9),""))))</f>
        <v/>
      </c>
      <c r="Q189" s="67">
        <v>40921</v>
      </c>
      <c r="R189" s="67"/>
      <c r="S189" s="65" t="s">
        <v>11</v>
      </c>
      <c r="T189" s="70" t="s">
        <v>4</v>
      </c>
      <c r="U189" s="65" t="s">
        <v>12</v>
      </c>
      <c r="V189" s="65" t="s">
        <v>1918</v>
      </c>
      <c r="W189" s="65" t="s">
        <v>1919</v>
      </c>
      <c r="X189" s="65" t="s">
        <v>2822</v>
      </c>
      <c r="Y189" s="65" t="s">
        <v>4</v>
      </c>
      <c r="Z189" s="65" t="s">
        <v>4</v>
      </c>
      <c r="AA189" s="65" t="s">
        <v>2822</v>
      </c>
    </row>
    <row r="190" spans="1:27" ht="17.45" customHeight="1">
      <c r="A190" s="131" t="str">
        <f>IF(priority(Main[[#This Row],[Comments]])&lt;&gt;0, priority(Main[[#This Row],[Comments]]),"")</f>
        <v/>
      </c>
      <c r="B190" s="99" t="s">
        <v>3592</v>
      </c>
      <c r="C190" s="65" t="s">
        <v>275</v>
      </c>
      <c r="D190" s="66" t="s">
        <v>3593</v>
      </c>
      <c r="E190" s="67">
        <v>40962.69332175926</v>
      </c>
      <c r="F190" s="67">
        <v>41091</v>
      </c>
      <c r="G190" s="64" t="str">
        <f>IF(stdProdLT(Main[[#This Row],[Comments]])=0.1,"N/A",IF(stdProdLT(Main[[#This Row],[Comments]])=0,"",stdProdLT(Main[[#This Row],[Comments]])))</f>
        <v>N/A</v>
      </c>
      <c r="H190" s="68" t="str">
        <f>IF(AND(Main[[#This Row],[In Stock Date]]&lt;&gt;"",Main[[#This Row],[Revised Due Date]]&lt;&gt;""),Main[[#This Row],[In Stock Date]]-Main[[#This Row],[Revised Due Date]],"")</f>
        <v/>
      </c>
      <c r="I190" s="65" t="s">
        <v>4</v>
      </c>
      <c r="J190" s="65" t="s">
        <v>4</v>
      </c>
      <c r="K190" s="65" t="s">
        <v>4</v>
      </c>
      <c r="L190" s="67"/>
      <c r="M190" s="69" t="str">
        <f>IF(Main[[#This Row],[Tech Start Date]]&lt;1/1/1990,"",IF(Main[[#This Row],[Class]]="C",WORKDAY(Main[[#This Row],[Tech Start Date]],9),IF(Main[[#This Row],[Class]]="B", WORKDAY(Main[[#This Row],[Tech Start Date]],6),IF(Main[[#This Row],[Class]]="A",WORKDAY(Main[[#This Row],[Tech Start Date]],2),""))))</f>
        <v/>
      </c>
      <c r="N190" s="69" t="str">
        <f>IF(Main[[#This Row],[Tech Start Date]]&lt;1/1/1990,"",IF(Main[[#This Row],[Class]]="C",WORKDAY(Main[[#This Row],[Tech Start Date]],19),IF(Main[[#This Row],[Class]]="B", WORKDAY(Main[[#This Row],[Tech Start Date]],12),IF(Main[[#This Row],[Class]]="A",WORKDAY(Main[[#This Row],[Tech Start Date]],4),""))))</f>
        <v/>
      </c>
      <c r="O190" s="69" t="str">
        <f>IF(Main[[#This Row],[Tech Start Date]]&lt;1/1/1990,"",IF(Main[[#This Row],[Class]]="C",WORKDAY(Main[[#This Row],[Tech Start Date]],23),IF(Main[[#This Row],[Class]]="B", WORKDAY(Main[[#This Row],[Tech Start Date]],15),IF(Main[[#This Row],[Class]]="A",WORKDAY(Main[[#This Row],[Tech Start Date]],5),""))))</f>
        <v/>
      </c>
      <c r="P190" s="69" t="str">
        <f>IF(Main[[#This Row],[Tech Start Date]]&lt;1/1/1990,"",IF(Main[[#This Row],[Class]]="C",WORKDAY(Main[[#This Row],[Tech Start Date]],28),IF(Main[[#This Row],[Class]]="B", WORKDAY(Main[[#This Row],[Tech Start Date]],19),IF(Main[[#This Row],[Class]]="A",WORKDAY(Main[[#This Row],[Tech Start Date]],9),""))))</f>
        <v/>
      </c>
      <c r="Q190" s="67"/>
      <c r="R190" s="67"/>
      <c r="S190" s="65" t="s">
        <v>17</v>
      </c>
      <c r="T190" s="70" t="s">
        <v>3594</v>
      </c>
      <c r="U190" s="65" t="s">
        <v>7</v>
      </c>
      <c r="V190" s="65" t="s">
        <v>1920</v>
      </c>
      <c r="W190" s="65" t="s">
        <v>1922</v>
      </c>
      <c r="X190" s="65" t="s">
        <v>50</v>
      </c>
      <c r="Y190" s="65" t="s">
        <v>3595</v>
      </c>
      <c r="Z190" s="65" t="s">
        <v>4</v>
      </c>
      <c r="AA190" s="65" t="s">
        <v>65</v>
      </c>
    </row>
    <row r="191" spans="1:27" ht="17.45" customHeight="1">
      <c r="A191" s="131" t="str">
        <f>IF(priority(Main[[#This Row],[Comments]])&lt;&gt;0, priority(Main[[#This Row],[Comments]]),"")</f>
        <v/>
      </c>
      <c r="B191" s="99" t="s">
        <v>2562</v>
      </c>
      <c r="C191" s="65" t="s">
        <v>4</v>
      </c>
      <c r="D191" s="66" t="s">
        <v>2563</v>
      </c>
      <c r="E191" s="67"/>
      <c r="F191" s="67"/>
      <c r="G191" s="64" t="str">
        <f>IF(stdProdLT(Main[[#This Row],[Comments]])=0.1,"N/A",IF(stdProdLT(Main[[#This Row],[Comments]])=0,"",stdProdLT(Main[[#This Row],[Comments]])))</f>
        <v/>
      </c>
      <c r="H191" s="68" t="str">
        <f>IF(AND(Main[[#This Row],[In Stock Date]]&lt;&gt;"",Main[[#This Row],[Revised Due Date]]&lt;&gt;""),Main[[#This Row],[In Stock Date]]-Main[[#This Row],[Revised Due Date]],"")</f>
        <v/>
      </c>
      <c r="I191" s="65" t="s">
        <v>30</v>
      </c>
      <c r="J191" s="65" t="s">
        <v>21</v>
      </c>
      <c r="K191" s="65" t="s">
        <v>4</v>
      </c>
      <c r="L191" s="67"/>
      <c r="M191" s="69" t="str">
        <f>IF(Main[[#This Row],[Tech Start Date]]&lt;1/1/1990,"",IF(Main[[#This Row],[Class]]="C",WORKDAY(Main[[#This Row],[Tech Start Date]],9),IF(Main[[#This Row],[Class]]="B", WORKDAY(Main[[#This Row],[Tech Start Date]],6),IF(Main[[#This Row],[Class]]="A",WORKDAY(Main[[#This Row],[Tech Start Date]],2),""))))</f>
        <v/>
      </c>
      <c r="N191" s="69" t="str">
        <f>IF(Main[[#This Row],[Tech Start Date]]&lt;1/1/1990,"",IF(Main[[#This Row],[Class]]="C",WORKDAY(Main[[#This Row],[Tech Start Date]],19),IF(Main[[#This Row],[Class]]="B", WORKDAY(Main[[#This Row],[Tech Start Date]],12),IF(Main[[#This Row],[Class]]="A",WORKDAY(Main[[#This Row],[Tech Start Date]],4),""))))</f>
        <v/>
      </c>
      <c r="O191" s="69" t="str">
        <f>IF(Main[[#This Row],[Tech Start Date]]&lt;1/1/1990,"",IF(Main[[#This Row],[Class]]="C",WORKDAY(Main[[#This Row],[Tech Start Date]],23),IF(Main[[#This Row],[Class]]="B", WORKDAY(Main[[#This Row],[Tech Start Date]],15),IF(Main[[#This Row],[Class]]="A",WORKDAY(Main[[#This Row],[Tech Start Date]],5),""))))</f>
        <v/>
      </c>
      <c r="P191" s="69" t="str">
        <f>IF(Main[[#This Row],[Tech Start Date]]&lt;1/1/1990,"",IF(Main[[#This Row],[Class]]="C",WORKDAY(Main[[#This Row],[Tech Start Date]],28),IF(Main[[#This Row],[Class]]="B", WORKDAY(Main[[#This Row],[Tech Start Date]],19),IF(Main[[#This Row],[Class]]="A",WORKDAY(Main[[#This Row],[Tech Start Date]],9),""))))</f>
        <v/>
      </c>
      <c r="Q191" s="67"/>
      <c r="R191" s="67"/>
      <c r="S191" s="65" t="s">
        <v>6</v>
      </c>
      <c r="T191" s="70" t="s">
        <v>4</v>
      </c>
      <c r="U191" s="65" t="s">
        <v>14</v>
      </c>
      <c r="V191" s="65" t="s">
        <v>1920</v>
      </c>
      <c r="W191" s="65" t="s">
        <v>1919</v>
      </c>
      <c r="X191" s="65" t="s">
        <v>306</v>
      </c>
      <c r="Y191" s="65" t="s">
        <v>4</v>
      </c>
      <c r="Z191" s="65" t="s">
        <v>30</v>
      </c>
      <c r="AA191" s="65" t="s">
        <v>3398</v>
      </c>
    </row>
    <row r="192" spans="1:27" ht="17.45" customHeight="1">
      <c r="A192" s="131" t="str">
        <f>IF(priority(Main[[#This Row],[Comments]])&lt;&gt;0, priority(Main[[#This Row],[Comments]]),"")</f>
        <v/>
      </c>
      <c r="B192" s="99" t="s">
        <v>1072</v>
      </c>
      <c r="C192" s="65" t="s">
        <v>4</v>
      </c>
      <c r="D192" s="66" t="s">
        <v>111</v>
      </c>
      <c r="E192" s="67"/>
      <c r="F192" s="67"/>
      <c r="G192" s="64" t="str">
        <f>IF(stdProdLT(Main[[#This Row],[Comments]])=0.1,"N/A",IF(stdProdLT(Main[[#This Row],[Comments]])=0,"",stdProdLT(Main[[#This Row],[Comments]])))</f>
        <v/>
      </c>
      <c r="H192" s="68" t="str">
        <f>IF(AND(Main[[#This Row],[In Stock Date]]&lt;&gt;"",Main[[#This Row],[Revised Due Date]]&lt;&gt;""),Main[[#This Row],[In Stock Date]]-Main[[#This Row],[Revised Due Date]],"")</f>
        <v/>
      </c>
      <c r="I192" s="65" t="s">
        <v>306</v>
      </c>
      <c r="J192" s="65" t="s">
        <v>75</v>
      </c>
      <c r="K192" s="65" t="s">
        <v>1926</v>
      </c>
      <c r="L192" s="67"/>
      <c r="M192" s="69" t="str">
        <f>IF(Main[[#This Row],[Tech Start Date]]&lt;1/1/1990,"",IF(Main[[#This Row],[Class]]="C",WORKDAY(Main[[#This Row],[Tech Start Date]],9),IF(Main[[#This Row],[Class]]="B", WORKDAY(Main[[#This Row],[Tech Start Date]],6),IF(Main[[#This Row],[Class]]="A",WORKDAY(Main[[#This Row],[Tech Start Date]],2),""))))</f>
        <v/>
      </c>
      <c r="N192" s="69" t="str">
        <f>IF(Main[[#This Row],[Tech Start Date]]&lt;1/1/1990,"",IF(Main[[#This Row],[Class]]="C",WORKDAY(Main[[#This Row],[Tech Start Date]],19),IF(Main[[#This Row],[Class]]="B", WORKDAY(Main[[#This Row],[Tech Start Date]],12),IF(Main[[#This Row],[Class]]="A",WORKDAY(Main[[#This Row],[Tech Start Date]],4),""))))</f>
        <v/>
      </c>
      <c r="O192" s="69" t="str">
        <f>IF(Main[[#This Row],[Tech Start Date]]&lt;1/1/1990,"",IF(Main[[#This Row],[Class]]="C",WORKDAY(Main[[#This Row],[Tech Start Date]],23),IF(Main[[#This Row],[Class]]="B", WORKDAY(Main[[#This Row],[Tech Start Date]],15),IF(Main[[#This Row],[Class]]="A",WORKDAY(Main[[#This Row],[Tech Start Date]],5),""))))</f>
        <v/>
      </c>
      <c r="P192" s="69" t="str">
        <f>IF(Main[[#This Row],[Tech Start Date]]&lt;1/1/1990,"",IF(Main[[#This Row],[Class]]="C",WORKDAY(Main[[#This Row],[Tech Start Date]],28),IF(Main[[#This Row],[Class]]="B", WORKDAY(Main[[#This Row],[Tech Start Date]],19),IF(Main[[#This Row],[Class]]="A",WORKDAY(Main[[#This Row],[Tech Start Date]],9),""))))</f>
        <v/>
      </c>
      <c r="Q192" s="67">
        <v>40336</v>
      </c>
      <c r="R192" s="67"/>
      <c r="S192" s="65" t="s">
        <v>6</v>
      </c>
      <c r="T192" s="70" t="s">
        <v>4</v>
      </c>
      <c r="U192" s="65" t="s">
        <v>14</v>
      </c>
      <c r="V192" s="65" t="s">
        <v>1920</v>
      </c>
      <c r="W192" s="65" t="s">
        <v>1919</v>
      </c>
      <c r="X192" s="65" t="s">
        <v>885</v>
      </c>
      <c r="Y192" s="65" t="s">
        <v>2969</v>
      </c>
      <c r="Z192" s="65" t="s">
        <v>30</v>
      </c>
      <c r="AA192" s="65" t="s">
        <v>885</v>
      </c>
    </row>
    <row r="193" spans="1:27" ht="17.45" customHeight="1">
      <c r="A193" s="131" t="str">
        <f>IF(priority(Main[[#This Row],[Comments]])&lt;&gt;0, priority(Main[[#This Row],[Comments]]),"")</f>
        <v/>
      </c>
      <c r="B193" s="99" t="s">
        <v>2159</v>
      </c>
      <c r="C193" s="65" t="s">
        <v>2160</v>
      </c>
      <c r="D193" s="66" t="s">
        <v>2161</v>
      </c>
      <c r="E193" s="67"/>
      <c r="F193" s="67">
        <v>40920</v>
      </c>
      <c r="G193" s="64" t="str">
        <f>IF(stdProdLT(Main[[#This Row],[Comments]])=0.1,"N/A",IF(stdProdLT(Main[[#This Row],[Comments]])=0,"",stdProdLT(Main[[#This Row],[Comments]])))</f>
        <v/>
      </c>
      <c r="H193" s="68" t="str">
        <f>IF(AND(Main[[#This Row],[In Stock Date]]&lt;&gt;"",Main[[#This Row],[Revised Due Date]]&lt;&gt;""),Main[[#This Row],[In Stock Date]]-Main[[#This Row],[Revised Due Date]],"")</f>
        <v/>
      </c>
      <c r="I193" s="65" t="s">
        <v>4</v>
      </c>
      <c r="J193" s="65" t="s">
        <v>28</v>
      </c>
      <c r="K193" s="65" t="s">
        <v>1926</v>
      </c>
      <c r="L193" s="67"/>
      <c r="M193" s="69" t="str">
        <f>IF(Main[[#This Row],[Tech Start Date]]&lt;1/1/1990,"",IF(Main[[#This Row],[Class]]="C",WORKDAY(Main[[#This Row],[Tech Start Date]],9),IF(Main[[#This Row],[Class]]="B", WORKDAY(Main[[#This Row],[Tech Start Date]],6),IF(Main[[#This Row],[Class]]="A",WORKDAY(Main[[#This Row],[Tech Start Date]],2),""))))</f>
        <v/>
      </c>
      <c r="N193" s="69" t="str">
        <f>IF(Main[[#This Row],[Tech Start Date]]&lt;1/1/1990,"",IF(Main[[#This Row],[Class]]="C",WORKDAY(Main[[#This Row],[Tech Start Date]],19),IF(Main[[#This Row],[Class]]="B", WORKDAY(Main[[#This Row],[Tech Start Date]],12),IF(Main[[#This Row],[Class]]="A",WORKDAY(Main[[#This Row],[Tech Start Date]],4),""))))</f>
        <v/>
      </c>
      <c r="O193" s="69" t="str">
        <f>IF(Main[[#This Row],[Tech Start Date]]&lt;1/1/1990,"",IF(Main[[#This Row],[Class]]="C",WORKDAY(Main[[#This Row],[Tech Start Date]],23),IF(Main[[#This Row],[Class]]="B", WORKDAY(Main[[#This Row],[Tech Start Date]],15),IF(Main[[#This Row],[Class]]="A",WORKDAY(Main[[#This Row],[Tech Start Date]],5),""))))</f>
        <v/>
      </c>
      <c r="P193" s="69" t="str">
        <f>IF(Main[[#This Row],[Tech Start Date]]&lt;1/1/1990,"",IF(Main[[#This Row],[Class]]="C",WORKDAY(Main[[#This Row],[Tech Start Date]],28),IF(Main[[#This Row],[Class]]="B", WORKDAY(Main[[#This Row],[Tech Start Date]],19),IF(Main[[#This Row],[Class]]="A",WORKDAY(Main[[#This Row],[Tech Start Date]],9),""))))</f>
        <v/>
      </c>
      <c r="Q193" s="67"/>
      <c r="R193" s="67"/>
      <c r="S193" s="65" t="s">
        <v>11</v>
      </c>
      <c r="T193" s="70" t="s">
        <v>4</v>
      </c>
      <c r="U193" s="65" t="s">
        <v>14</v>
      </c>
      <c r="V193" s="65" t="s">
        <v>1920</v>
      </c>
      <c r="W193" s="65" t="s">
        <v>1925</v>
      </c>
      <c r="X193" s="65" t="s">
        <v>50</v>
      </c>
      <c r="Y193" s="65" t="s">
        <v>2970</v>
      </c>
      <c r="Z193" s="65" t="s">
        <v>530</v>
      </c>
      <c r="AA193" s="65" t="s">
        <v>3399</v>
      </c>
    </row>
    <row r="194" spans="1:27" ht="17.45" customHeight="1">
      <c r="A194" s="131" t="str">
        <f>IF(priority(Main[[#This Row],[Comments]])&lt;&gt;0, priority(Main[[#This Row],[Comments]]),"")</f>
        <v/>
      </c>
      <c r="B194" s="99" t="s">
        <v>1850</v>
      </c>
      <c r="C194" s="65" t="s">
        <v>95</v>
      </c>
      <c r="D194" s="66" t="s">
        <v>905</v>
      </c>
      <c r="E194" s="67">
        <v>40428.41710648148</v>
      </c>
      <c r="F194" s="67"/>
      <c r="G194" s="64" t="str">
        <f>IF(stdProdLT(Main[[#This Row],[Comments]])=0.1,"N/A",IF(stdProdLT(Main[[#This Row],[Comments]])=0,"",stdProdLT(Main[[#This Row],[Comments]])))</f>
        <v/>
      </c>
      <c r="H194" s="68" t="str">
        <f>IF(AND(Main[[#This Row],[In Stock Date]]&lt;&gt;"",Main[[#This Row],[Revised Due Date]]&lt;&gt;""),Main[[#This Row],[In Stock Date]]-Main[[#This Row],[Revised Due Date]],"")</f>
        <v/>
      </c>
      <c r="I194" s="65" t="s">
        <v>415</v>
      </c>
      <c r="J194" s="65" t="s">
        <v>28</v>
      </c>
      <c r="K194" s="65" t="s">
        <v>1929</v>
      </c>
      <c r="L194" s="67"/>
      <c r="M194" s="69" t="str">
        <f>IF(Main[[#This Row],[Tech Start Date]]&lt;1/1/1990,"",IF(Main[[#This Row],[Class]]="C",WORKDAY(Main[[#This Row],[Tech Start Date]],9),IF(Main[[#This Row],[Class]]="B", WORKDAY(Main[[#This Row],[Tech Start Date]],6),IF(Main[[#This Row],[Class]]="A",WORKDAY(Main[[#This Row],[Tech Start Date]],2),""))))</f>
        <v/>
      </c>
      <c r="N194" s="69" t="str">
        <f>IF(Main[[#This Row],[Tech Start Date]]&lt;1/1/1990,"",IF(Main[[#This Row],[Class]]="C",WORKDAY(Main[[#This Row],[Tech Start Date]],19),IF(Main[[#This Row],[Class]]="B", WORKDAY(Main[[#This Row],[Tech Start Date]],12),IF(Main[[#This Row],[Class]]="A",WORKDAY(Main[[#This Row],[Tech Start Date]],4),""))))</f>
        <v/>
      </c>
      <c r="O194" s="69" t="str">
        <f>IF(Main[[#This Row],[Tech Start Date]]&lt;1/1/1990,"",IF(Main[[#This Row],[Class]]="C",WORKDAY(Main[[#This Row],[Tech Start Date]],23),IF(Main[[#This Row],[Class]]="B", WORKDAY(Main[[#This Row],[Tech Start Date]],15),IF(Main[[#This Row],[Class]]="A",WORKDAY(Main[[#This Row],[Tech Start Date]],5),""))))</f>
        <v/>
      </c>
      <c r="P194" s="69" t="str">
        <f>IF(Main[[#This Row],[Tech Start Date]]&lt;1/1/1990,"",IF(Main[[#This Row],[Class]]="C",WORKDAY(Main[[#This Row],[Tech Start Date]],28),IF(Main[[#This Row],[Class]]="B", WORKDAY(Main[[#This Row],[Tech Start Date]],19),IF(Main[[#This Row],[Class]]="A",WORKDAY(Main[[#This Row],[Tech Start Date]],9),""))))</f>
        <v/>
      </c>
      <c r="Q194" s="67">
        <v>40512</v>
      </c>
      <c r="R194" s="67">
        <v>40918</v>
      </c>
      <c r="S194" s="65" t="s">
        <v>17</v>
      </c>
      <c r="T194" s="70" t="s">
        <v>4</v>
      </c>
      <c r="U194" s="65" t="s">
        <v>29</v>
      </c>
      <c r="V194" s="65" t="s">
        <v>1920</v>
      </c>
      <c r="W194" s="65" t="s">
        <v>1923</v>
      </c>
      <c r="X194" s="65" t="s">
        <v>415</v>
      </c>
      <c r="Y194" s="65" t="s">
        <v>2981</v>
      </c>
      <c r="Z194" s="65" t="s">
        <v>970</v>
      </c>
      <c r="AA194" s="65" t="s">
        <v>415</v>
      </c>
    </row>
    <row r="195" spans="1:27" ht="17.45" customHeight="1">
      <c r="A195" s="131" t="str">
        <f>IF(priority(Main[[#This Row],[Comments]])&lt;&gt;0, priority(Main[[#This Row],[Comments]]),"")</f>
        <v/>
      </c>
      <c r="B195" s="99" t="s">
        <v>1073</v>
      </c>
      <c r="C195" s="65" t="s">
        <v>4</v>
      </c>
      <c r="D195" s="66" t="s">
        <v>112</v>
      </c>
      <c r="E195" s="67"/>
      <c r="F195" s="67"/>
      <c r="G195" s="64" t="str">
        <f>IF(stdProdLT(Main[[#This Row],[Comments]])=0.1,"N/A",IF(stdProdLT(Main[[#This Row],[Comments]])=0,"",stdProdLT(Main[[#This Row],[Comments]])))</f>
        <v/>
      </c>
      <c r="H195" s="68" t="str">
        <f>IF(AND(Main[[#This Row],[In Stock Date]]&lt;&gt;"",Main[[#This Row],[Revised Due Date]]&lt;&gt;""),Main[[#This Row],[In Stock Date]]-Main[[#This Row],[Revised Due Date]],"")</f>
        <v/>
      </c>
      <c r="I195" s="65" t="s">
        <v>4</v>
      </c>
      <c r="J195" s="65" t="s">
        <v>4</v>
      </c>
      <c r="K195" s="65" t="s">
        <v>4</v>
      </c>
      <c r="L195" s="67"/>
      <c r="M195" s="69" t="str">
        <f>IF(Main[[#This Row],[Tech Start Date]]&lt;1/1/1990,"",IF(Main[[#This Row],[Class]]="C",WORKDAY(Main[[#This Row],[Tech Start Date]],9),IF(Main[[#This Row],[Class]]="B", WORKDAY(Main[[#This Row],[Tech Start Date]],6),IF(Main[[#This Row],[Class]]="A",WORKDAY(Main[[#This Row],[Tech Start Date]],2),""))))</f>
        <v/>
      </c>
      <c r="N195" s="69" t="str">
        <f>IF(Main[[#This Row],[Tech Start Date]]&lt;1/1/1990,"",IF(Main[[#This Row],[Class]]="C",WORKDAY(Main[[#This Row],[Tech Start Date]],19),IF(Main[[#This Row],[Class]]="B", WORKDAY(Main[[#This Row],[Tech Start Date]],12),IF(Main[[#This Row],[Class]]="A",WORKDAY(Main[[#This Row],[Tech Start Date]],4),""))))</f>
        <v/>
      </c>
      <c r="O195" s="69" t="str">
        <f>IF(Main[[#This Row],[Tech Start Date]]&lt;1/1/1990,"",IF(Main[[#This Row],[Class]]="C",WORKDAY(Main[[#This Row],[Tech Start Date]],23),IF(Main[[#This Row],[Class]]="B", WORKDAY(Main[[#This Row],[Tech Start Date]],15),IF(Main[[#This Row],[Class]]="A",WORKDAY(Main[[#This Row],[Tech Start Date]],5),""))))</f>
        <v/>
      </c>
      <c r="P195" s="69" t="str">
        <f>IF(Main[[#This Row],[Tech Start Date]]&lt;1/1/1990,"",IF(Main[[#This Row],[Class]]="C",WORKDAY(Main[[#This Row],[Tech Start Date]],28),IF(Main[[#This Row],[Class]]="B", WORKDAY(Main[[#This Row],[Tech Start Date]],19),IF(Main[[#This Row],[Class]]="A",WORKDAY(Main[[#This Row],[Tech Start Date]],9),""))))</f>
        <v/>
      </c>
      <c r="Q195" s="67"/>
      <c r="R195" s="67"/>
      <c r="S195" s="65" t="s">
        <v>23</v>
      </c>
      <c r="T195" s="70" t="s">
        <v>4</v>
      </c>
      <c r="U195" s="65" t="s">
        <v>14</v>
      </c>
      <c r="V195" s="65" t="s">
        <v>1917</v>
      </c>
      <c r="W195" s="65" t="s">
        <v>1925</v>
      </c>
      <c r="X195" s="65" t="s">
        <v>306</v>
      </c>
      <c r="Y195" s="65" t="s">
        <v>4</v>
      </c>
      <c r="Z195" s="65" t="s">
        <v>4</v>
      </c>
      <c r="AA195" s="65" t="s">
        <v>3395</v>
      </c>
    </row>
    <row r="196" spans="1:27" ht="17.45" customHeight="1">
      <c r="A196" s="131" t="str">
        <f>IF(priority(Main[[#This Row],[Comments]])&lt;&gt;0, priority(Main[[#This Row],[Comments]]),"")</f>
        <v/>
      </c>
      <c r="B196" s="99" t="s">
        <v>1074</v>
      </c>
      <c r="C196" s="65" t="s">
        <v>113</v>
      </c>
      <c r="D196" s="66" t="s">
        <v>114</v>
      </c>
      <c r="E196" s="67"/>
      <c r="F196" s="67"/>
      <c r="G196" s="64" t="str">
        <f>IF(stdProdLT(Main[[#This Row],[Comments]])=0.1,"N/A",IF(stdProdLT(Main[[#This Row],[Comments]])=0,"",stdProdLT(Main[[#This Row],[Comments]])))</f>
        <v/>
      </c>
      <c r="H196" s="68" t="str">
        <f>IF(AND(Main[[#This Row],[In Stock Date]]&lt;&gt;"",Main[[#This Row],[Revised Due Date]]&lt;&gt;""),Main[[#This Row],[In Stock Date]]-Main[[#This Row],[Revised Due Date]],"")</f>
        <v/>
      </c>
      <c r="I196" s="65" t="s">
        <v>4</v>
      </c>
      <c r="J196" s="65" t="s">
        <v>28</v>
      </c>
      <c r="K196" s="65" t="s">
        <v>4</v>
      </c>
      <c r="L196" s="67"/>
      <c r="M196" s="69" t="str">
        <f>IF(Main[[#This Row],[Tech Start Date]]&lt;1/1/1990,"",IF(Main[[#This Row],[Class]]="C",WORKDAY(Main[[#This Row],[Tech Start Date]],9),IF(Main[[#This Row],[Class]]="B", WORKDAY(Main[[#This Row],[Tech Start Date]],6),IF(Main[[#This Row],[Class]]="A",WORKDAY(Main[[#This Row],[Tech Start Date]],2),""))))</f>
        <v/>
      </c>
      <c r="N196" s="69" t="str">
        <f>IF(Main[[#This Row],[Tech Start Date]]&lt;1/1/1990,"",IF(Main[[#This Row],[Class]]="C",WORKDAY(Main[[#This Row],[Tech Start Date]],19),IF(Main[[#This Row],[Class]]="B", WORKDAY(Main[[#This Row],[Tech Start Date]],12),IF(Main[[#This Row],[Class]]="A",WORKDAY(Main[[#This Row],[Tech Start Date]],4),""))))</f>
        <v/>
      </c>
      <c r="O196" s="69" t="str">
        <f>IF(Main[[#This Row],[Tech Start Date]]&lt;1/1/1990,"",IF(Main[[#This Row],[Class]]="C",WORKDAY(Main[[#This Row],[Tech Start Date]],23),IF(Main[[#This Row],[Class]]="B", WORKDAY(Main[[#This Row],[Tech Start Date]],15),IF(Main[[#This Row],[Class]]="A",WORKDAY(Main[[#This Row],[Tech Start Date]],5),""))))</f>
        <v/>
      </c>
      <c r="P196" s="69" t="str">
        <f>IF(Main[[#This Row],[Tech Start Date]]&lt;1/1/1990,"",IF(Main[[#This Row],[Class]]="C",WORKDAY(Main[[#This Row],[Tech Start Date]],28),IF(Main[[#This Row],[Class]]="B", WORKDAY(Main[[#This Row],[Tech Start Date]],19),IF(Main[[#This Row],[Class]]="A",WORKDAY(Main[[#This Row],[Tech Start Date]],9),""))))</f>
        <v/>
      </c>
      <c r="Q196" s="67">
        <v>40634</v>
      </c>
      <c r="R196" s="67"/>
      <c r="S196" s="65" t="s">
        <v>11</v>
      </c>
      <c r="T196" s="70" t="s">
        <v>4</v>
      </c>
      <c r="U196" s="65" t="s">
        <v>12</v>
      </c>
      <c r="V196" s="65" t="s">
        <v>1917</v>
      </c>
      <c r="W196" s="65" t="s">
        <v>1919</v>
      </c>
      <c r="X196" s="65" t="s">
        <v>2839</v>
      </c>
      <c r="Y196" s="65" t="s">
        <v>2945</v>
      </c>
      <c r="Z196" s="65" t="s">
        <v>129</v>
      </c>
      <c r="AA196" s="65" t="s">
        <v>2839</v>
      </c>
    </row>
    <row r="197" spans="1:27" ht="17.45" customHeight="1">
      <c r="A197" s="131" t="str">
        <f>IF(priority(Main[[#This Row],[Comments]])&lt;&gt;0, priority(Main[[#This Row],[Comments]]),"")</f>
        <v/>
      </c>
      <c r="B197" s="99" t="s">
        <v>1955</v>
      </c>
      <c r="C197" s="65" t="s">
        <v>4</v>
      </c>
      <c r="D197" s="66" t="s">
        <v>1980</v>
      </c>
      <c r="E197" s="67"/>
      <c r="F197" s="67"/>
      <c r="G197" s="64" t="str">
        <f>IF(stdProdLT(Main[[#This Row],[Comments]])=0.1,"N/A",IF(stdProdLT(Main[[#This Row],[Comments]])=0,"",stdProdLT(Main[[#This Row],[Comments]])))</f>
        <v/>
      </c>
      <c r="H197" s="68" t="str">
        <f>IF(AND(Main[[#This Row],[In Stock Date]]&lt;&gt;"",Main[[#This Row],[Revised Due Date]]&lt;&gt;""),Main[[#This Row],[In Stock Date]]-Main[[#This Row],[Revised Due Date]],"")</f>
        <v/>
      </c>
      <c r="I197" s="65" t="s">
        <v>4</v>
      </c>
      <c r="J197" s="65" t="s">
        <v>4</v>
      </c>
      <c r="K197" s="65" t="s">
        <v>4</v>
      </c>
      <c r="L197" s="67"/>
      <c r="M197" s="69" t="str">
        <f>IF(Main[[#This Row],[Tech Start Date]]&lt;1/1/1990,"",IF(Main[[#This Row],[Class]]="C",WORKDAY(Main[[#This Row],[Tech Start Date]],9),IF(Main[[#This Row],[Class]]="B", WORKDAY(Main[[#This Row],[Tech Start Date]],6),IF(Main[[#This Row],[Class]]="A",WORKDAY(Main[[#This Row],[Tech Start Date]],2),""))))</f>
        <v/>
      </c>
      <c r="N197" s="69" t="str">
        <f>IF(Main[[#This Row],[Tech Start Date]]&lt;1/1/1990,"",IF(Main[[#This Row],[Class]]="C",WORKDAY(Main[[#This Row],[Tech Start Date]],19),IF(Main[[#This Row],[Class]]="B", WORKDAY(Main[[#This Row],[Tech Start Date]],12),IF(Main[[#This Row],[Class]]="A",WORKDAY(Main[[#This Row],[Tech Start Date]],4),""))))</f>
        <v/>
      </c>
      <c r="O197" s="69" t="str">
        <f>IF(Main[[#This Row],[Tech Start Date]]&lt;1/1/1990,"",IF(Main[[#This Row],[Class]]="C",WORKDAY(Main[[#This Row],[Tech Start Date]],23),IF(Main[[#This Row],[Class]]="B", WORKDAY(Main[[#This Row],[Tech Start Date]],15),IF(Main[[#This Row],[Class]]="A",WORKDAY(Main[[#This Row],[Tech Start Date]],5),""))))</f>
        <v/>
      </c>
      <c r="P197" s="69" t="str">
        <f>IF(Main[[#This Row],[Tech Start Date]]&lt;1/1/1990,"",IF(Main[[#This Row],[Class]]="C",WORKDAY(Main[[#This Row],[Tech Start Date]],28),IF(Main[[#This Row],[Class]]="B", WORKDAY(Main[[#This Row],[Tech Start Date]],19),IF(Main[[#This Row],[Class]]="A",WORKDAY(Main[[#This Row],[Tech Start Date]],9),""))))</f>
        <v/>
      </c>
      <c r="Q197" s="67">
        <v>40737</v>
      </c>
      <c r="R197" s="67"/>
      <c r="S197" s="65" t="s">
        <v>6</v>
      </c>
      <c r="T197" s="70" t="s">
        <v>4</v>
      </c>
      <c r="U197" s="65" t="s">
        <v>14</v>
      </c>
      <c r="V197" s="65" t="s">
        <v>1920</v>
      </c>
      <c r="W197" s="65" t="s">
        <v>1921</v>
      </c>
      <c r="X197" s="65" t="s">
        <v>2842</v>
      </c>
      <c r="Y197" s="65" t="s">
        <v>2971</v>
      </c>
      <c r="Z197" s="65" t="s">
        <v>4</v>
      </c>
      <c r="AA197" s="65" t="s">
        <v>2842</v>
      </c>
    </row>
    <row r="198" spans="1:27" ht="17.45" customHeight="1">
      <c r="A198" s="131" t="str">
        <f>IF(priority(Main[[#This Row],[Comments]])&lt;&gt;0, priority(Main[[#This Row],[Comments]]),"")</f>
        <v/>
      </c>
      <c r="B198" s="99" t="s">
        <v>2768</v>
      </c>
      <c r="C198" s="65" t="s">
        <v>4</v>
      </c>
      <c r="D198" s="66" t="s">
        <v>2769</v>
      </c>
      <c r="E198" s="67">
        <v>40905.638495370367</v>
      </c>
      <c r="F198" s="67"/>
      <c r="G198" s="64" t="str">
        <f>IF(stdProdLT(Main[[#This Row],[Comments]])=0.1,"N/A",IF(stdProdLT(Main[[#This Row],[Comments]])=0,"",stdProdLT(Main[[#This Row],[Comments]])))</f>
        <v/>
      </c>
      <c r="H198" s="68" t="str">
        <f>IF(AND(Main[[#This Row],[In Stock Date]]&lt;&gt;"",Main[[#This Row],[Revised Due Date]]&lt;&gt;""),Main[[#This Row],[In Stock Date]]-Main[[#This Row],[Revised Due Date]],"")</f>
        <v/>
      </c>
      <c r="I198" s="65" t="s">
        <v>2047</v>
      </c>
      <c r="J198" s="65" t="s">
        <v>52</v>
      </c>
      <c r="K198" s="65" t="s">
        <v>1926</v>
      </c>
      <c r="L198" s="67"/>
      <c r="M198" s="69" t="str">
        <f>IF(Main[[#This Row],[Tech Start Date]]&lt;1/1/1990,"",IF(Main[[#This Row],[Class]]="C",WORKDAY(Main[[#This Row],[Tech Start Date]],9),IF(Main[[#This Row],[Class]]="B", WORKDAY(Main[[#This Row],[Tech Start Date]],6),IF(Main[[#This Row],[Class]]="A",WORKDAY(Main[[#This Row],[Tech Start Date]],2),""))))</f>
        <v/>
      </c>
      <c r="N198" s="69" t="str">
        <f>IF(Main[[#This Row],[Tech Start Date]]&lt;1/1/1990,"",IF(Main[[#This Row],[Class]]="C",WORKDAY(Main[[#This Row],[Tech Start Date]],19),IF(Main[[#This Row],[Class]]="B", WORKDAY(Main[[#This Row],[Tech Start Date]],12),IF(Main[[#This Row],[Class]]="A",WORKDAY(Main[[#This Row],[Tech Start Date]],4),""))))</f>
        <v/>
      </c>
      <c r="O198" s="69" t="str">
        <f>IF(Main[[#This Row],[Tech Start Date]]&lt;1/1/1990,"",IF(Main[[#This Row],[Class]]="C",WORKDAY(Main[[#This Row],[Tech Start Date]],23),IF(Main[[#This Row],[Class]]="B", WORKDAY(Main[[#This Row],[Tech Start Date]],15),IF(Main[[#This Row],[Class]]="A",WORKDAY(Main[[#This Row],[Tech Start Date]],5),""))))</f>
        <v/>
      </c>
      <c r="P198" s="69" t="str">
        <f>IF(Main[[#This Row],[Tech Start Date]]&lt;1/1/1990,"",IF(Main[[#This Row],[Class]]="C",WORKDAY(Main[[#This Row],[Tech Start Date]],28),IF(Main[[#This Row],[Class]]="B", WORKDAY(Main[[#This Row],[Tech Start Date]],19),IF(Main[[#This Row],[Class]]="A",WORKDAY(Main[[#This Row],[Tech Start Date]],9),""))))</f>
        <v/>
      </c>
      <c r="Q198" s="67">
        <v>41027</v>
      </c>
      <c r="R198" s="67"/>
      <c r="S198" s="65" t="s">
        <v>6</v>
      </c>
      <c r="T198" s="70" t="s">
        <v>4</v>
      </c>
      <c r="U198" s="65" t="s">
        <v>29</v>
      </c>
      <c r="V198" s="65" t="s">
        <v>1920</v>
      </c>
      <c r="W198" s="65" t="s">
        <v>1921</v>
      </c>
      <c r="X198" s="65" t="s">
        <v>30</v>
      </c>
      <c r="Y198" s="65" t="s">
        <v>2946</v>
      </c>
      <c r="Z198" s="65" t="s">
        <v>30</v>
      </c>
      <c r="AA198" s="65" t="s">
        <v>30</v>
      </c>
    </row>
    <row r="199" spans="1:27" ht="17.45" customHeight="1">
      <c r="A199" s="131" t="str">
        <f>IF(priority(Main[[#This Row],[Comments]])&lt;&gt;0, priority(Main[[#This Row],[Comments]]),"")</f>
        <v/>
      </c>
      <c r="B199" s="99" t="s">
        <v>1858</v>
      </c>
      <c r="C199" s="65" t="s">
        <v>99</v>
      </c>
      <c r="D199" s="66" t="s">
        <v>913</v>
      </c>
      <c r="E199" s="67"/>
      <c r="F199" s="67">
        <v>40525</v>
      </c>
      <c r="G199" s="64" t="str">
        <f>IF(stdProdLT(Main[[#This Row],[Comments]])=0.1,"N/A",IF(stdProdLT(Main[[#This Row],[Comments]])=0,"",stdProdLT(Main[[#This Row],[Comments]])))</f>
        <v/>
      </c>
      <c r="H199" s="68">
        <f>IF(AND(Main[[#This Row],[In Stock Date]]&lt;&gt;"",Main[[#This Row],[Revised Due Date]]&lt;&gt;""),Main[[#This Row],[In Stock Date]]-Main[[#This Row],[Revised Due Date]],"")</f>
        <v>-46</v>
      </c>
      <c r="I199" s="65" t="s">
        <v>914</v>
      </c>
      <c r="J199" s="65" t="s">
        <v>21</v>
      </c>
      <c r="K199" s="65" t="s">
        <v>1930</v>
      </c>
      <c r="L199" s="67"/>
      <c r="M199" s="69" t="str">
        <f>IF(Main[[#This Row],[Tech Start Date]]&lt;1/1/1990,"",IF(Main[[#This Row],[Class]]="C",WORKDAY(Main[[#This Row],[Tech Start Date]],9),IF(Main[[#This Row],[Class]]="B", WORKDAY(Main[[#This Row],[Tech Start Date]],6),IF(Main[[#This Row],[Class]]="A",WORKDAY(Main[[#This Row],[Tech Start Date]],2),""))))</f>
        <v/>
      </c>
      <c r="N199" s="69" t="str">
        <f>IF(Main[[#This Row],[Tech Start Date]]&lt;1/1/1990,"",IF(Main[[#This Row],[Class]]="C",WORKDAY(Main[[#This Row],[Tech Start Date]],19),IF(Main[[#This Row],[Class]]="B", WORKDAY(Main[[#This Row],[Tech Start Date]],12),IF(Main[[#This Row],[Class]]="A",WORKDAY(Main[[#This Row],[Tech Start Date]],4),""))))</f>
        <v/>
      </c>
      <c r="O199" s="69" t="str">
        <f>IF(Main[[#This Row],[Tech Start Date]]&lt;1/1/1990,"",IF(Main[[#This Row],[Class]]="C",WORKDAY(Main[[#This Row],[Tech Start Date]],23),IF(Main[[#This Row],[Class]]="B", WORKDAY(Main[[#This Row],[Tech Start Date]],15),IF(Main[[#This Row],[Class]]="A",WORKDAY(Main[[#This Row],[Tech Start Date]],5),""))))</f>
        <v/>
      </c>
      <c r="P199" s="69" t="str">
        <f>IF(Main[[#This Row],[Tech Start Date]]&lt;1/1/1990,"",IF(Main[[#This Row],[Class]]="C",WORKDAY(Main[[#This Row],[Tech Start Date]],28),IF(Main[[#This Row],[Class]]="B", WORKDAY(Main[[#This Row],[Tech Start Date]],19),IF(Main[[#This Row],[Class]]="A",WORKDAY(Main[[#This Row],[Tech Start Date]],9),""))))</f>
        <v/>
      </c>
      <c r="Q199" s="67">
        <v>40525</v>
      </c>
      <c r="R199" s="67">
        <v>40571</v>
      </c>
      <c r="S199" s="65" t="s">
        <v>11</v>
      </c>
      <c r="T199" s="70" t="s">
        <v>4</v>
      </c>
      <c r="U199" s="65" t="s">
        <v>14</v>
      </c>
      <c r="V199" s="65" t="s">
        <v>1917</v>
      </c>
      <c r="W199" s="65" t="s">
        <v>1922</v>
      </c>
      <c r="X199" s="65" t="s">
        <v>2843</v>
      </c>
      <c r="Y199" s="65" t="s">
        <v>2972</v>
      </c>
      <c r="Z199" s="65" t="s">
        <v>129</v>
      </c>
      <c r="AA199" s="65" t="s">
        <v>2840</v>
      </c>
    </row>
    <row r="200" spans="1:27" ht="17.45" customHeight="1">
      <c r="A200" s="131" t="str">
        <f>IF(priority(Main[[#This Row],[Comments]])&lt;&gt;0, priority(Main[[#This Row],[Comments]]),"")</f>
        <v/>
      </c>
      <c r="B200" s="99" t="s">
        <v>1861</v>
      </c>
      <c r="C200" s="65" t="s">
        <v>31</v>
      </c>
      <c r="D200" s="66" t="s">
        <v>917</v>
      </c>
      <c r="E200" s="67"/>
      <c r="F200" s="67">
        <v>40664</v>
      </c>
      <c r="G200" s="64" t="str">
        <f>IF(stdProdLT(Main[[#This Row],[Comments]])=0.1,"N/A",IF(stdProdLT(Main[[#This Row],[Comments]])=0,"",stdProdLT(Main[[#This Row],[Comments]])))</f>
        <v/>
      </c>
      <c r="H200" s="68">
        <f>IF(AND(Main[[#This Row],[In Stock Date]]&lt;&gt;"",Main[[#This Row],[Revised Due Date]]&lt;&gt;""),Main[[#This Row],[In Stock Date]]-Main[[#This Row],[Revised Due Date]],"")</f>
        <v>87</v>
      </c>
      <c r="I200" s="65" t="s">
        <v>399</v>
      </c>
      <c r="J200" s="65" t="s">
        <v>75</v>
      </c>
      <c r="K200" s="65" t="s">
        <v>1926</v>
      </c>
      <c r="L200" s="67"/>
      <c r="M200" s="69" t="str">
        <f>IF(Main[[#This Row],[Tech Start Date]]&lt;1/1/1990,"",IF(Main[[#This Row],[Class]]="C",WORKDAY(Main[[#This Row],[Tech Start Date]],9),IF(Main[[#This Row],[Class]]="B", WORKDAY(Main[[#This Row],[Tech Start Date]],6),IF(Main[[#This Row],[Class]]="A",WORKDAY(Main[[#This Row],[Tech Start Date]],2),""))))</f>
        <v/>
      </c>
      <c r="N200" s="69" t="str">
        <f>IF(Main[[#This Row],[Tech Start Date]]&lt;1/1/1990,"",IF(Main[[#This Row],[Class]]="C",WORKDAY(Main[[#This Row],[Tech Start Date]],19),IF(Main[[#This Row],[Class]]="B", WORKDAY(Main[[#This Row],[Tech Start Date]],12),IF(Main[[#This Row],[Class]]="A",WORKDAY(Main[[#This Row],[Tech Start Date]],4),""))))</f>
        <v/>
      </c>
      <c r="O200" s="69" t="str">
        <f>IF(Main[[#This Row],[Tech Start Date]]&lt;1/1/1990,"",IF(Main[[#This Row],[Class]]="C",WORKDAY(Main[[#This Row],[Tech Start Date]],23),IF(Main[[#This Row],[Class]]="B", WORKDAY(Main[[#This Row],[Tech Start Date]],15),IF(Main[[#This Row],[Class]]="A",WORKDAY(Main[[#This Row],[Tech Start Date]],5),""))))</f>
        <v/>
      </c>
      <c r="P200" s="69" t="str">
        <f>IF(Main[[#This Row],[Tech Start Date]]&lt;1/1/1990,"",IF(Main[[#This Row],[Class]]="C",WORKDAY(Main[[#This Row],[Tech Start Date]],28),IF(Main[[#This Row],[Class]]="B", WORKDAY(Main[[#This Row],[Tech Start Date]],19),IF(Main[[#This Row],[Class]]="A",WORKDAY(Main[[#This Row],[Tech Start Date]],9),""))))</f>
        <v/>
      </c>
      <c r="Q200" s="67"/>
      <c r="R200" s="67">
        <v>40577</v>
      </c>
      <c r="S200" s="65" t="s">
        <v>11</v>
      </c>
      <c r="T200" s="70" t="s">
        <v>4</v>
      </c>
      <c r="U200" s="65" t="s">
        <v>14</v>
      </c>
      <c r="V200" s="65" t="s">
        <v>1920</v>
      </c>
      <c r="W200" s="65" t="s">
        <v>1923</v>
      </c>
      <c r="X200" s="65" t="s">
        <v>2831</v>
      </c>
      <c r="Y200" s="65" t="s">
        <v>2973</v>
      </c>
      <c r="Z200" s="65" t="s">
        <v>530</v>
      </c>
      <c r="AA200" s="65" t="s">
        <v>2831</v>
      </c>
    </row>
    <row r="201" spans="1:27" ht="17.45" customHeight="1">
      <c r="A201" s="131" t="str">
        <f>IF(priority(Main[[#This Row],[Comments]])&lt;&gt;0, priority(Main[[#This Row],[Comments]]),"")</f>
        <v/>
      </c>
      <c r="B201" s="99" t="s">
        <v>1083</v>
      </c>
      <c r="C201" s="65" t="s">
        <v>4</v>
      </c>
      <c r="D201" s="66" t="s">
        <v>124</v>
      </c>
      <c r="E201" s="67"/>
      <c r="F201" s="67"/>
      <c r="G201" s="64" t="str">
        <f>IF(stdProdLT(Main[[#This Row],[Comments]])=0.1,"N/A",IF(stdProdLT(Main[[#This Row],[Comments]])=0,"",stdProdLT(Main[[#This Row],[Comments]])))</f>
        <v/>
      </c>
      <c r="H201" s="68" t="str">
        <f>IF(AND(Main[[#This Row],[In Stock Date]]&lt;&gt;"",Main[[#This Row],[Revised Due Date]]&lt;&gt;""),Main[[#This Row],[In Stock Date]]-Main[[#This Row],[Revised Due Date]],"")</f>
        <v/>
      </c>
      <c r="I201" s="65" t="s">
        <v>4</v>
      </c>
      <c r="J201" s="65" t="s">
        <v>4</v>
      </c>
      <c r="K201" s="71" t="s">
        <v>4</v>
      </c>
      <c r="L201" s="67"/>
      <c r="M201" s="69" t="str">
        <f>IF(Main[[#This Row],[Tech Start Date]]&lt;1/1/1990,"",IF(Main[[#This Row],[Class]]="C",WORKDAY(Main[[#This Row],[Tech Start Date]],9),IF(Main[[#This Row],[Class]]="B", WORKDAY(Main[[#This Row],[Tech Start Date]],6),IF(Main[[#This Row],[Class]]="A",WORKDAY(Main[[#This Row],[Tech Start Date]],2),""))))</f>
        <v/>
      </c>
      <c r="N201" s="69" t="str">
        <f>IF(Main[[#This Row],[Tech Start Date]]&lt;1/1/1990,"",IF(Main[[#This Row],[Class]]="C",WORKDAY(Main[[#This Row],[Tech Start Date]],19),IF(Main[[#This Row],[Class]]="B", WORKDAY(Main[[#This Row],[Tech Start Date]],12),IF(Main[[#This Row],[Class]]="A",WORKDAY(Main[[#This Row],[Tech Start Date]],4),""))))</f>
        <v/>
      </c>
      <c r="O201" s="69" t="str">
        <f>IF(Main[[#This Row],[Tech Start Date]]&lt;1/1/1990,"",IF(Main[[#This Row],[Class]]="C",WORKDAY(Main[[#This Row],[Tech Start Date]],23),IF(Main[[#This Row],[Class]]="B", WORKDAY(Main[[#This Row],[Tech Start Date]],15),IF(Main[[#This Row],[Class]]="A",WORKDAY(Main[[#This Row],[Tech Start Date]],5),""))))</f>
        <v/>
      </c>
      <c r="P201" s="69" t="str">
        <f>IF(Main[[#This Row],[Tech Start Date]]&lt;1/1/1990,"",IF(Main[[#This Row],[Class]]="C",WORKDAY(Main[[#This Row],[Tech Start Date]],28),IF(Main[[#This Row],[Class]]="B", WORKDAY(Main[[#This Row],[Tech Start Date]],19),IF(Main[[#This Row],[Class]]="A",WORKDAY(Main[[#This Row],[Tech Start Date]],9),""))))</f>
        <v/>
      </c>
      <c r="Q201" s="67">
        <v>40613</v>
      </c>
      <c r="R201" s="67"/>
      <c r="S201" s="65" t="s">
        <v>6</v>
      </c>
      <c r="T201" s="70" t="s">
        <v>4</v>
      </c>
      <c r="U201" s="65" t="s">
        <v>12</v>
      </c>
      <c r="V201" s="65" t="s">
        <v>1917</v>
      </c>
      <c r="W201" s="65" t="s">
        <v>1931</v>
      </c>
      <c r="X201" s="65" t="s">
        <v>126</v>
      </c>
      <c r="Y201" s="65" t="s">
        <v>4</v>
      </c>
      <c r="Z201" s="65" t="s">
        <v>4</v>
      </c>
      <c r="AA201" s="65" t="s">
        <v>3400</v>
      </c>
    </row>
    <row r="202" spans="1:27" ht="17.45" customHeight="1">
      <c r="A202" s="131" t="str">
        <f>IF(priority(Main[[#This Row],[Comments]])&lt;&gt;0, priority(Main[[#This Row],[Comments]]),"")</f>
        <v/>
      </c>
      <c r="B202" s="99" t="s">
        <v>2178</v>
      </c>
      <c r="C202" s="65" t="s">
        <v>2179</v>
      </c>
      <c r="D202" s="66" t="s">
        <v>2180</v>
      </c>
      <c r="E202" s="67"/>
      <c r="F202" s="67">
        <v>40829</v>
      </c>
      <c r="G202" s="64" t="str">
        <f>IF(stdProdLT(Main[[#This Row],[Comments]])=0.1,"N/A",IF(stdProdLT(Main[[#This Row],[Comments]])=0,"",stdProdLT(Main[[#This Row],[Comments]])))</f>
        <v/>
      </c>
      <c r="H202" s="68" t="str">
        <f>IF(AND(Main[[#This Row],[In Stock Date]]&lt;&gt;"",Main[[#This Row],[Revised Due Date]]&lt;&gt;""),Main[[#This Row],[In Stock Date]]-Main[[#This Row],[Revised Due Date]],"")</f>
        <v/>
      </c>
      <c r="I202" s="65" t="s">
        <v>4</v>
      </c>
      <c r="J202" s="65" t="s">
        <v>4</v>
      </c>
      <c r="K202" s="65" t="s">
        <v>4</v>
      </c>
      <c r="L202" s="67"/>
      <c r="M202" s="69" t="str">
        <f>IF(Main[[#This Row],[Tech Start Date]]&lt;1/1/1990,"",IF(Main[[#This Row],[Class]]="C",WORKDAY(Main[[#This Row],[Tech Start Date]],9),IF(Main[[#This Row],[Class]]="B", WORKDAY(Main[[#This Row],[Tech Start Date]],6),IF(Main[[#This Row],[Class]]="A",WORKDAY(Main[[#This Row],[Tech Start Date]],2),""))))</f>
        <v/>
      </c>
      <c r="N202" s="69" t="str">
        <f>IF(Main[[#This Row],[Tech Start Date]]&lt;1/1/1990,"",IF(Main[[#This Row],[Class]]="C",WORKDAY(Main[[#This Row],[Tech Start Date]],19),IF(Main[[#This Row],[Class]]="B", WORKDAY(Main[[#This Row],[Tech Start Date]],12),IF(Main[[#This Row],[Class]]="A",WORKDAY(Main[[#This Row],[Tech Start Date]],4),""))))</f>
        <v/>
      </c>
      <c r="O202" s="69" t="str">
        <f>IF(Main[[#This Row],[Tech Start Date]]&lt;1/1/1990,"",IF(Main[[#This Row],[Class]]="C",WORKDAY(Main[[#This Row],[Tech Start Date]],23),IF(Main[[#This Row],[Class]]="B", WORKDAY(Main[[#This Row],[Tech Start Date]],15),IF(Main[[#This Row],[Class]]="A",WORKDAY(Main[[#This Row],[Tech Start Date]],5),""))))</f>
        <v/>
      </c>
      <c r="P202" s="69" t="str">
        <f>IF(Main[[#This Row],[Tech Start Date]]&lt;1/1/1990,"",IF(Main[[#This Row],[Class]]="C",WORKDAY(Main[[#This Row],[Tech Start Date]],28),IF(Main[[#This Row],[Class]]="B", WORKDAY(Main[[#This Row],[Tech Start Date]],19),IF(Main[[#This Row],[Class]]="A",WORKDAY(Main[[#This Row],[Tech Start Date]],9),""))))</f>
        <v/>
      </c>
      <c r="Q202" s="67">
        <v>40801</v>
      </c>
      <c r="R202" s="67"/>
      <c r="S202" s="65" t="s">
        <v>11</v>
      </c>
      <c r="T202" s="70" t="s">
        <v>4</v>
      </c>
      <c r="U202" s="65" t="s">
        <v>14</v>
      </c>
      <c r="V202" s="65" t="s">
        <v>1918</v>
      </c>
      <c r="W202" s="65" t="s">
        <v>1925</v>
      </c>
      <c r="X202" s="65" t="s">
        <v>2844</v>
      </c>
      <c r="Y202" s="65" t="s">
        <v>2974</v>
      </c>
      <c r="Z202" s="65" t="s">
        <v>4</v>
      </c>
      <c r="AA202" s="65" t="s">
        <v>2844</v>
      </c>
    </row>
    <row r="203" spans="1:27" ht="17.45" customHeight="1">
      <c r="A203" s="131" t="str">
        <f>IF(priority(Main[[#This Row],[Comments]])&lt;&gt;0, priority(Main[[#This Row],[Comments]]),"")</f>
        <v/>
      </c>
      <c r="B203" s="99" t="s">
        <v>2538</v>
      </c>
      <c r="C203" s="65" t="s">
        <v>4</v>
      </c>
      <c r="D203" s="66" t="s">
        <v>2539</v>
      </c>
      <c r="E203" s="67">
        <v>40855.624421296299</v>
      </c>
      <c r="F203" s="67"/>
      <c r="G203" s="64" t="str">
        <f>IF(stdProdLT(Main[[#This Row],[Comments]])=0.1,"N/A",IF(stdProdLT(Main[[#This Row],[Comments]])=0,"",stdProdLT(Main[[#This Row],[Comments]])))</f>
        <v/>
      </c>
      <c r="H203" s="68" t="str">
        <f>IF(AND(Main[[#This Row],[In Stock Date]]&lt;&gt;"",Main[[#This Row],[Revised Due Date]]&lt;&gt;""),Main[[#This Row],[In Stock Date]]-Main[[#This Row],[Revised Due Date]],"")</f>
        <v/>
      </c>
      <c r="I203" s="65" t="s">
        <v>81</v>
      </c>
      <c r="J203" s="65" t="s">
        <v>21</v>
      </c>
      <c r="K203" s="65" t="s">
        <v>4</v>
      </c>
      <c r="L203" s="67"/>
      <c r="M203" s="69" t="str">
        <f>IF(Main[[#This Row],[Tech Start Date]]&lt;1/1/1990,"",IF(Main[[#This Row],[Class]]="C",WORKDAY(Main[[#This Row],[Tech Start Date]],9),IF(Main[[#This Row],[Class]]="B", WORKDAY(Main[[#This Row],[Tech Start Date]],6),IF(Main[[#This Row],[Class]]="A",WORKDAY(Main[[#This Row],[Tech Start Date]],2),""))))</f>
        <v/>
      </c>
      <c r="N203" s="69" t="str">
        <f>IF(Main[[#This Row],[Tech Start Date]]&lt;1/1/1990,"",IF(Main[[#This Row],[Class]]="C",WORKDAY(Main[[#This Row],[Tech Start Date]],19),IF(Main[[#This Row],[Class]]="B", WORKDAY(Main[[#This Row],[Tech Start Date]],12),IF(Main[[#This Row],[Class]]="A",WORKDAY(Main[[#This Row],[Tech Start Date]],4),""))))</f>
        <v/>
      </c>
      <c r="O203" s="69" t="str">
        <f>IF(Main[[#This Row],[Tech Start Date]]&lt;1/1/1990,"",IF(Main[[#This Row],[Class]]="C",WORKDAY(Main[[#This Row],[Tech Start Date]],23),IF(Main[[#This Row],[Class]]="B", WORKDAY(Main[[#This Row],[Tech Start Date]],15),IF(Main[[#This Row],[Class]]="A",WORKDAY(Main[[#This Row],[Tech Start Date]],5),""))))</f>
        <v/>
      </c>
      <c r="P203" s="69" t="str">
        <f>IF(Main[[#This Row],[Tech Start Date]]&lt;1/1/1990,"",IF(Main[[#This Row],[Class]]="C",WORKDAY(Main[[#This Row],[Tech Start Date]],28),IF(Main[[#This Row],[Class]]="B", WORKDAY(Main[[#This Row],[Tech Start Date]],19),IF(Main[[#This Row],[Class]]="A",WORKDAY(Main[[#This Row],[Tech Start Date]],9),""))))</f>
        <v/>
      </c>
      <c r="Q203" s="67">
        <v>40908</v>
      </c>
      <c r="R203" s="67"/>
      <c r="S203" s="65" t="s">
        <v>6</v>
      </c>
      <c r="T203" s="70" t="s">
        <v>4</v>
      </c>
      <c r="U203" s="65" t="s">
        <v>29</v>
      </c>
      <c r="V203" s="65" t="s">
        <v>1927</v>
      </c>
      <c r="W203" s="65" t="s">
        <v>1922</v>
      </c>
      <c r="X203" s="65" t="s">
        <v>81</v>
      </c>
      <c r="Y203" s="65" t="s">
        <v>2975</v>
      </c>
      <c r="Z203" s="65" t="s">
        <v>81</v>
      </c>
      <c r="AA203" s="65" t="s">
        <v>81</v>
      </c>
    </row>
    <row r="204" spans="1:27" ht="17.45" customHeight="1">
      <c r="A204" s="131" t="str">
        <f>IF(priority(Main[[#This Row],[Comments]])&lt;&gt;0, priority(Main[[#This Row],[Comments]]),"")</f>
        <v/>
      </c>
      <c r="B204" s="99" t="s">
        <v>1075</v>
      </c>
      <c r="C204" s="65" t="s">
        <v>31</v>
      </c>
      <c r="D204" s="66" t="s">
        <v>115</v>
      </c>
      <c r="E204" s="67"/>
      <c r="F204" s="67"/>
      <c r="G204" s="64" t="str">
        <f>IF(stdProdLT(Main[[#This Row],[Comments]])=0.1,"N/A",IF(stdProdLT(Main[[#This Row],[Comments]])=0,"",stdProdLT(Main[[#This Row],[Comments]])))</f>
        <v/>
      </c>
      <c r="H204" s="68" t="str">
        <f>IF(AND(Main[[#This Row],[In Stock Date]]&lt;&gt;"",Main[[#This Row],[Revised Due Date]]&lt;&gt;""),Main[[#This Row],[In Stock Date]]-Main[[#This Row],[Revised Due Date]],"")</f>
        <v/>
      </c>
      <c r="I204" s="65" t="s">
        <v>4</v>
      </c>
      <c r="J204" s="65" t="s">
        <v>4</v>
      </c>
      <c r="K204" s="65" t="s">
        <v>4</v>
      </c>
      <c r="L204" s="67"/>
      <c r="M204" s="69" t="str">
        <f>IF(Main[[#This Row],[Tech Start Date]]&lt;1/1/1990,"",IF(Main[[#This Row],[Class]]="C",WORKDAY(Main[[#This Row],[Tech Start Date]],9),IF(Main[[#This Row],[Class]]="B", WORKDAY(Main[[#This Row],[Tech Start Date]],6),IF(Main[[#This Row],[Class]]="A",WORKDAY(Main[[#This Row],[Tech Start Date]],2),""))))</f>
        <v/>
      </c>
      <c r="N204" s="69" t="str">
        <f>IF(Main[[#This Row],[Tech Start Date]]&lt;1/1/1990,"",IF(Main[[#This Row],[Class]]="C",WORKDAY(Main[[#This Row],[Tech Start Date]],19),IF(Main[[#This Row],[Class]]="B", WORKDAY(Main[[#This Row],[Tech Start Date]],12),IF(Main[[#This Row],[Class]]="A",WORKDAY(Main[[#This Row],[Tech Start Date]],4),""))))</f>
        <v/>
      </c>
      <c r="O204" s="69" t="str">
        <f>IF(Main[[#This Row],[Tech Start Date]]&lt;1/1/1990,"",IF(Main[[#This Row],[Class]]="C",WORKDAY(Main[[#This Row],[Tech Start Date]],23),IF(Main[[#This Row],[Class]]="B", WORKDAY(Main[[#This Row],[Tech Start Date]],15),IF(Main[[#This Row],[Class]]="A",WORKDAY(Main[[#This Row],[Tech Start Date]],5),""))))</f>
        <v/>
      </c>
      <c r="P204" s="69" t="str">
        <f>IF(Main[[#This Row],[Tech Start Date]]&lt;1/1/1990,"",IF(Main[[#This Row],[Class]]="C",WORKDAY(Main[[#This Row],[Tech Start Date]],28),IF(Main[[#This Row],[Class]]="B", WORKDAY(Main[[#This Row],[Tech Start Date]],19),IF(Main[[#This Row],[Class]]="A",WORKDAY(Main[[#This Row],[Tech Start Date]],9),""))))</f>
        <v/>
      </c>
      <c r="Q204" s="67">
        <v>40318</v>
      </c>
      <c r="R204" s="67"/>
      <c r="S204" s="65" t="s">
        <v>11</v>
      </c>
      <c r="T204" s="70" t="s">
        <v>4</v>
      </c>
      <c r="U204" s="65" t="s">
        <v>14</v>
      </c>
      <c r="V204" s="65" t="s">
        <v>1920</v>
      </c>
      <c r="W204" s="65" t="s">
        <v>1919</v>
      </c>
      <c r="X204" s="65" t="s">
        <v>2836</v>
      </c>
      <c r="Y204" s="65" t="s">
        <v>4</v>
      </c>
      <c r="Z204" s="65" t="s">
        <v>4</v>
      </c>
      <c r="AA204" s="65" t="s">
        <v>2836</v>
      </c>
    </row>
    <row r="205" spans="1:27" ht="17.45" customHeight="1">
      <c r="A205" s="131" t="str">
        <f>IF(priority(Main[[#This Row],[Comments]])&lt;&gt;0, priority(Main[[#This Row],[Comments]]),"")</f>
        <v/>
      </c>
      <c r="B205" s="99" t="s">
        <v>2333</v>
      </c>
      <c r="C205" s="65" t="s">
        <v>31</v>
      </c>
      <c r="D205" s="66" t="s">
        <v>2334</v>
      </c>
      <c r="E205" s="67"/>
      <c r="F205" s="67">
        <v>41000</v>
      </c>
      <c r="G205" s="64">
        <f>IF(stdProdLT(Main[[#This Row],[Comments]])=0.1,"N/A",IF(stdProdLT(Main[[#This Row],[Comments]])=0,"",stdProdLT(Main[[#This Row],[Comments]])))</f>
        <v>140</v>
      </c>
      <c r="H205" s="68" t="str">
        <f>IF(AND(Main[[#This Row],[In Stock Date]]&lt;&gt;"",Main[[#This Row],[Revised Due Date]]&lt;&gt;""),Main[[#This Row],[In Stock Date]]-Main[[#This Row],[Revised Due Date]],"")</f>
        <v/>
      </c>
      <c r="I205" s="65" t="s">
        <v>4</v>
      </c>
      <c r="J205" s="65" t="s">
        <v>4</v>
      </c>
      <c r="K205" s="65" t="s">
        <v>4</v>
      </c>
      <c r="L205" s="67"/>
      <c r="M205" s="69" t="str">
        <f>IF(Main[[#This Row],[Tech Start Date]]&lt;1/1/1990,"",IF(Main[[#This Row],[Class]]="C",WORKDAY(Main[[#This Row],[Tech Start Date]],9),IF(Main[[#This Row],[Class]]="B", WORKDAY(Main[[#This Row],[Tech Start Date]],6),IF(Main[[#This Row],[Class]]="A",WORKDAY(Main[[#This Row],[Tech Start Date]],2),""))))</f>
        <v/>
      </c>
      <c r="N205" s="69" t="str">
        <f>IF(Main[[#This Row],[Tech Start Date]]&lt;1/1/1990,"",IF(Main[[#This Row],[Class]]="C",WORKDAY(Main[[#This Row],[Tech Start Date]],19),IF(Main[[#This Row],[Class]]="B", WORKDAY(Main[[#This Row],[Tech Start Date]],12),IF(Main[[#This Row],[Class]]="A",WORKDAY(Main[[#This Row],[Tech Start Date]],4),""))))</f>
        <v/>
      </c>
      <c r="O205" s="69" t="str">
        <f>IF(Main[[#This Row],[Tech Start Date]]&lt;1/1/1990,"",IF(Main[[#This Row],[Class]]="C",WORKDAY(Main[[#This Row],[Tech Start Date]],23),IF(Main[[#This Row],[Class]]="B", WORKDAY(Main[[#This Row],[Tech Start Date]],15),IF(Main[[#This Row],[Class]]="A",WORKDAY(Main[[#This Row],[Tech Start Date]],5),""))))</f>
        <v/>
      </c>
      <c r="P205" s="69" t="str">
        <f>IF(Main[[#This Row],[Tech Start Date]]&lt;1/1/1990,"",IF(Main[[#This Row],[Class]]="C",WORKDAY(Main[[#This Row],[Tech Start Date]],28),IF(Main[[#This Row],[Class]]="B", WORKDAY(Main[[#This Row],[Tech Start Date]],19),IF(Main[[#This Row],[Class]]="A",WORKDAY(Main[[#This Row],[Tech Start Date]],9),""))))</f>
        <v/>
      </c>
      <c r="Q205" s="67">
        <v>40916</v>
      </c>
      <c r="R205" s="67"/>
      <c r="S205" s="65" t="s">
        <v>11</v>
      </c>
      <c r="T205" s="70" t="s">
        <v>2335</v>
      </c>
      <c r="U205" s="65" t="s">
        <v>14</v>
      </c>
      <c r="V205" s="65" t="s">
        <v>1927</v>
      </c>
      <c r="W205" s="65" t="s">
        <v>1923</v>
      </c>
      <c r="X205" s="65" t="s">
        <v>2846</v>
      </c>
      <c r="Y205" s="65" t="s">
        <v>4</v>
      </c>
      <c r="Z205" s="65" t="s">
        <v>4</v>
      </c>
      <c r="AA205" s="65" t="s">
        <v>2846</v>
      </c>
    </row>
    <row r="206" spans="1:27" ht="17.45" customHeight="1">
      <c r="A206" s="12" t="str">
        <f>IF(priority(Main[[#This Row],[Comments]])&lt;&gt;0, priority(Main[[#This Row],[Comments]]),"")</f>
        <v/>
      </c>
      <c r="B206" s="99" t="s">
        <v>2012</v>
      </c>
      <c r="C206" s="63" t="s">
        <v>4</v>
      </c>
      <c r="D206" s="72" t="s">
        <v>2013</v>
      </c>
      <c r="E206" s="73"/>
      <c r="F206" s="73"/>
      <c r="G206" s="63" t="str">
        <f>IF(stdProdLT(Main[[#This Row],[Comments]])=0.1,"N/A",IF(stdProdLT(Main[[#This Row],[Comments]])=0,"",stdProdLT(Main[[#This Row],[Comments]])))</f>
        <v/>
      </c>
      <c r="H206" s="74" t="str">
        <f>IF(AND(Main[[#This Row],[In Stock Date]]&lt;&gt;"",Main[[#This Row],[Revised Due Date]]&lt;&gt;""),Main[[#This Row],[In Stock Date]]-Main[[#This Row],[Revised Due Date]],"")</f>
        <v/>
      </c>
      <c r="I206" s="63" t="s">
        <v>4</v>
      </c>
      <c r="J206" s="63" t="s">
        <v>4</v>
      </c>
      <c r="K206" s="63" t="s">
        <v>4</v>
      </c>
      <c r="L206" s="73"/>
      <c r="M206" s="69" t="str">
        <f>IF(Main[[#This Row],[Tech Start Date]]&lt;1/1/1990,"",IF(Main[[#This Row],[Class]]="C",WORKDAY(Main[[#This Row],[Tech Start Date]],9),IF(Main[[#This Row],[Class]]="B", WORKDAY(Main[[#This Row],[Tech Start Date]],6),IF(Main[[#This Row],[Class]]="A",WORKDAY(Main[[#This Row],[Tech Start Date]],2),""))))</f>
        <v/>
      </c>
      <c r="N206" s="69" t="str">
        <f>IF(Main[[#This Row],[Tech Start Date]]&lt;1/1/1990,"",IF(Main[[#This Row],[Class]]="C",WORKDAY(Main[[#This Row],[Tech Start Date]],19),IF(Main[[#This Row],[Class]]="B", WORKDAY(Main[[#This Row],[Tech Start Date]],12),IF(Main[[#This Row],[Class]]="A",WORKDAY(Main[[#This Row],[Tech Start Date]],4),""))))</f>
        <v/>
      </c>
      <c r="O206" s="69" t="str">
        <f>IF(Main[[#This Row],[Tech Start Date]]&lt;1/1/1990,"",IF(Main[[#This Row],[Class]]="C",WORKDAY(Main[[#This Row],[Tech Start Date]],23),IF(Main[[#This Row],[Class]]="B", WORKDAY(Main[[#This Row],[Tech Start Date]],15),IF(Main[[#This Row],[Class]]="A",WORKDAY(Main[[#This Row],[Tech Start Date]],5),""))))</f>
        <v/>
      </c>
      <c r="P206" s="69" t="str">
        <f>IF(Main[[#This Row],[Tech Start Date]]&lt;1/1/1990,"",IF(Main[[#This Row],[Class]]="C",WORKDAY(Main[[#This Row],[Tech Start Date]],28),IF(Main[[#This Row],[Class]]="B", WORKDAY(Main[[#This Row],[Tech Start Date]],19),IF(Main[[#This Row],[Class]]="A",WORKDAY(Main[[#This Row],[Tech Start Date]],9),""))))</f>
        <v/>
      </c>
      <c r="Q206" s="73"/>
      <c r="R206" s="73"/>
      <c r="S206" s="63" t="s">
        <v>4</v>
      </c>
      <c r="T206" s="75" t="s">
        <v>4</v>
      </c>
      <c r="U206" s="63" t="s">
        <v>14</v>
      </c>
      <c r="V206" s="63" t="s">
        <v>1920</v>
      </c>
      <c r="W206" s="63" t="s">
        <v>1919</v>
      </c>
      <c r="X206" s="63" t="s">
        <v>2847</v>
      </c>
      <c r="Y206" s="63" t="s">
        <v>2977</v>
      </c>
      <c r="Z206" s="63" t="s">
        <v>4</v>
      </c>
      <c r="AA206" s="65" t="s">
        <v>2847</v>
      </c>
    </row>
    <row r="207" spans="1:27" ht="17.45" customHeight="1">
      <c r="A207" s="131" t="str">
        <f>IF(priority(Main[[#This Row],[Comments]])&lt;&gt;0, priority(Main[[#This Row],[Comments]]),"")</f>
        <v/>
      </c>
      <c r="B207" s="99" t="s">
        <v>1077</v>
      </c>
      <c r="C207" s="65" t="s">
        <v>42</v>
      </c>
      <c r="D207" s="66" t="s">
        <v>119</v>
      </c>
      <c r="E207" s="67"/>
      <c r="F207" s="67"/>
      <c r="G207" s="64" t="str">
        <f>IF(stdProdLT(Main[[#This Row],[Comments]])=0.1,"N/A",IF(stdProdLT(Main[[#This Row],[Comments]])=0,"",stdProdLT(Main[[#This Row],[Comments]])))</f>
        <v/>
      </c>
      <c r="H207" s="68" t="str">
        <f>IF(AND(Main[[#This Row],[In Stock Date]]&lt;&gt;"",Main[[#This Row],[Revised Due Date]]&lt;&gt;""),Main[[#This Row],[In Stock Date]]-Main[[#This Row],[Revised Due Date]],"")</f>
        <v/>
      </c>
      <c r="I207" s="65" t="s">
        <v>4</v>
      </c>
      <c r="J207" s="65" t="s">
        <v>4</v>
      </c>
      <c r="K207" s="65" t="s">
        <v>4</v>
      </c>
      <c r="L207" s="67"/>
      <c r="M207" s="69" t="str">
        <f>IF(Main[[#This Row],[Tech Start Date]]&lt;1/1/1990,"",IF(Main[[#This Row],[Class]]="C",WORKDAY(Main[[#This Row],[Tech Start Date]],9),IF(Main[[#This Row],[Class]]="B", WORKDAY(Main[[#This Row],[Tech Start Date]],6),IF(Main[[#This Row],[Class]]="A",WORKDAY(Main[[#This Row],[Tech Start Date]],2),""))))</f>
        <v/>
      </c>
      <c r="N207" s="69" t="str">
        <f>IF(Main[[#This Row],[Tech Start Date]]&lt;1/1/1990,"",IF(Main[[#This Row],[Class]]="C",WORKDAY(Main[[#This Row],[Tech Start Date]],19),IF(Main[[#This Row],[Class]]="B", WORKDAY(Main[[#This Row],[Tech Start Date]],12),IF(Main[[#This Row],[Class]]="A",WORKDAY(Main[[#This Row],[Tech Start Date]],4),""))))</f>
        <v/>
      </c>
      <c r="O207" s="69" t="str">
        <f>IF(Main[[#This Row],[Tech Start Date]]&lt;1/1/1990,"",IF(Main[[#This Row],[Class]]="C",WORKDAY(Main[[#This Row],[Tech Start Date]],23),IF(Main[[#This Row],[Class]]="B", WORKDAY(Main[[#This Row],[Tech Start Date]],15),IF(Main[[#This Row],[Class]]="A",WORKDAY(Main[[#This Row],[Tech Start Date]],5),""))))</f>
        <v/>
      </c>
      <c r="P207" s="69" t="str">
        <f>IF(Main[[#This Row],[Tech Start Date]]&lt;1/1/1990,"",IF(Main[[#This Row],[Class]]="C",WORKDAY(Main[[#This Row],[Tech Start Date]],28),IF(Main[[#This Row],[Class]]="B", WORKDAY(Main[[#This Row],[Tech Start Date]],19),IF(Main[[#This Row],[Class]]="A",WORKDAY(Main[[#This Row],[Tech Start Date]],9),""))))</f>
        <v/>
      </c>
      <c r="Q207" s="67"/>
      <c r="R207" s="67"/>
      <c r="S207" s="65" t="s">
        <v>11</v>
      </c>
      <c r="T207" s="70" t="s">
        <v>4</v>
      </c>
      <c r="U207" s="65" t="s">
        <v>14</v>
      </c>
      <c r="V207" s="65" t="s">
        <v>1918</v>
      </c>
      <c r="W207" s="65" t="s">
        <v>1925</v>
      </c>
      <c r="X207" s="65" t="s">
        <v>399</v>
      </c>
      <c r="Y207" s="65" t="s">
        <v>2954</v>
      </c>
      <c r="Z207" s="65" t="s">
        <v>4</v>
      </c>
      <c r="AA207" s="65" t="s">
        <v>399</v>
      </c>
    </row>
    <row r="208" spans="1:27" ht="17.45" customHeight="1">
      <c r="A208" s="131" t="str">
        <f>IF(priority(Main[[#This Row],[Comments]])&lt;&gt;0, priority(Main[[#This Row],[Comments]]),"")</f>
        <v/>
      </c>
      <c r="B208" s="99" t="s">
        <v>1489</v>
      </c>
      <c r="C208" s="65" t="s">
        <v>4</v>
      </c>
      <c r="D208" s="66" t="s">
        <v>572</v>
      </c>
      <c r="E208" s="67">
        <v>40422.460902777777</v>
      </c>
      <c r="F208" s="67"/>
      <c r="G208" s="64" t="str">
        <f>IF(stdProdLT(Main[[#This Row],[Comments]])=0.1,"N/A",IF(stdProdLT(Main[[#This Row],[Comments]])=0,"",stdProdLT(Main[[#This Row],[Comments]])))</f>
        <v/>
      </c>
      <c r="H208" s="68" t="str">
        <f>IF(AND(Main[[#This Row],[In Stock Date]]&lt;&gt;"",Main[[#This Row],[Revised Due Date]]&lt;&gt;""),Main[[#This Row],[In Stock Date]]-Main[[#This Row],[Revised Due Date]],"")</f>
        <v/>
      </c>
      <c r="I208" s="65" t="s">
        <v>4</v>
      </c>
      <c r="J208" s="65" t="s">
        <v>28</v>
      </c>
      <c r="K208" s="65" t="s">
        <v>4</v>
      </c>
      <c r="L208" s="67"/>
      <c r="M208" s="69" t="str">
        <f>IF(Main[[#This Row],[Tech Start Date]]&lt;1/1/1990,"",IF(Main[[#This Row],[Class]]="C",WORKDAY(Main[[#This Row],[Tech Start Date]],9),IF(Main[[#This Row],[Class]]="B", WORKDAY(Main[[#This Row],[Tech Start Date]],6),IF(Main[[#This Row],[Class]]="A",WORKDAY(Main[[#This Row],[Tech Start Date]],2),""))))</f>
        <v/>
      </c>
      <c r="N208" s="69" t="str">
        <f>IF(Main[[#This Row],[Tech Start Date]]&lt;1/1/1990,"",IF(Main[[#This Row],[Class]]="C",WORKDAY(Main[[#This Row],[Tech Start Date]],19),IF(Main[[#This Row],[Class]]="B", WORKDAY(Main[[#This Row],[Tech Start Date]],12),IF(Main[[#This Row],[Class]]="A",WORKDAY(Main[[#This Row],[Tech Start Date]],4),""))))</f>
        <v/>
      </c>
      <c r="O208" s="69" t="str">
        <f>IF(Main[[#This Row],[Tech Start Date]]&lt;1/1/1990,"",IF(Main[[#This Row],[Class]]="C",WORKDAY(Main[[#This Row],[Tech Start Date]],23),IF(Main[[#This Row],[Class]]="B", WORKDAY(Main[[#This Row],[Tech Start Date]],15),IF(Main[[#This Row],[Class]]="A",WORKDAY(Main[[#This Row],[Tech Start Date]],5),""))))</f>
        <v/>
      </c>
      <c r="P208" s="69" t="str">
        <f>IF(Main[[#This Row],[Tech Start Date]]&lt;1/1/1990,"",IF(Main[[#This Row],[Class]]="C",WORKDAY(Main[[#This Row],[Tech Start Date]],28),IF(Main[[#This Row],[Class]]="B", WORKDAY(Main[[#This Row],[Tech Start Date]],19),IF(Main[[#This Row],[Class]]="A",WORKDAY(Main[[#This Row],[Tech Start Date]],9),""))))</f>
        <v/>
      </c>
      <c r="Q208" s="67"/>
      <c r="R208" s="67"/>
      <c r="S208" s="65" t="s">
        <v>6</v>
      </c>
      <c r="T208" s="70" t="s">
        <v>4</v>
      </c>
      <c r="U208" s="65" t="s">
        <v>29</v>
      </c>
      <c r="V208" s="65" t="s">
        <v>1917</v>
      </c>
      <c r="W208" s="65" t="s">
        <v>1925</v>
      </c>
      <c r="X208" s="65" t="s">
        <v>2055</v>
      </c>
      <c r="Y208" s="65" t="s">
        <v>2978</v>
      </c>
      <c r="Z208" s="65" t="s">
        <v>129</v>
      </c>
      <c r="AA208" s="65" t="s">
        <v>2055</v>
      </c>
    </row>
    <row r="209" spans="1:27" ht="17.45" customHeight="1">
      <c r="A209" s="131" t="str">
        <f>IF(priority(Main[[#This Row],[Comments]])&lt;&gt;0, priority(Main[[#This Row],[Comments]]),"")</f>
        <v/>
      </c>
      <c r="B209" s="99" t="s">
        <v>2060</v>
      </c>
      <c r="C209" s="65" t="s">
        <v>4</v>
      </c>
      <c r="D209" s="66" t="s">
        <v>2061</v>
      </c>
      <c r="E209" s="67"/>
      <c r="F209" s="67"/>
      <c r="G209" s="64" t="str">
        <f>IF(stdProdLT(Main[[#This Row],[Comments]])=0.1,"N/A",IF(stdProdLT(Main[[#This Row],[Comments]])=0,"",stdProdLT(Main[[#This Row],[Comments]])))</f>
        <v/>
      </c>
      <c r="H209" s="68" t="str">
        <f>IF(AND(Main[[#This Row],[In Stock Date]]&lt;&gt;"",Main[[#This Row],[Revised Due Date]]&lt;&gt;""),Main[[#This Row],[In Stock Date]]-Main[[#This Row],[Revised Due Date]],"")</f>
        <v/>
      </c>
      <c r="I209" s="65" t="s">
        <v>429</v>
      </c>
      <c r="J209" s="65" t="s">
        <v>70</v>
      </c>
      <c r="K209" s="65" t="s">
        <v>1926</v>
      </c>
      <c r="L209" s="67"/>
      <c r="M209" s="69" t="str">
        <f>IF(Main[[#This Row],[Tech Start Date]]&lt;1/1/1990,"",IF(Main[[#This Row],[Class]]="C",WORKDAY(Main[[#This Row],[Tech Start Date]],9),IF(Main[[#This Row],[Class]]="B", WORKDAY(Main[[#This Row],[Tech Start Date]],6),IF(Main[[#This Row],[Class]]="A",WORKDAY(Main[[#This Row],[Tech Start Date]],2),""))))</f>
        <v/>
      </c>
      <c r="N209" s="69" t="str">
        <f>IF(Main[[#This Row],[Tech Start Date]]&lt;1/1/1990,"",IF(Main[[#This Row],[Class]]="C",WORKDAY(Main[[#This Row],[Tech Start Date]],19),IF(Main[[#This Row],[Class]]="B", WORKDAY(Main[[#This Row],[Tech Start Date]],12),IF(Main[[#This Row],[Class]]="A",WORKDAY(Main[[#This Row],[Tech Start Date]],4),""))))</f>
        <v/>
      </c>
      <c r="O209" s="69" t="str">
        <f>IF(Main[[#This Row],[Tech Start Date]]&lt;1/1/1990,"",IF(Main[[#This Row],[Class]]="C",WORKDAY(Main[[#This Row],[Tech Start Date]],23),IF(Main[[#This Row],[Class]]="B", WORKDAY(Main[[#This Row],[Tech Start Date]],15),IF(Main[[#This Row],[Class]]="A",WORKDAY(Main[[#This Row],[Tech Start Date]],5),""))))</f>
        <v/>
      </c>
      <c r="P209" s="69" t="str">
        <f>IF(Main[[#This Row],[Tech Start Date]]&lt;1/1/1990,"",IF(Main[[#This Row],[Class]]="C",WORKDAY(Main[[#This Row],[Tech Start Date]],28),IF(Main[[#This Row],[Class]]="B", WORKDAY(Main[[#This Row],[Tech Start Date]],19),IF(Main[[#This Row],[Class]]="A",WORKDAY(Main[[#This Row],[Tech Start Date]],9),""))))</f>
        <v/>
      </c>
      <c r="Q209" s="67">
        <v>40786</v>
      </c>
      <c r="R209" s="67"/>
      <c r="S209" s="65" t="s">
        <v>6</v>
      </c>
      <c r="T209" s="70" t="s">
        <v>4</v>
      </c>
      <c r="U209" s="65" t="s">
        <v>14</v>
      </c>
      <c r="V209" s="65" t="s">
        <v>1920</v>
      </c>
      <c r="W209" s="65" t="s">
        <v>1921</v>
      </c>
      <c r="X209" s="65" t="s">
        <v>30</v>
      </c>
      <c r="Y209" s="65" t="s">
        <v>2979</v>
      </c>
      <c r="Z209" s="65" t="s">
        <v>44</v>
      </c>
      <c r="AA209" s="65" t="s">
        <v>3401</v>
      </c>
    </row>
    <row r="210" spans="1:27" ht="17.45" customHeight="1">
      <c r="A210" s="131" t="str">
        <f>IF(priority(Main[[#This Row],[Comments]])&lt;&gt;0, priority(Main[[#This Row],[Comments]]),"")</f>
        <v/>
      </c>
      <c r="B210" s="99" t="s">
        <v>1448</v>
      </c>
      <c r="C210" s="65" t="s">
        <v>4</v>
      </c>
      <c r="D210" s="66" t="s">
        <v>2303</v>
      </c>
      <c r="E210" s="67"/>
      <c r="F210" s="67"/>
      <c r="G210" s="64" t="str">
        <f>IF(stdProdLT(Main[[#This Row],[Comments]])=0.1,"N/A",IF(stdProdLT(Main[[#This Row],[Comments]])=0,"",stdProdLT(Main[[#This Row],[Comments]])))</f>
        <v/>
      </c>
      <c r="H210" s="68" t="str">
        <f>IF(AND(Main[[#This Row],[In Stock Date]]&lt;&gt;"",Main[[#This Row],[Revised Due Date]]&lt;&gt;""),Main[[#This Row],[In Stock Date]]-Main[[#This Row],[Revised Due Date]],"")</f>
        <v/>
      </c>
      <c r="I210" s="65" t="s">
        <v>30</v>
      </c>
      <c r="J210" s="65" t="s">
        <v>28</v>
      </c>
      <c r="K210" s="65" t="s">
        <v>1926</v>
      </c>
      <c r="L210" s="67"/>
      <c r="M210" s="69" t="str">
        <f>IF(Main[[#This Row],[Tech Start Date]]&lt;1/1/1990,"",IF(Main[[#This Row],[Class]]="C",WORKDAY(Main[[#This Row],[Tech Start Date]],9),IF(Main[[#This Row],[Class]]="B", WORKDAY(Main[[#This Row],[Tech Start Date]],6),IF(Main[[#This Row],[Class]]="A",WORKDAY(Main[[#This Row],[Tech Start Date]],2),""))))</f>
        <v/>
      </c>
      <c r="N210" s="69" t="str">
        <f>IF(Main[[#This Row],[Tech Start Date]]&lt;1/1/1990,"",IF(Main[[#This Row],[Class]]="C",WORKDAY(Main[[#This Row],[Tech Start Date]],19),IF(Main[[#This Row],[Class]]="B", WORKDAY(Main[[#This Row],[Tech Start Date]],12),IF(Main[[#This Row],[Class]]="A",WORKDAY(Main[[#This Row],[Tech Start Date]],4),""))))</f>
        <v/>
      </c>
      <c r="O210" s="69" t="str">
        <f>IF(Main[[#This Row],[Tech Start Date]]&lt;1/1/1990,"",IF(Main[[#This Row],[Class]]="C",WORKDAY(Main[[#This Row],[Tech Start Date]],23),IF(Main[[#This Row],[Class]]="B", WORKDAY(Main[[#This Row],[Tech Start Date]],15),IF(Main[[#This Row],[Class]]="A",WORKDAY(Main[[#This Row],[Tech Start Date]],5),""))))</f>
        <v/>
      </c>
      <c r="P210" s="69" t="str">
        <f>IF(Main[[#This Row],[Tech Start Date]]&lt;1/1/1990,"",IF(Main[[#This Row],[Class]]="C",WORKDAY(Main[[#This Row],[Tech Start Date]],28),IF(Main[[#This Row],[Class]]="B", WORKDAY(Main[[#This Row],[Tech Start Date]],19),IF(Main[[#This Row],[Class]]="A",WORKDAY(Main[[#This Row],[Tech Start Date]],9),""))))</f>
        <v/>
      </c>
      <c r="Q210" s="67">
        <v>40606</v>
      </c>
      <c r="R210" s="67"/>
      <c r="S210" s="65" t="s">
        <v>6</v>
      </c>
      <c r="T210" s="70" t="s">
        <v>4</v>
      </c>
      <c r="U210" s="65" t="s">
        <v>14</v>
      </c>
      <c r="V210" s="65" t="s">
        <v>1920</v>
      </c>
      <c r="W210" s="65" t="s">
        <v>1921</v>
      </c>
      <c r="X210" s="65" t="s">
        <v>2842</v>
      </c>
      <c r="Y210" s="65" t="s">
        <v>2971</v>
      </c>
      <c r="Z210" s="65" t="s">
        <v>30</v>
      </c>
      <c r="AA210" s="65" t="s">
        <v>2842</v>
      </c>
    </row>
    <row r="211" spans="1:27" ht="17.45" customHeight="1">
      <c r="A211" s="131" t="str">
        <f>IF(priority(Main[[#This Row],[Comments]])&lt;&gt;0, priority(Main[[#This Row],[Comments]]),"")</f>
        <v/>
      </c>
      <c r="B211" s="99" t="s">
        <v>1081</v>
      </c>
      <c r="C211" s="65" t="s">
        <v>67</v>
      </c>
      <c r="D211" s="66" t="s">
        <v>121</v>
      </c>
      <c r="E211" s="67">
        <v>40707.647118055553</v>
      </c>
      <c r="F211" s="67"/>
      <c r="G211" s="64" t="str">
        <f>IF(stdProdLT(Main[[#This Row],[Comments]])=0.1,"N/A",IF(stdProdLT(Main[[#This Row],[Comments]])=0,"",stdProdLT(Main[[#This Row],[Comments]])))</f>
        <v/>
      </c>
      <c r="H211" s="68" t="str">
        <f>IF(AND(Main[[#This Row],[In Stock Date]]&lt;&gt;"",Main[[#This Row],[Revised Due Date]]&lt;&gt;""),Main[[#This Row],[In Stock Date]]-Main[[#This Row],[Revised Due Date]],"")</f>
        <v/>
      </c>
      <c r="I211" s="65" t="s">
        <v>4</v>
      </c>
      <c r="J211" s="65" t="s">
        <v>4</v>
      </c>
      <c r="K211" s="65" t="s">
        <v>4</v>
      </c>
      <c r="L211" s="67"/>
      <c r="M211" s="69" t="str">
        <f>IF(Main[[#This Row],[Tech Start Date]]&lt;1/1/1990,"",IF(Main[[#This Row],[Class]]="C",WORKDAY(Main[[#This Row],[Tech Start Date]],9),IF(Main[[#This Row],[Class]]="B", WORKDAY(Main[[#This Row],[Tech Start Date]],6),IF(Main[[#This Row],[Class]]="A",WORKDAY(Main[[#This Row],[Tech Start Date]],2),""))))</f>
        <v/>
      </c>
      <c r="N211" s="69" t="str">
        <f>IF(Main[[#This Row],[Tech Start Date]]&lt;1/1/1990,"",IF(Main[[#This Row],[Class]]="C",WORKDAY(Main[[#This Row],[Tech Start Date]],19),IF(Main[[#This Row],[Class]]="B", WORKDAY(Main[[#This Row],[Tech Start Date]],12),IF(Main[[#This Row],[Class]]="A",WORKDAY(Main[[#This Row],[Tech Start Date]],4),""))))</f>
        <v/>
      </c>
      <c r="O211" s="69" t="str">
        <f>IF(Main[[#This Row],[Tech Start Date]]&lt;1/1/1990,"",IF(Main[[#This Row],[Class]]="C",WORKDAY(Main[[#This Row],[Tech Start Date]],23),IF(Main[[#This Row],[Class]]="B", WORKDAY(Main[[#This Row],[Tech Start Date]],15),IF(Main[[#This Row],[Class]]="A",WORKDAY(Main[[#This Row],[Tech Start Date]],5),""))))</f>
        <v/>
      </c>
      <c r="P211" s="69" t="str">
        <f>IF(Main[[#This Row],[Tech Start Date]]&lt;1/1/1990,"",IF(Main[[#This Row],[Class]]="C",WORKDAY(Main[[#This Row],[Tech Start Date]],28),IF(Main[[#This Row],[Class]]="B", WORKDAY(Main[[#This Row],[Tech Start Date]],19),IF(Main[[#This Row],[Class]]="A",WORKDAY(Main[[#This Row],[Tech Start Date]],9),""))))</f>
        <v/>
      </c>
      <c r="Q211" s="67">
        <v>40755</v>
      </c>
      <c r="R211" s="67"/>
      <c r="S211" s="65" t="s">
        <v>17</v>
      </c>
      <c r="T211" s="70" t="s">
        <v>4</v>
      </c>
      <c r="U211" s="65" t="s">
        <v>7</v>
      </c>
      <c r="V211" s="65" t="s">
        <v>1920</v>
      </c>
      <c r="W211" s="65" t="s">
        <v>1922</v>
      </c>
      <c r="X211" s="65" t="s">
        <v>554</v>
      </c>
      <c r="Y211" s="65" t="s">
        <v>2958</v>
      </c>
      <c r="Z211" s="65" t="s">
        <v>4</v>
      </c>
      <c r="AA211" s="65" t="s">
        <v>554</v>
      </c>
    </row>
    <row r="212" spans="1:27" ht="17.45" customHeight="1">
      <c r="A212" s="131" t="str">
        <f>IF(priority(Main[[#This Row],[Comments]])&lt;&gt;0, priority(Main[[#This Row],[Comments]]),"")</f>
        <v/>
      </c>
      <c r="B212" s="99" t="s">
        <v>1079</v>
      </c>
      <c r="C212" s="65" t="s">
        <v>4</v>
      </c>
      <c r="D212" s="66" t="s">
        <v>120</v>
      </c>
      <c r="E212" s="67"/>
      <c r="F212" s="67"/>
      <c r="G212" s="64" t="str">
        <f>IF(stdProdLT(Main[[#This Row],[Comments]])=0.1,"N/A",IF(stdProdLT(Main[[#This Row],[Comments]])=0,"",stdProdLT(Main[[#This Row],[Comments]])))</f>
        <v/>
      </c>
      <c r="H212" s="68" t="str">
        <f>IF(AND(Main[[#This Row],[In Stock Date]]&lt;&gt;"",Main[[#This Row],[Revised Due Date]]&lt;&gt;""),Main[[#This Row],[In Stock Date]]-Main[[#This Row],[Revised Due Date]],"")</f>
        <v/>
      </c>
      <c r="I212" s="65" t="s">
        <v>4</v>
      </c>
      <c r="J212" s="65" t="s">
        <v>4</v>
      </c>
      <c r="K212" s="71" t="s">
        <v>4</v>
      </c>
      <c r="L212" s="67"/>
      <c r="M212" s="69" t="str">
        <f>IF(Main[[#This Row],[Tech Start Date]]&lt;1/1/1990,"",IF(Main[[#This Row],[Class]]="C",WORKDAY(Main[[#This Row],[Tech Start Date]],9),IF(Main[[#This Row],[Class]]="B", WORKDAY(Main[[#This Row],[Tech Start Date]],6),IF(Main[[#This Row],[Class]]="A",WORKDAY(Main[[#This Row],[Tech Start Date]],2),""))))</f>
        <v/>
      </c>
      <c r="N212" s="69" t="str">
        <f>IF(Main[[#This Row],[Tech Start Date]]&lt;1/1/1990,"",IF(Main[[#This Row],[Class]]="C",WORKDAY(Main[[#This Row],[Tech Start Date]],19),IF(Main[[#This Row],[Class]]="B", WORKDAY(Main[[#This Row],[Tech Start Date]],12),IF(Main[[#This Row],[Class]]="A",WORKDAY(Main[[#This Row],[Tech Start Date]],4),""))))</f>
        <v/>
      </c>
      <c r="O212" s="69" t="str">
        <f>IF(Main[[#This Row],[Tech Start Date]]&lt;1/1/1990,"",IF(Main[[#This Row],[Class]]="C",WORKDAY(Main[[#This Row],[Tech Start Date]],23),IF(Main[[#This Row],[Class]]="B", WORKDAY(Main[[#This Row],[Tech Start Date]],15),IF(Main[[#This Row],[Class]]="A",WORKDAY(Main[[#This Row],[Tech Start Date]],5),""))))</f>
        <v/>
      </c>
      <c r="P212" s="69" t="str">
        <f>IF(Main[[#This Row],[Tech Start Date]]&lt;1/1/1990,"",IF(Main[[#This Row],[Class]]="C",WORKDAY(Main[[#This Row],[Tech Start Date]],28),IF(Main[[#This Row],[Class]]="B", WORKDAY(Main[[#This Row],[Tech Start Date]],19),IF(Main[[#This Row],[Class]]="A",WORKDAY(Main[[#This Row],[Tech Start Date]],9),""))))</f>
        <v/>
      </c>
      <c r="Q212" s="67"/>
      <c r="R212" s="67"/>
      <c r="S212" s="65" t="s">
        <v>11</v>
      </c>
      <c r="T212" s="70" t="s">
        <v>4</v>
      </c>
      <c r="U212" s="65" t="s">
        <v>14</v>
      </c>
      <c r="V212" s="65" t="s">
        <v>1920</v>
      </c>
      <c r="W212" s="65" t="s">
        <v>1931</v>
      </c>
      <c r="X212" s="65" t="s">
        <v>2848</v>
      </c>
      <c r="Y212" s="65" t="s">
        <v>2980</v>
      </c>
      <c r="Z212" s="65" t="s">
        <v>4</v>
      </c>
      <c r="AA212" s="65" t="s">
        <v>2848</v>
      </c>
    </row>
    <row r="213" spans="1:27" ht="17.45" customHeight="1">
      <c r="A213" s="131" t="str">
        <f>IF(priority(Main[[#This Row],[Comments]])&lt;&gt;0, priority(Main[[#This Row],[Comments]]),"")</f>
        <v/>
      </c>
      <c r="B213" s="99" t="s">
        <v>1041</v>
      </c>
      <c r="C213" s="65" t="s">
        <v>4</v>
      </c>
      <c r="D213" s="66" t="s">
        <v>62</v>
      </c>
      <c r="E213" s="67"/>
      <c r="F213" s="67"/>
      <c r="G213" s="64" t="str">
        <f>IF(stdProdLT(Main[[#This Row],[Comments]])=0.1,"N/A",IF(stdProdLT(Main[[#This Row],[Comments]])=0,"",stdProdLT(Main[[#This Row],[Comments]])))</f>
        <v/>
      </c>
      <c r="H213" s="68" t="str">
        <f>IF(AND(Main[[#This Row],[In Stock Date]]&lt;&gt;"",Main[[#This Row],[Revised Due Date]]&lt;&gt;""),Main[[#This Row],[In Stock Date]]-Main[[#This Row],[Revised Due Date]],"")</f>
        <v/>
      </c>
      <c r="I213" s="65" t="s">
        <v>44</v>
      </c>
      <c r="J213" s="65" t="s">
        <v>28</v>
      </c>
      <c r="K213" s="65" t="s">
        <v>1926</v>
      </c>
      <c r="L213" s="67"/>
      <c r="M213" s="69" t="str">
        <f>IF(Main[[#This Row],[Tech Start Date]]&lt;1/1/1990,"",IF(Main[[#This Row],[Class]]="C",WORKDAY(Main[[#This Row],[Tech Start Date]],9),IF(Main[[#This Row],[Class]]="B", WORKDAY(Main[[#This Row],[Tech Start Date]],6),IF(Main[[#This Row],[Class]]="A",WORKDAY(Main[[#This Row],[Tech Start Date]],2),""))))</f>
        <v/>
      </c>
      <c r="N213" s="69" t="str">
        <f>IF(Main[[#This Row],[Tech Start Date]]&lt;1/1/1990,"",IF(Main[[#This Row],[Class]]="C",WORKDAY(Main[[#This Row],[Tech Start Date]],19),IF(Main[[#This Row],[Class]]="B", WORKDAY(Main[[#This Row],[Tech Start Date]],12),IF(Main[[#This Row],[Class]]="A",WORKDAY(Main[[#This Row],[Tech Start Date]],4),""))))</f>
        <v/>
      </c>
      <c r="O213" s="69" t="str">
        <f>IF(Main[[#This Row],[Tech Start Date]]&lt;1/1/1990,"",IF(Main[[#This Row],[Class]]="C",WORKDAY(Main[[#This Row],[Tech Start Date]],23),IF(Main[[#This Row],[Class]]="B", WORKDAY(Main[[#This Row],[Tech Start Date]],15),IF(Main[[#This Row],[Class]]="A",WORKDAY(Main[[#This Row],[Tech Start Date]],5),""))))</f>
        <v/>
      </c>
      <c r="P213" s="69" t="str">
        <f>IF(Main[[#This Row],[Tech Start Date]]&lt;1/1/1990,"",IF(Main[[#This Row],[Class]]="C",WORKDAY(Main[[#This Row],[Tech Start Date]],28),IF(Main[[#This Row],[Class]]="B", WORKDAY(Main[[#This Row],[Tech Start Date]],19),IF(Main[[#This Row],[Class]]="A",WORKDAY(Main[[#This Row],[Tech Start Date]],9),""))))</f>
        <v/>
      </c>
      <c r="Q213" s="67"/>
      <c r="R213" s="67"/>
      <c r="S213" s="65" t="s">
        <v>23</v>
      </c>
      <c r="T213" s="70" t="s">
        <v>4</v>
      </c>
      <c r="U213" s="65" t="s">
        <v>14</v>
      </c>
      <c r="V213" s="65" t="s">
        <v>1920</v>
      </c>
      <c r="W213" s="65" t="s">
        <v>1919</v>
      </c>
      <c r="X213" s="65" t="s">
        <v>102</v>
      </c>
      <c r="Y213" s="65" t="s">
        <v>4</v>
      </c>
      <c r="Z213" s="65" t="s">
        <v>44</v>
      </c>
      <c r="AA213" s="65" t="s">
        <v>3391</v>
      </c>
    </row>
    <row r="214" spans="1:27" ht="17.45" customHeight="1">
      <c r="A214" s="131" t="str">
        <f>IF(priority(Main[[#This Row],[Comments]])&lt;&gt;0, priority(Main[[#This Row],[Comments]]),"")</f>
        <v/>
      </c>
      <c r="B214" s="99" t="s">
        <v>1042</v>
      </c>
      <c r="C214" s="65" t="s">
        <v>63</v>
      </c>
      <c r="D214" s="66" t="s">
        <v>64</v>
      </c>
      <c r="E214" s="67"/>
      <c r="F214" s="67">
        <v>40513</v>
      </c>
      <c r="G214" s="64" t="str">
        <f>IF(stdProdLT(Main[[#This Row],[Comments]])=0.1,"N/A",IF(stdProdLT(Main[[#This Row],[Comments]])=0,"",stdProdLT(Main[[#This Row],[Comments]])))</f>
        <v/>
      </c>
      <c r="H214" s="68" t="str">
        <f>IF(AND(Main[[#This Row],[In Stock Date]]&lt;&gt;"",Main[[#This Row],[Revised Due Date]]&lt;&gt;""),Main[[#This Row],[In Stock Date]]-Main[[#This Row],[Revised Due Date]],"")</f>
        <v/>
      </c>
      <c r="I214" s="65" t="s">
        <v>65</v>
      </c>
      <c r="J214" s="65" t="s">
        <v>28</v>
      </c>
      <c r="K214" s="65" t="s">
        <v>4</v>
      </c>
      <c r="L214" s="67"/>
      <c r="M214" s="69" t="str">
        <f>IF(Main[[#This Row],[Tech Start Date]]&lt;1/1/1990,"",IF(Main[[#This Row],[Class]]="C",WORKDAY(Main[[#This Row],[Tech Start Date]],9),IF(Main[[#This Row],[Class]]="B", WORKDAY(Main[[#This Row],[Tech Start Date]],6),IF(Main[[#This Row],[Class]]="A",WORKDAY(Main[[#This Row],[Tech Start Date]],2),""))))</f>
        <v/>
      </c>
      <c r="N214" s="69" t="str">
        <f>IF(Main[[#This Row],[Tech Start Date]]&lt;1/1/1990,"",IF(Main[[#This Row],[Class]]="C",WORKDAY(Main[[#This Row],[Tech Start Date]],19),IF(Main[[#This Row],[Class]]="B", WORKDAY(Main[[#This Row],[Tech Start Date]],12),IF(Main[[#This Row],[Class]]="A",WORKDAY(Main[[#This Row],[Tech Start Date]],4),""))))</f>
        <v/>
      </c>
      <c r="O214" s="69" t="str">
        <f>IF(Main[[#This Row],[Tech Start Date]]&lt;1/1/1990,"",IF(Main[[#This Row],[Class]]="C",WORKDAY(Main[[#This Row],[Tech Start Date]],23),IF(Main[[#This Row],[Class]]="B", WORKDAY(Main[[#This Row],[Tech Start Date]],15),IF(Main[[#This Row],[Class]]="A",WORKDAY(Main[[#This Row],[Tech Start Date]],5),""))))</f>
        <v/>
      </c>
      <c r="P214" s="69" t="str">
        <f>IF(Main[[#This Row],[Tech Start Date]]&lt;1/1/1990,"",IF(Main[[#This Row],[Class]]="C",WORKDAY(Main[[#This Row],[Tech Start Date]],28),IF(Main[[#This Row],[Class]]="B", WORKDAY(Main[[#This Row],[Tech Start Date]],19),IF(Main[[#This Row],[Class]]="A",WORKDAY(Main[[#This Row],[Tech Start Date]],9),""))))</f>
        <v/>
      </c>
      <c r="Q214" s="67">
        <v>40513</v>
      </c>
      <c r="R214" s="67"/>
      <c r="S214" s="65" t="s">
        <v>11</v>
      </c>
      <c r="T214" s="70" t="s">
        <v>4</v>
      </c>
      <c r="U214" s="65" t="s">
        <v>14</v>
      </c>
      <c r="V214" s="65" t="s">
        <v>1920</v>
      </c>
      <c r="W214" s="65" t="s">
        <v>1922</v>
      </c>
      <c r="X214" s="65" t="s">
        <v>2821</v>
      </c>
      <c r="Y214" s="65" t="s">
        <v>2933</v>
      </c>
      <c r="Z214" s="65" t="s">
        <v>530</v>
      </c>
      <c r="AA214" s="65" t="s">
        <v>2821</v>
      </c>
    </row>
    <row r="215" spans="1:27" ht="17.45" customHeight="1">
      <c r="A215" s="131" t="str">
        <f>IF(priority(Main[[#This Row],[Comments]])&lt;&gt;0, priority(Main[[#This Row],[Comments]]),"")</f>
        <v/>
      </c>
      <c r="B215" s="99" t="s">
        <v>2052</v>
      </c>
      <c r="C215" s="65" t="s">
        <v>694</v>
      </c>
      <c r="D215" s="66" t="s">
        <v>2053</v>
      </c>
      <c r="E215" s="67"/>
      <c r="F215" s="67"/>
      <c r="G215" s="64" t="str">
        <f>IF(stdProdLT(Main[[#This Row],[Comments]])=0.1,"N/A",IF(stdProdLT(Main[[#This Row],[Comments]])=0,"",stdProdLT(Main[[#This Row],[Comments]])))</f>
        <v/>
      </c>
      <c r="H215" s="68" t="str">
        <f>IF(AND(Main[[#This Row],[In Stock Date]]&lt;&gt;"",Main[[#This Row],[Revised Due Date]]&lt;&gt;""),Main[[#This Row],[In Stock Date]]-Main[[#This Row],[Revised Due Date]],"")</f>
        <v/>
      </c>
      <c r="I215" s="65" t="s">
        <v>4</v>
      </c>
      <c r="J215" s="65" t="s">
        <v>4</v>
      </c>
      <c r="K215" s="65" t="s">
        <v>4</v>
      </c>
      <c r="L215" s="67"/>
      <c r="M215" s="69" t="str">
        <f>IF(Main[[#This Row],[Tech Start Date]]&lt;1/1/1990,"",IF(Main[[#This Row],[Class]]="C",WORKDAY(Main[[#This Row],[Tech Start Date]],9),IF(Main[[#This Row],[Class]]="B", WORKDAY(Main[[#This Row],[Tech Start Date]],6),IF(Main[[#This Row],[Class]]="A",WORKDAY(Main[[#This Row],[Tech Start Date]],2),""))))</f>
        <v/>
      </c>
      <c r="N215" s="69" t="str">
        <f>IF(Main[[#This Row],[Tech Start Date]]&lt;1/1/1990,"",IF(Main[[#This Row],[Class]]="C",WORKDAY(Main[[#This Row],[Tech Start Date]],19),IF(Main[[#This Row],[Class]]="B", WORKDAY(Main[[#This Row],[Tech Start Date]],12),IF(Main[[#This Row],[Class]]="A",WORKDAY(Main[[#This Row],[Tech Start Date]],4),""))))</f>
        <v/>
      </c>
      <c r="O215" s="69" t="str">
        <f>IF(Main[[#This Row],[Tech Start Date]]&lt;1/1/1990,"",IF(Main[[#This Row],[Class]]="C",WORKDAY(Main[[#This Row],[Tech Start Date]],23),IF(Main[[#This Row],[Class]]="B", WORKDAY(Main[[#This Row],[Tech Start Date]],15),IF(Main[[#This Row],[Class]]="A",WORKDAY(Main[[#This Row],[Tech Start Date]],5),""))))</f>
        <v/>
      </c>
      <c r="P215" s="69" t="str">
        <f>IF(Main[[#This Row],[Tech Start Date]]&lt;1/1/1990,"",IF(Main[[#This Row],[Class]]="C",WORKDAY(Main[[#This Row],[Tech Start Date]],28),IF(Main[[#This Row],[Class]]="B", WORKDAY(Main[[#This Row],[Tech Start Date]],19),IF(Main[[#This Row],[Class]]="A",WORKDAY(Main[[#This Row],[Tech Start Date]],9),""))))</f>
        <v/>
      </c>
      <c r="Q215" s="67">
        <v>40760</v>
      </c>
      <c r="R215" s="67"/>
      <c r="S215" s="65" t="s">
        <v>11</v>
      </c>
      <c r="T215" s="70" t="s">
        <v>4</v>
      </c>
      <c r="U215" s="65" t="s">
        <v>14</v>
      </c>
      <c r="V215" s="65" t="s">
        <v>1918</v>
      </c>
      <c r="W215" s="65" t="s">
        <v>1919</v>
      </c>
      <c r="X215" s="65" t="s">
        <v>2822</v>
      </c>
      <c r="Y215" s="65" t="s">
        <v>4</v>
      </c>
      <c r="Z215" s="65" t="s">
        <v>4</v>
      </c>
      <c r="AA215" s="65" t="s">
        <v>2822</v>
      </c>
    </row>
    <row r="216" spans="1:27" ht="17.45" customHeight="1">
      <c r="A216" s="131" t="str">
        <f>IF(priority(Main[[#This Row],[Comments]])&lt;&gt;0, priority(Main[[#This Row],[Comments]]),"")</f>
        <v/>
      </c>
      <c r="B216" s="99" t="s">
        <v>1033</v>
      </c>
      <c r="C216" s="65" t="s">
        <v>53</v>
      </c>
      <c r="D216" s="66" t="s">
        <v>54</v>
      </c>
      <c r="E216" s="67"/>
      <c r="F216" s="67"/>
      <c r="G216" s="64" t="str">
        <f>IF(stdProdLT(Main[[#This Row],[Comments]])=0.1,"N/A",IF(stdProdLT(Main[[#This Row],[Comments]])=0,"",stdProdLT(Main[[#This Row],[Comments]])))</f>
        <v/>
      </c>
      <c r="H216" s="68" t="str">
        <f>IF(AND(Main[[#This Row],[In Stock Date]]&lt;&gt;"",Main[[#This Row],[Revised Due Date]]&lt;&gt;""),Main[[#This Row],[In Stock Date]]-Main[[#This Row],[Revised Due Date]],"")</f>
        <v/>
      </c>
      <c r="I216" s="65" t="s">
        <v>4</v>
      </c>
      <c r="J216" s="65" t="s">
        <v>28</v>
      </c>
      <c r="K216" s="65" t="s">
        <v>1930</v>
      </c>
      <c r="L216" s="67"/>
      <c r="M216" s="69" t="str">
        <f>IF(Main[[#This Row],[Tech Start Date]]&lt;1/1/1990,"",IF(Main[[#This Row],[Class]]="C",WORKDAY(Main[[#This Row],[Tech Start Date]],9),IF(Main[[#This Row],[Class]]="B", WORKDAY(Main[[#This Row],[Tech Start Date]],6),IF(Main[[#This Row],[Class]]="A",WORKDAY(Main[[#This Row],[Tech Start Date]],2),""))))</f>
        <v/>
      </c>
      <c r="N216" s="69" t="str">
        <f>IF(Main[[#This Row],[Tech Start Date]]&lt;1/1/1990,"",IF(Main[[#This Row],[Class]]="C",WORKDAY(Main[[#This Row],[Tech Start Date]],19),IF(Main[[#This Row],[Class]]="B", WORKDAY(Main[[#This Row],[Tech Start Date]],12),IF(Main[[#This Row],[Class]]="A",WORKDAY(Main[[#This Row],[Tech Start Date]],4),""))))</f>
        <v/>
      </c>
      <c r="O216" s="69" t="str">
        <f>IF(Main[[#This Row],[Tech Start Date]]&lt;1/1/1990,"",IF(Main[[#This Row],[Class]]="C",WORKDAY(Main[[#This Row],[Tech Start Date]],23),IF(Main[[#This Row],[Class]]="B", WORKDAY(Main[[#This Row],[Tech Start Date]],15),IF(Main[[#This Row],[Class]]="A",WORKDAY(Main[[#This Row],[Tech Start Date]],5),""))))</f>
        <v/>
      </c>
      <c r="P216" s="69" t="str">
        <f>IF(Main[[#This Row],[Tech Start Date]]&lt;1/1/1990,"",IF(Main[[#This Row],[Class]]="C",WORKDAY(Main[[#This Row],[Tech Start Date]],28),IF(Main[[#This Row],[Class]]="B", WORKDAY(Main[[#This Row],[Tech Start Date]],19),IF(Main[[#This Row],[Class]]="A",WORKDAY(Main[[#This Row],[Tech Start Date]],9),""))))</f>
        <v/>
      </c>
      <c r="Q216" s="67">
        <v>40626</v>
      </c>
      <c r="R216" s="67"/>
      <c r="S216" s="65" t="s">
        <v>11</v>
      </c>
      <c r="T216" s="70" t="s">
        <v>4</v>
      </c>
      <c r="U216" s="65" t="s">
        <v>14</v>
      </c>
      <c r="V216" s="65" t="s">
        <v>1918</v>
      </c>
      <c r="W216" s="65" t="s">
        <v>1919</v>
      </c>
      <c r="X216" s="65" t="s">
        <v>2822</v>
      </c>
      <c r="Y216" s="65" t="s">
        <v>2934</v>
      </c>
      <c r="Z216" s="65" t="s">
        <v>3165</v>
      </c>
      <c r="AA216" s="65" t="s">
        <v>2822</v>
      </c>
    </row>
    <row r="217" spans="1:27" ht="17.45" customHeight="1">
      <c r="A217" s="131" t="str">
        <f>IF(priority(Main[[#This Row],[Comments]])&lt;&gt;0, priority(Main[[#This Row],[Comments]]),"")</f>
        <v/>
      </c>
      <c r="B217" s="99" t="s">
        <v>1034</v>
      </c>
      <c r="C217" s="65" t="s">
        <v>4</v>
      </c>
      <c r="D217" s="66" t="s">
        <v>55</v>
      </c>
      <c r="E217" s="67"/>
      <c r="F217" s="67"/>
      <c r="G217" s="64" t="str">
        <f>IF(stdProdLT(Main[[#This Row],[Comments]])=0.1,"N/A",IF(stdProdLT(Main[[#This Row],[Comments]])=0,"",stdProdLT(Main[[#This Row],[Comments]])))</f>
        <v/>
      </c>
      <c r="H217" s="68" t="str">
        <f>IF(AND(Main[[#This Row],[In Stock Date]]&lt;&gt;"",Main[[#This Row],[Revised Due Date]]&lt;&gt;""),Main[[#This Row],[In Stock Date]]-Main[[#This Row],[Revised Due Date]],"")</f>
        <v/>
      </c>
      <c r="I217" s="65" t="s">
        <v>4</v>
      </c>
      <c r="J217" s="65" t="s">
        <v>4</v>
      </c>
      <c r="K217" s="71" t="s">
        <v>4</v>
      </c>
      <c r="L217" s="67"/>
      <c r="M217" s="69" t="str">
        <f>IF(Main[[#This Row],[Tech Start Date]]&lt;1/1/1990,"",IF(Main[[#This Row],[Class]]="C",WORKDAY(Main[[#This Row],[Tech Start Date]],9),IF(Main[[#This Row],[Class]]="B", WORKDAY(Main[[#This Row],[Tech Start Date]],6),IF(Main[[#This Row],[Class]]="A",WORKDAY(Main[[#This Row],[Tech Start Date]],2),""))))</f>
        <v/>
      </c>
      <c r="N217" s="69" t="str">
        <f>IF(Main[[#This Row],[Tech Start Date]]&lt;1/1/1990,"",IF(Main[[#This Row],[Class]]="C",WORKDAY(Main[[#This Row],[Tech Start Date]],19),IF(Main[[#This Row],[Class]]="B", WORKDAY(Main[[#This Row],[Tech Start Date]],12),IF(Main[[#This Row],[Class]]="A",WORKDAY(Main[[#This Row],[Tech Start Date]],4),""))))</f>
        <v/>
      </c>
      <c r="O217" s="69" t="str">
        <f>IF(Main[[#This Row],[Tech Start Date]]&lt;1/1/1990,"",IF(Main[[#This Row],[Class]]="C",WORKDAY(Main[[#This Row],[Tech Start Date]],23),IF(Main[[#This Row],[Class]]="B", WORKDAY(Main[[#This Row],[Tech Start Date]],15),IF(Main[[#This Row],[Class]]="A",WORKDAY(Main[[#This Row],[Tech Start Date]],5),""))))</f>
        <v/>
      </c>
      <c r="P217" s="69" t="str">
        <f>IF(Main[[#This Row],[Tech Start Date]]&lt;1/1/1990,"",IF(Main[[#This Row],[Class]]="C",WORKDAY(Main[[#This Row],[Tech Start Date]],28),IF(Main[[#This Row],[Class]]="B", WORKDAY(Main[[#This Row],[Tech Start Date]],19),IF(Main[[#This Row],[Class]]="A",WORKDAY(Main[[#This Row],[Tech Start Date]],9),""))))</f>
        <v/>
      </c>
      <c r="Q217" s="67"/>
      <c r="R217" s="67"/>
      <c r="S217" s="65" t="s">
        <v>6</v>
      </c>
      <c r="T217" s="70" t="s">
        <v>4</v>
      </c>
      <c r="U217" s="65" t="s">
        <v>14</v>
      </c>
      <c r="V217" s="65" t="s">
        <v>1920</v>
      </c>
      <c r="W217" s="65" t="s">
        <v>1921</v>
      </c>
      <c r="X217" s="65" t="s">
        <v>306</v>
      </c>
      <c r="Y217" s="65" t="s">
        <v>4</v>
      </c>
      <c r="Z217" s="65" t="s">
        <v>4</v>
      </c>
      <c r="AA217" s="65" t="s">
        <v>4</v>
      </c>
    </row>
    <row r="218" spans="1:27" ht="17.45" customHeight="1">
      <c r="A218" s="131" t="str">
        <f>IF(priority(Main[[#This Row],[Comments]])&lt;&gt;0, priority(Main[[#This Row],[Comments]]),"")</f>
        <v/>
      </c>
      <c r="B218" s="99" t="s">
        <v>1035</v>
      </c>
      <c r="C218" s="65" t="s">
        <v>4</v>
      </c>
      <c r="D218" s="66" t="s">
        <v>56</v>
      </c>
      <c r="E218" s="67"/>
      <c r="F218" s="67"/>
      <c r="G218" s="64" t="str">
        <f>IF(stdProdLT(Main[[#This Row],[Comments]])=0.1,"N/A",IF(stdProdLT(Main[[#This Row],[Comments]])=0,"",stdProdLT(Main[[#This Row],[Comments]])))</f>
        <v/>
      </c>
      <c r="H218" s="68" t="str">
        <f>IF(AND(Main[[#This Row],[In Stock Date]]&lt;&gt;"",Main[[#This Row],[Revised Due Date]]&lt;&gt;""),Main[[#This Row],[In Stock Date]]-Main[[#This Row],[Revised Due Date]],"")</f>
        <v/>
      </c>
      <c r="I218" s="65" t="s">
        <v>4</v>
      </c>
      <c r="J218" s="65" t="s">
        <v>4</v>
      </c>
      <c r="K218" s="65" t="s">
        <v>4</v>
      </c>
      <c r="L218" s="67"/>
      <c r="M218" s="69" t="str">
        <f>IF(Main[[#This Row],[Tech Start Date]]&lt;1/1/1990,"",IF(Main[[#This Row],[Class]]="C",WORKDAY(Main[[#This Row],[Tech Start Date]],9),IF(Main[[#This Row],[Class]]="B", WORKDAY(Main[[#This Row],[Tech Start Date]],6),IF(Main[[#This Row],[Class]]="A",WORKDAY(Main[[#This Row],[Tech Start Date]],2),""))))</f>
        <v/>
      </c>
      <c r="N218" s="69" t="str">
        <f>IF(Main[[#This Row],[Tech Start Date]]&lt;1/1/1990,"",IF(Main[[#This Row],[Class]]="C",WORKDAY(Main[[#This Row],[Tech Start Date]],19),IF(Main[[#This Row],[Class]]="B", WORKDAY(Main[[#This Row],[Tech Start Date]],12),IF(Main[[#This Row],[Class]]="A",WORKDAY(Main[[#This Row],[Tech Start Date]],4),""))))</f>
        <v/>
      </c>
      <c r="O218" s="69" t="str">
        <f>IF(Main[[#This Row],[Tech Start Date]]&lt;1/1/1990,"",IF(Main[[#This Row],[Class]]="C",WORKDAY(Main[[#This Row],[Tech Start Date]],23),IF(Main[[#This Row],[Class]]="B", WORKDAY(Main[[#This Row],[Tech Start Date]],15),IF(Main[[#This Row],[Class]]="A",WORKDAY(Main[[#This Row],[Tech Start Date]],5),""))))</f>
        <v/>
      </c>
      <c r="P218" s="69" t="str">
        <f>IF(Main[[#This Row],[Tech Start Date]]&lt;1/1/1990,"",IF(Main[[#This Row],[Class]]="C",WORKDAY(Main[[#This Row],[Tech Start Date]],28),IF(Main[[#This Row],[Class]]="B", WORKDAY(Main[[#This Row],[Tech Start Date]],19),IF(Main[[#This Row],[Class]]="A",WORKDAY(Main[[#This Row],[Tech Start Date]],9),""))))</f>
        <v/>
      </c>
      <c r="Q218" s="67"/>
      <c r="R218" s="67"/>
      <c r="S218" s="65" t="s">
        <v>49</v>
      </c>
      <c r="T218" s="70" t="s">
        <v>4</v>
      </c>
      <c r="U218" s="65" t="s">
        <v>14</v>
      </c>
      <c r="V218" s="65" t="s">
        <v>1920</v>
      </c>
      <c r="W218" s="65" t="s">
        <v>1921</v>
      </c>
      <c r="X218" s="65" t="s">
        <v>306</v>
      </c>
      <c r="Y218" s="65" t="s">
        <v>4</v>
      </c>
      <c r="Z218" s="65" t="s">
        <v>4</v>
      </c>
      <c r="AA218" s="65" t="s">
        <v>4</v>
      </c>
    </row>
    <row r="219" spans="1:27" ht="17.45" customHeight="1">
      <c r="A219" s="131" t="str">
        <f>IF(priority(Main[[#This Row],[Comments]])&lt;&gt;0, priority(Main[[#This Row],[Comments]]),"")</f>
        <v/>
      </c>
      <c r="B219" s="99" t="s">
        <v>1036</v>
      </c>
      <c r="C219" s="65" t="s">
        <v>4</v>
      </c>
      <c r="D219" s="66" t="s">
        <v>57</v>
      </c>
      <c r="E219" s="67"/>
      <c r="F219" s="67"/>
      <c r="G219" s="64" t="str">
        <f>IF(stdProdLT(Main[[#This Row],[Comments]])=0.1,"N/A",IF(stdProdLT(Main[[#This Row],[Comments]])=0,"",stdProdLT(Main[[#This Row],[Comments]])))</f>
        <v/>
      </c>
      <c r="H219" s="68" t="str">
        <f>IF(AND(Main[[#This Row],[In Stock Date]]&lt;&gt;"",Main[[#This Row],[Revised Due Date]]&lt;&gt;""),Main[[#This Row],[In Stock Date]]-Main[[#This Row],[Revised Due Date]],"")</f>
        <v/>
      </c>
      <c r="I219" s="65" t="s">
        <v>4</v>
      </c>
      <c r="J219" s="65" t="s">
        <v>4</v>
      </c>
      <c r="K219" s="65" t="s">
        <v>4</v>
      </c>
      <c r="L219" s="67"/>
      <c r="M219" s="69" t="str">
        <f>IF(Main[[#This Row],[Tech Start Date]]&lt;1/1/1990,"",IF(Main[[#This Row],[Class]]="C",WORKDAY(Main[[#This Row],[Tech Start Date]],9),IF(Main[[#This Row],[Class]]="B", WORKDAY(Main[[#This Row],[Tech Start Date]],6),IF(Main[[#This Row],[Class]]="A",WORKDAY(Main[[#This Row],[Tech Start Date]],2),""))))</f>
        <v/>
      </c>
      <c r="N219" s="69" t="str">
        <f>IF(Main[[#This Row],[Tech Start Date]]&lt;1/1/1990,"",IF(Main[[#This Row],[Class]]="C",WORKDAY(Main[[#This Row],[Tech Start Date]],19),IF(Main[[#This Row],[Class]]="B", WORKDAY(Main[[#This Row],[Tech Start Date]],12),IF(Main[[#This Row],[Class]]="A",WORKDAY(Main[[#This Row],[Tech Start Date]],4),""))))</f>
        <v/>
      </c>
      <c r="O219" s="69" t="str">
        <f>IF(Main[[#This Row],[Tech Start Date]]&lt;1/1/1990,"",IF(Main[[#This Row],[Class]]="C",WORKDAY(Main[[#This Row],[Tech Start Date]],23),IF(Main[[#This Row],[Class]]="B", WORKDAY(Main[[#This Row],[Tech Start Date]],15),IF(Main[[#This Row],[Class]]="A",WORKDAY(Main[[#This Row],[Tech Start Date]],5),""))))</f>
        <v/>
      </c>
      <c r="P219" s="69" t="str">
        <f>IF(Main[[#This Row],[Tech Start Date]]&lt;1/1/1990,"",IF(Main[[#This Row],[Class]]="C",WORKDAY(Main[[#This Row],[Tech Start Date]],28),IF(Main[[#This Row],[Class]]="B", WORKDAY(Main[[#This Row],[Tech Start Date]],19),IF(Main[[#This Row],[Class]]="A",WORKDAY(Main[[#This Row],[Tech Start Date]],9),""))))</f>
        <v/>
      </c>
      <c r="Q219" s="67"/>
      <c r="R219" s="67"/>
      <c r="S219" s="65" t="s">
        <v>49</v>
      </c>
      <c r="T219" s="70" t="s">
        <v>4</v>
      </c>
      <c r="U219" s="65" t="s">
        <v>14</v>
      </c>
      <c r="V219" s="65" t="s">
        <v>1927</v>
      </c>
      <c r="W219" s="65" t="s">
        <v>1921</v>
      </c>
      <c r="X219" s="65" t="s">
        <v>306</v>
      </c>
      <c r="Y219" s="65" t="s">
        <v>4</v>
      </c>
      <c r="Z219" s="65" t="s">
        <v>4</v>
      </c>
      <c r="AA219" s="65" t="s">
        <v>4</v>
      </c>
    </row>
    <row r="220" spans="1:27" ht="17.45" customHeight="1">
      <c r="A220" s="131" t="str">
        <f>IF(priority(Main[[#This Row],[Comments]])&lt;&gt;0, priority(Main[[#This Row],[Comments]]),"")</f>
        <v/>
      </c>
      <c r="B220" s="99" t="s">
        <v>1037</v>
      </c>
      <c r="C220" s="65" t="s">
        <v>58</v>
      </c>
      <c r="D220" s="66" t="s">
        <v>59</v>
      </c>
      <c r="E220" s="67"/>
      <c r="F220" s="67"/>
      <c r="G220" s="64" t="str">
        <f>IF(stdProdLT(Main[[#This Row],[Comments]])=0.1,"N/A",IF(stdProdLT(Main[[#This Row],[Comments]])=0,"",stdProdLT(Main[[#This Row],[Comments]])))</f>
        <v/>
      </c>
      <c r="H220" s="68" t="str">
        <f>IF(AND(Main[[#This Row],[In Stock Date]]&lt;&gt;"",Main[[#This Row],[Revised Due Date]]&lt;&gt;""),Main[[#This Row],[In Stock Date]]-Main[[#This Row],[Revised Due Date]],"")</f>
        <v/>
      </c>
      <c r="I220" s="65" t="s">
        <v>4</v>
      </c>
      <c r="J220" s="65" t="s">
        <v>4</v>
      </c>
      <c r="K220" s="65" t="s">
        <v>4</v>
      </c>
      <c r="L220" s="67"/>
      <c r="M220" s="69" t="str">
        <f>IF(Main[[#This Row],[Tech Start Date]]&lt;1/1/1990,"",IF(Main[[#This Row],[Class]]="C",WORKDAY(Main[[#This Row],[Tech Start Date]],9),IF(Main[[#This Row],[Class]]="B", WORKDAY(Main[[#This Row],[Tech Start Date]],6),IF(Main[[#This Row],[Class]]="A",WORKDAY(Main[[#This Row],[Tech Start Date]],2),""))))</f>
        <v/>
      </c>
      <c r="N220" s="69" t="str">
        <f>IF(Main[[#This Row],[Tech Start Date]]&lt;1/1/1990,"",IF(Main[[#This Row],[Class]]="C",WORKDAY(Main[[#This Row],[Tech Start Date]],19),IF(Main[[#This Row],[Class]]="B", WORKDAY(Main[[#This Row],[Tech Start Date]],12),IF(Main[[#This Row],[Class]]="A",WORKDAY(Main[[#This Row],[Tech Start Date]],4),""))))</f>
        <v/>
      </c>
      <c r="O220" s="69" t="str">
        <f>IF(Main[[#This Row],[Tech Start Date]]&lt;1/1/1990,"",IF(Main[[#This Row],[Class]]="C",WORKDAY(Main[[#This Row],[Tech Start Date]],23),IF(Main[[#This Row],[Class]]="B", WORKDAY(Main[[#This Row],[Tech Start Date]],15),IF(Main[[#This Row],[Class]]="A",WORKDAY(Main[[#This Row],[Tech Start Date]],5),""))))</f>
        <v/>
      </c>
      <c r="P220" s="69" t="str">
        <f>IF(Main[[#This Row],[Tech Start Date]]&lt;1/1/1990,"",IF(Main[[#This Row],[Class]]="C",WORKDAY(Main[[#This Row],[Tech Start Date]],28),IF(Main[[#This Row],[Class]]="B", WORKDAY(Main[[#This Row],[Tech Start Date]],19),IF(Main[[#This Row],[Class]]="A",WORKDAY(Main[[#This Row],[Tech Start Date]],9),""))))</f>
        <v/>
      </c>
      <c r="Q220" s="67"/>
      <c r="R220" s="67"/>
      <c r="S220" s="65" t="s">
        <v>11</v>
      </c>
      <c r="T220" s="70" t="s">
        <v>4</v>
      </c>
      <c r="U220" s="65" t="s">
        <v>14</v>
      </c>
      <c r="V220" s="65" t="s">
        <v>1918</v>
      </c>
      <c r="W220" s="65" t="s">
        <v>1922</v>
      </c>
      <c r="X220" s="65" t="s">
        <v>2826</v>
      </c>
      <c r="Y220" s="65" t="s">
        <v>2940</v>
      </c>
      <c r="Z220" s="65" t="s">
        <v>4</v>
      </c>
      <c r="AA220" s="65" t="s">
        <v>3392</v>
      </c>
    </row>
    <row r="221" spans="1:27" ht="17.45" customHeight="1">
      <c r="A221" s="131" t="str">
        <f>IF(priority(Main[[#This Row],[Comments]])&lt;&gt;0, priority(Main[[#This Row],[Comments]]),"")</f>
        <v/>
      </c>
      <c r="B221" s="99" t="s">
        <v>1038</v>
      </c>
      <c r="C221" s="65" t="s">
        <v>4</v>
      </c>
      <c r="D221" s="66" t="s">
        <v>60</v>
      </c>
      <c r="E221" s="67"/>
      <c r="F221" s="67"/>
      <c r="G221" s="64" t="str">
        <f>IF(stdProdLT(Main[[#This Row],[Comments]])=0.1,"N/A",IF(stdProdLT(Main[[#This Row],[Comments]])=0,"",stdProdLT(Main[[#This Row],[Comments]])))</f>
        <v/>
      </c>
      <c r="H221" s="68" t="str">
        <f>IF(AND(Main[[#This Row],[In Stock Date]]&lt;&gt;"",Main[[#This Row],[Revised Due Date]]&lt;&gt;""),Main[[#This Row],[In Stock Date]]-Main[[#This Row],[Revised Due Date]],"")</f>
        <v/>
      </c>
      <c r="I221" s="65" t="s">
        <v>4</v>
      </c>
      <c r="J221" s="65" t="s">
        <v>4</v>
      </c>
      <c r="K221" s="65" t="s">
        <v>4</v>
      </c>
      <c r="L221" s="67"/>
      <c r="M221" s="69" t="str">
        <f>IF(Main[[#This Row],[Tech Start Date]]&lt;1/1/1990,"",IF(Main[[#This Row],[Class]]="C",WORKDAY(Main[[#This Row],[Tech Start Date]],9),IF(Main[[#This Row],[Class]]="B", WORKDAY(Main[[#This Row],[Tech Start Date]],6),IF(Main[[#This Row],[Class]]="A",WORKDAY(Main[[#This Row],[Tech Start Date]],2),""))))</f>
        <v/>
      </c>
      <c r="N221" s="69" t="str">
        <f>IF(Main[[#This Row],[Tech Start Date]]&lt;1/1/1990,"",IF(Main[[#This Row],[Class]]="C",WORKDAY(Main[[#This Row],[Tech Start Date]],19),IF(Main[[#This Row],[Class]]="B", WORKDAY(Main[[#This Row],[Tech Start Date]],12),IF(Main[[#This Row],[Class]]="A",WORKDAY(Main[[#This Row],[Tech Start Date]],4),""))))</f>
        <v/>
      </c>
      <c r="O221" s="69" t="str">
        <f>IF(Main[[#This Row],[Tech Start Date]]&lt;1/1/1990,"",IF(Main[[#This Row],[Class]]="C",WORKDAY(Main[[#This Row],[Tech Start Date]],23),IF(Main[[#This Row],[Class]]="B", WORKDAY(Main[[#This Row],[Tech Start Date]],15),IF(Main[[#This Row],[Class]]="A",WORKDAY(Main[[#This Row],[Tech Start Date]],5),""))))</f>
        <v/>
      </c>
      <c r="P221" s="69" t="str">
        <f>IF(Main[[#This Row],[Tech Start Date]]&lt;1/1/1990,"",IF(Main[[#This Row],[Class]]="C",WORKDAY(Main[[#This Row],[Tech Start Date]],28),IF(Main[[#This Row],[Class]]="B", WORKDAY(Main[[#This Row],[Tech Start Date]],19),IF(Main[[#This Row],[Class]]="A",WORKDAY(Main[[#This Row],[Tech Start Date]],9),""))))</f>
        <v/>
      </c>
      <c r="Q221" s="67"/>
      <c r="R221" s="67"/>
      <c r="S221" s="65" t="s">
        <v>49</v>
      </c>
      <c r="T221" s="70" t="s">
        <v>4</v>
      </c>
      <c r="U221" s="65" t="s">
        <v>14</v>
      </c>
      <c r="V221" s="65" t="s">
        <v>1918</v>
      </c>
      <c r="W221" s="65" t="s">
        <v>1921</v>
      </c>
      <c r="X221" s="65" t="s">
        <v>306</v>
      </c>
      <c r="Y221" s="65" t="s">
        <v>4</v>
      </c>
      <c r="Z221" s="65" t="s">
        <v>4</v>
      </c>
      <c r="AA221" s="65" t="s">
        <v>4</v>
      </c>
    </row>
    <row r="222" spans="1:27" ht="17.45" customHeight="1">
      <c r="A222" s="131" t="str">
        <f>IF(priority(Main[[#This Row],[Comments]])&lt;&gt;0, priority(Main[[#This Row],[Comments]]),"")</f>
        <v/>
      </c>
      <c r="B222" s="99" t="s">
        <v>2327</v>
      </c>
      <c r="C222" s="65" t="s">
        <v>4</v>
      </c>
      <c r="D222" s="66" t="s">
        <v>2328</v>
      </c>
      <c r="E222" s="67">
        <v>40841.712557870371</v>
      </c>
      <c r="F222" s="67"/>
      <c r="G222" s="64" t="str">
        <f>IF(stdProdLT(Main[[#This Row],[Comments]])=0.1,"N/A",IF(stdProdLT(Main[[#This Row],[Comments]])=0,"",stdProdLT(Main[[#This Row],[Comments]])))</f>
        <v/>
      </c>
      <c r="H222" s="68" t="str">
        <f>IF(AND(Main[[#This Row],[In Stock Date]]&lt;&gt;"",Main[[#This Row],[Revised Due Date]]&lt;&gt;""),Main[[#This Row],[In Stock Date]]-Main[[#This Row],[Revised Due Date]],"")</f>
        <v/>
      </c>
      <c r="I222" s="65" t="s">
        <v>914</v>
      </c>
      <c r="J222" s="65" t="s">
        <v>52</v>
      </c>
      <c r="K222" s="65" t="s">
        <v>4</v>
      </c>
      <c r="L222" s="67"/>
      <c r="M222" s="69" t="str">
        <f>IF(Main[[#This Row],[Tech Start Date]]&lt;1/1/1990,"",IF(Main[[#This Row],[Class]]="C",WORKDAY(Main[[#This Row],[Tech Start Date]],9),IF(Main[[#This Row],[Class]]="B", WORKDAY(Main[[#This Row],[Tech Start Date]],6),IF(Main[[#This Row],[Class]]="A",WORKDAY(Main[[#This Row],[Tech Start Date]],2),""))))</f>
        <v/>
      </c>
      <c r="N222" s="69" t="str">
        <f>IF(Main[[#This Row],[Tech Start Date]]&lt;1/1/1990,"",IF(Main[[#This Row],[Class]]="C",WORKDAY(Main[[#This Row],[Tech Start Date]],19),IF(Main[[#This Row],[Class]]="B", WORKDAY(Main[[#This Row],[Tech Start Date]],12),IF(Main[[#This Row],[Class]]="A",WORKDAY(Main[[#This Row],[Tech Start Date]],4),""))))</f>
        <v/>
      </c>
      <c r="O222" s="69" t="str">
        <f>IF(Main[[#This Row],[Tech Start Date]]&lt;1/1/1990,"",IF(Main[[#This Row],[Class]]="C",WORKDAY(Main[[#This Row],[Tech Start Date]],23),IF(Main[[#This Row],[Class]]="B", WORKDAY(Main[[#This Row],[Tech Start Date]],15),IF(Main[[#This Row],[Class]]="A",WORKDAY(Main[[#This Row],[Tech Start Date]],5),""))))</f>
        <v/>
      </c>
      <c r="P222" s="69" t="str">
        <f>IF(Main[[#This Row],[Tech Start Date]]&lt;1/1/1990,"",IF(Main[[#This Row],[Class]]="C",WORKDAY(Main[[#This Row],[Tech Start Date]],28),IF(Main[[#This Row],[Class]]="B", WORKDAY(Main[[#This Row],[Tech Start Date]],19),IF(Main[[#This Row],[Class]]="A",WORKDAY(Main[[#This Row],[Tech Start Date]],9),""))))</f>
        <v/>
      </c>
      <c r="Q222" s="67">
        <v>40856</v>
      </c>
      <c r="R222" s="67"/>
      <c r="S222" s="65" t="s">
        <v>6</v>
      </c>
      <c r="T222" s="70" t="s">
        <v>4</v>
      </c>
      <c r="U222" s="65" t="s">
        <v>29</v>
      </c>
      <c r="V222" s="65" t="s">
        <v>1917</v>
      </c>
      <c r="W222" s="65" t="s">
        <v>1925</v>
      </c>
      <c r="X222" s="65" t="s">
        <v>2827</v>
      </c>
      <c r="Y222" s="65" t="s">
        <v>2942</v>
      </c>
      <c r="Z222" s="65" t="s">
        <v>129</v>
      </c>
      <c r="AA222" s="65" t="s">
        <v>2827</v>
      </c>
    </row>
    <row r="223" spans="1:27" ht="17.45" customHeight="1">
      <c r="A223" s="131" t="str">
        <f>IF(priority(Main[[#This Row],[Comments]])&lt;&gt;0, priority(Main[[#This Row],[Comments]]),"")</f>
        <v/>
      </c>
      <c r="B223" s="99" t="s">
        <v>1040</v>
      </c>
      <c r="C223" s="65" t="s">
        <v>4</v>
      </c>
      <c r="D223" s="66" t="s">
        <v>61</v>
      </c>
      <c r="E223" s="67"/>
      <c r="F223" s="67"/>
      <c r="G223" s="64" t="str">
        <f>IF(stdProdLT(Main[[#This Row],[Comments]])=0.1,"N/A",IF(stdProdLT(Main[[#This Row],[Comments]])=0,"",stdProdLT(Main[[#This Row],[Comments]])))</f>
        <v/>
      </c>
      <c r="H223" s="68" t="str">
        <f>IF(AND(Main[[#This Row],[In Stock Date]]&lt;&gt;"",Main[[#This Row],[Revised Due Date]]&lt;&gt;""),Main[[#This Row],[In Stock Date]]-Main[[#This Row],[Revised Due Date]],"")</f>
        <v/>
      </c>
      <c r="I223" s="65" t="s">
        <v>4</v>
      </c>
      <c r="J223" s="65" t="s">
        <v>4</v>
      </c>
      <c r="K223" s="71" t="s">
        <v>4</v>
      </c>
      <c r="L223" s="67"/>
      <c r="M223" s="69" t="str">
        <f>IF(Main[[#This Row],[Tech Start Date]]&lt;1/1/1990,"",IF(Main[[#This Row],[Class]]="C",WORKDAY(Main[[#This Row],[Tech Start Date]],9),IF(Main[[#This Row],[Class]]="B", WORKDAY(Main[[#This Row],[Tech Start Date]],6),IF(Main[[#This Row],[Class]]="A",WORKDAY(Main[[#This Row],[Tech Start Date]],2),""))))</f>
        <v/>
      </c>
      <c r="N223" s="69" t="str">
        <f>IF(Main[[#This Row],[Tech Start Date]]&lt;1/1/1990,"",IF(Main[[#This Row],[Class]]="C",WORKDAY(Main[[#This Row],[Tech Start Date]],19),IF(Main[[#This Row],[Class]]="B", WORKDAY(Main[[#This Row],[Tech Start Date]],12),IF(Main[[#This Row],[Class]]="A",WORKDAY(Main[[#This Row],[Tech Start Date]],4),""))))</f>
        <v/>
      </c>
      <c r="O223" s="69" t="str">
        <f>IF(Main[[#This Row],[Tech Start Date]]&lt;1/1/1990,"",IF(Main[[#This Row],[Class]]="C",WORKDAY(Main[[#This Row],[Tech Start Date]],23),IF(Main[[#This Row],[Class]]="B", WORKDAY(Main[[#This Row],[Tech Start Date]],15),IF(Main[[#This Row],[Class]]="A",WORKDAY(Main[[#This Row],[Tech Start Date]],5),""))))</f>
        <v/>
      </c>
      <c r="P223" s="69" t="str">
        <f>IF(Main[[#This Row],[Tech Start Date]]&lt;1/1/1990,"",IF(Main[[#This Row],[Class]]="C",WORKDAY(Main[[#This Row],[Tech Start Date]],28),IF(Main[[#This Row],[Class]]="B", WORKDAY(Main[[#This Row],[Tech Start Date]],19),IF(Main[[#This Row],[Class]]="A",WORKDAY(Main[[#This Row],[Tech Start Date]],9),""))))</f>
        <v/>
      </c>
      <c r="Q223" s="67">
        <v>40564</v>
      </c>
      <c r="R223" s="67"/>
      <c r="S223" s="65" t="s">
        <v>23</v>
      </c>
      <c r="T223" s="70" t="s">
        <v>4</v>
      </c>
      <c r="U223" s="65" t="s">
        <v>12</v>
      </c>
      <c r="V223" s="65" t="s">
        <v>1920</v>
      </c>
      <c r="W223" s="65" t="s">
        <v>1921</v>
      </c>
      <c r="X223" s="65" t="s">
        <v>417</v>
      </c>
      <c r="Y223" s="65" t="s">
        <v>2943</v>
      </c>
      <c r="Z223" s="65" t="s">
        <v>4</v>
      </c>
      <c r="AA223" s="65" t="s">
        <v>3393</v>
      </c>
    </row>
    <row r="224" spans="1:27" ht="17.45" customHeight="1">
      <c r="A224" s="131" t="str">
        <f>IF(priority(Main[[#This Row],[Comments]])&lt;&gt;0, priority(Main[[#This Row],[Comments]]),"")</f>
        <v/>
      </c>
      <c r="B224" s="99" t="s">
        <v>1043</v>
      </c>
      <c r="C224" s="65" t="s">
        <v>83</v>
      </c>
      <c r="D224" s="66" t="s">
        <v>84</v>
      </c>
      <c r="E224" s="67"/>
      <c r="F224" s="67"/>
      <c r="G224" s="64" t="str">
        <f>IF(stdProdLT(Main[[#This Row],[Comments]])=0.1,"N/A",IF(stdProdLT(Main[[#This Row],[Comments]])=0,"",stdProdLT(Main[[#This Row],[Comments]])))</f>
        <v/>
      </c>
      <c r="H224" s="68" t="str">
        <f>IF(AND(Main[[#This Row],[In Stock Date]]&lt;&gt;"",Main[[#This Row],[Revised Due Date]]&lt;&gt;""),Main[[#This Row],[In Stock Date]]-Main[[#This Row],[Revised Due Date]],"")</f>
        <v/>
      </c>
      <c r="I224" s="65" t="s">
        <v>4</v>
      </c>
      <c r="J224" s="65" t="s">
        <v>4</v>
      </c>
      <c r="K224" s="65" t="s">
        <v>4</v>
      </c>
      <c r="L224" s="67"/>
      <c r="M224" s="69" t="str">
        <f>IF(Main[[#This Row],[Tech Start Date]]&lt;1/1/1990,"",IF(Main[[#This Row],[Class]]="C",WORKDAY(Main[[#This Row],[Tech Start Date]],9),IF(Main[[#This Row],[Class]]="B", WORKDAY(Main[[#This Row],[Tech Start Date]],6),IF(Main[[#This Row],[Class]]="A",WORKDAY(Main[[#This Row],[Tech Start Date]],2),""))))</f>
        <v/>
      </c>
      <c r="N224" s="69" t="str">
        <f>IF(Main[[#This Row],[Tech Start Date]]&lt;1/1/1990,"",IF(Main[[#This Row],[Class]]="C",WORKDAY(Main[[#This Row],[Tech Start Date]],19),IF(Main[[#This Row],[Class]]="B", WORKDAY(Main[[#This Row],[Tech Start Date]],12),IF(Main[[#This Row],[Class]]="A",WORKDAY(Main[[#This Row],[Tech Start Date]],4),""))))</f>
        <v/>
      </c>
      <c r="O224" s="69" t="str">
        <f>IF(Main[[#This Row],[Tech Start Date]]&lt;1/1/1990,"",IF(Main[[#This Row],[Class]]="C",WORKDAY(Main[[#This Row],[Tech Start Date]],23),IF(Main[[#This Row],[Class]]="B", WORKDAY(Main[[#This Row],[Tech Start Date]],15),IF(Main[[#This Row],[Class]]="A",WORKDAY(Main[[#This Row],[Tech Start Date]],5),""))))</f>
        <v/>
      </c>
      <c r="P224" s="69" t="str">
        <f>IF(Main[[#This Row],[Tech Start Date]]&lt;1/1/1990,"",IF(Main[[#This Row],[Class]]="C",WORKDAY(Main[[#This Row],[Tech Start Date]],28),IF(Main[[#This Row],[Class]]="B", WORKDAY(Main[[#This Row],[Tech Start Date]],19),IF(Main[[#This Row],[Class]]="A",WORKDAY(Main[[#This Row],[Tech Start Date]],9),""))))</f>
        <v/>
      </c>
      <c r="Q224" s="67">
        <v>40259</v>
      </c>
      <c r="R224" s="67"/>
      <c r="S224" s="65" t="s">
        <v>11</v>
      </c>
      <c r="T224" s="70" t="s">
        <v>4</v>
      </c>
      <c r="U224" s="65" t="s">
        <v>14</v>
      </c>
      <c r="V224" s="65" t="s">
        <v>1917</v>
      </c>
      <c r="W224" s="65" t="s">
        <v>1928</v>
      </c>
      <c r="X224" s="65" t="s">
        <v>2823</v>
      </c>
      <c r="Y224" s="65" t="s">
        <v>4</v>
      </c>
      <c r="Z224" s="65" t="s">
        <v>4</v>
      </c>
      <c r="AA224" s="65" t="s">
        <v>2823</v>
      </c>
    </row>
    <row r="225" spans="1:27" ht="17.45" customHeight="1">
      <c r="A225" s="131" t="str">
        <f>IF(priority(Main[[#This Row],[Comments]])&lt;&gt;0, priority(Main[[#This Row],[Comments]]),"")</f>
        <v/>
      </c>
      <c r="B225" s="99" t="s">
        <v>3285</v>
      </c>
      <c r="C225" s="65" t="s">
        <v>47</v>
      </c>
      <c r="D225" s="66" t="s">
        <v>3327</v>
      </c>
      <c r="E225" s="67">
        <v>40933.456712962965</v>
      </c>
      <c r="F225" s="67"/>
      <c r="G225" s="64" t="str">
        <f>IF(stdProdLT(Main[[#This Row],[Comments]])=0.1,"N/A",IF(stdProdLT(Main[[#This Row],[Comments]])=0,"",stdProdLT(Main[[#This Row],[Comments]])))</f>
        <v/>
      </c>
      <c r="H225" s="68" t="str">
        <f>IF(AND(Main[[#This Row],[In Stock Date]]&lt;&gt;"",Main[[#This Row],[Revised Due Date]]&lt;&gt;""),Main[[#This Row],[In Stock Date]]-Main[[#This Row],[Revised Due Date]],"")</f>
        <v/>
      </c>
      <c r="I225" s="65" t="s">
        <v>4</v>
      </c>
      <c r="J225" s="65" t="s">
        <v>4</v>
      </c>
      <c r="K225" s="65" t="s">
        <v>4</v>
      </c>
      <c r="L225" s="67"/>
      <c r="M225" s="69" t="str">
        <f>IF(Main[[#This Row],[Tech Start Date]]&lt;1/1/1990,"",IF(Main[[#This Row],[Class]]="C",WORKDAY(Main[[#This Row],[Tech Start Date]],9),IF(Main[[#This Row],[Class]]="B", WORKDAY(Main[[#This Row],[Tech Start Date]],6),IF(Main[[#This Row],[Class]]="A",WORKDAY(Main[[#This Row],[Tech Start Date]],2),""))))</f>
        <v/>
      </c>
      <c r="N225" s="69" t="str">
        <f>IF(Main[[#This Row],[Tech Start Date]]&lt;1/1/1990,"",IF(Main[[#This Row],[Class]]="C",WORKDAY(Main[[#This Row],[Tech Start Date]],19),IF(Main[[#This Row],[Class]]="B", WORKDAY(Main[[#This Row],[Tech Start Date]],12),IF(Main[[#This Row],[Class]]="A",WORKDAY(Main[[#This Row],[Tech Start Date]],4),""))))</f>
        <v/>
      </c>
      <c r="O225" s="69" t="str">
        <f>IF(Main[[#This Row],[Tech Start Date]]&lt;1/1/1990,"",IF(Main[[#This Row],[Class]]="C",WORKDAY(Main[[#This Row],[Tech Start Date]],23),IF(Main[[#This Row],[Class]]="B", WORKDAY(Main[[#This Row],[Tech Start Date]],15),IF(Main[[#This Row],[Class]]="A",WORKDAY(Main[[#This Row],[Tech Start Date]],5),""))))</f>
        <v/>
      </c>
      <c r="P225" s="69" t="str">
        <f>IF(Main[[#This Row],[Tech Start Date]]&lt;1/1/1990,"",IF(Main[[#This Row],[Class]]="C",WORKDAY(Main[[#This Row],[Tech Start Date]],28),IF(Main[[#This Row],[Class]]="B", WORKDAY(Main[[#This Row],[Tech Start Date]],19),IF(Main[[#This Row],[Class]]="A",WORKDAY(Main[[#This Row],[Tech Start Date]],9),""))))</f>
        <v/>
      </c>
      <c r="Q225" s="67">
        <v>40939</v>
      </c>
      <c r="R225" s="67"/>
      <c r="S225" s="65" t="s">
        <v>6</v>
      </c>
      <c r="T225" s="70" t="s">
        <v>4</v>
      </c>
      <c r="U225" s="65" t="s">
        <v>29</v>
      </c>
      <c r="V225" s="65" t="s">
        <v>2288</v>
      </c>
      <c r="W225" s="65" t="s">
        <v>4</v>
      </c>
      <c r="X225" s="65" t="s">
        <v>2871</v>
      </c>
      <c r="Y225" s="65" t="s">
        <v>3016</v>
      </c>
      <c r="Z225" s="65" t="s">
        <v>4</v>
      </c>
      <c r="AA225" s="65" t="s">
        <v>2871</v>
      </c>
    </row>
    <row r="226" spans="1:27" ht="17.45" customHeight="1">
      <c r="A226" s="131" t="str">
        <f>IF(priority(Main[[#This Row],[Comments]])&lt;&gt;0, priority(Main[[#This Row],[Comments]]),"")</f>
        <v/>
      </c>
      <c r="B226" s="99" t="s">
        <v>1751</v>
      </c>
      <c r="C226" s="65" t="s">
        <v>4</v>
      </c>
      <c r="D226" s="66" t="s">
        <v>2336</v>
      </c>
      <c r="E226" s="67"/>
      <c r="F226" s="67"/>
      <c r="G226" s="64" t="str">
        <f>IF(stdProdLT(Main[[#This Row],[Comments]])=0.1,"N/A",IF(stdProdLT(Main[[#This Row],[Comments]])=0,"",stdProdLT(Main[[#This Row],[Comments]])))</f>
        <v/>
      </c>
      <c r="H226" s="68" t="str">
        <f>IF(AND(Main[[#This Row],[In Stock Date]]&lt;&gt;"",Main[[#This Row],[Revised Due Date]]&lt;&gt;""),Main[[#This Row],[In Stock Date]]-Main[[#This Row],[Revised Due Date]],"")</f>
        <v/>
      </c>
      <c r="I226" s="65" t="s">
        <v>130</v>
      </c>
      <c r="J226" s="65" t="s">
        <v>70</v>
      </c>
      <c r="K226" s="65" t="s">
        <v>1926</v>
      </c>
      <c r="L226" s="67"/>
      <c r="M226" s="69" t="str">
        <f>IF(Main[[#This Row],[Tech Start Date]]&lt;1/1/1990,"",IF(Main[[#This Row],[Class]]="C",WORKDAY(Main[[#This Row],[Tech Start Date]],9),IF(Main[[#This Row],[Class]]="B", WORKDAY(Main[[#This Row],[Tech Start Date]],6),IF(Main[[#This Row],[Class]]="A",WORKDAY(Main[[#This Row],[Tech Start Date]],2),""))))</f>
        <v/>
      </c>
      <c r="N226" s="69" t="str">
        <f>IF(Main[[#This Row],[Tech Start Date]]&lt;1/1/1990,"",IF(Main[[#This Row],[Class]]="C",WORKDAY(Main[[#This Row],[Tech Start Date]],19),IF(Main[[#This Row],[Class]]="B", WORKDAY(Main[[#This Row],[Tech Start Date]],12),IF(Main[[#This Row],[Class]]="A",WORKDAY(Main[[#This Row],[Tech Start Date]],4),""))))</f>
        <v/>
      </c>
      <c r="O226" s="69" t="str">
        <f>IF(Main[[#This Row],[Tech Start Date]]&lt;1/1/1990,"",IF(Main[[#This Row],[Class]]="C",WORKDAY(Main[[#This Row],[Tech Start Date]],23),IF(Main[[#This Row],[Class]]="B", WORKDAY(Main[[#This Row],[Tech Start Date]],15),IF(Main[[#This Row],[Class]]="A",WORKDAY(Main[[#This Row],[Tech Start Date]],5),""))))</f>
        <v/>
      </c>
      <c r="P226" s="69" t="str">
        <f>IF(Main[[#This Row],[Tech Start Date]]&lt;1/1/1990,"",IF(Main[[#This Row],[Class]]="C",WORKDAY(Main[[#This Row],[Tech Start Date]],28),IF(Main[[#This Row],[Class]]="B", WORKDAY(Main[[#This Row],[Tech Start Date]],19),IF(Main[[#This Row],[Class]]="A",WORKDAY(Main[[#This Row],[Tech Start Date]],9),""))))</f>
        <v/>
      </c>
      <c r="Q226" s="67">
        <v>40786</v>
      </c>
      <c r="R226" s="67"/>
      <c r="S226" s="65" t="s">
        <v>6</v>
      </c>
      <c r="T226" s="70" t="s">
        <v>4</v>
      </c>
      <c r="U226" s="65" t="s">
        <v>14</v>
      </c>
      <c r="V226" s="65" t="s">
        <v>1920</v>
      </c>
      <c r="W226" s="65" t="s">
        <v>1921</v>
      </c>
      <c r="X226" s="65" t="s">
        <v>399</v>
      </c>
      <c r="Y226" s="65" t="s">
        <v>4</v>
      </c>
      <c r="Z226" s="65" t="s">
        <v>44</v>
      </c>
      <c r="AA226" s="65" t="s">
        <v>3390</v>
      </c>
    </row>
    <row r="227" spans="1:27" ht="17.45" customHeight="1">
      <c r="A227" s="131" t="str">
        <f>IF(priority(Main[[#This Row],[Comments]])&lt;&gt;0, priority(Main[[#This Row],[Comments]]),"")</f>
        <v/>
      </c>
      <c r="B227" s="99" t="s">
        <v>1948</v>
      </c>
      <c r="C227" s="65" t="s">
        <v>4</v>
      </c>
      <c r="D227" s="66" t="s">
        <v>3328</v>
      </c>
      <c r="E227" s="67">
        <v>40721.395208333335</v>
      </c>
      <c r="F227" s="67"/>
      <c r="G227" s="64" t="str">
        <f>IF(stdProdLT(Main[[#This Row],[Comments]])=0.1,"N/A",IF(stdProdLT(Main[[#This Row],[Comments]])=0,"",stdProdLT(Main[[#This Row],[Comments]])))</f>
        <v/>
      </c>
      <c r="H227" s="68" t="str">
        <f>IF(AND(Main[[#This Row],[In Stock Date]]&lt;&gt;"",Main[[#This Row],[Revised Due Date]]&lt;&gt;""),Main[[#This Row],[In Stock Date]]-Main[[#This Row],[Revised Due Date]],"")</f>
        <v/>
      </c>
      <c r="I227" s="65" t="s">
        <v>2054</v>
      </c>
      <c r="J227" s="65" t="s">
        <v>21</v>
      </c>
      <c r="K227" s="71" t="s">
        <v>1926</v>
      </c>
      <c r="L227" s="67"/>
      <c r="M227" s="69" t="str">
        <f>IF(Main[[#This Row],[Tech Start Date]]&lt;1/1/1990,"",IF(Main[[#This Row],[Class]]="C",WORKDAY(Main[[#This Row],[Tech Start Date]],9),IF(Main[[#This Row],[Class]]="B", WORKDAY(Main[[#This Row],[Tech Start Date]],6),IF(Main[[#This Row],[Class]]="A",WORKDAY(Main[[#This Row],[Tech Start Date]],2),""))))</f>
        <v/>
      </c>
      <c r="N227" s="69" t="str">
        <f>IF(Main[[#This Row],[Tech Start Date]]&lt;1/1/1990,"",IF(Main[[#This Row],[Class]]="C",WORKDAY(Main[[#This Row],[Tech Start Date]],19),IF(Main[[#This Row],[Class]]="B", WORKDAY(Main[[#This Row],[Tech Start Date]],12),IF(Main[[#This Row],[Class]]="A",WORKDAY(Main[[#This Row],[Tech Start Date]],4),""))))</f>
        <v/>
      </c>
      <c r="O227" s="69" t="str">
        <f>IF(Main[[#This Row],[Tech Start Date]]&lt;1/1/1990,"",IF(Main[[#This Row],[Class]]="C",WORKDAY(Main[[#This Row],[Tech Start Date]],23),IF(Main[[#This Row],[Class]]="B", WORKDAY(Main[[#This Row],[Tech Start Date]],15),IF(Main[[#This Row],[Class]]="A",WORKDAY(Main[[#This Row],[Tech Start Date]],5),""))))</f>
        <v/>
      </c>
      <c r="P227" s="69" t="str">
        <f>IF(Main[[#This Row],[Tech Start Date]]&lt;1/1/1990,"",IF(Main[[#This Row],[Class]]="C",WORKDAY(Main[[#This Row],[Tech Start Date]],28),IF(Main[[#This Row],[Class]]="B", WORKDAY(Main[[#This Row],[Tech Start Date]],19),IF(Main[[#This Row],[Class]]="A",WORKDAY(Main[[#This Row],[Tech Start Date]],9),""))))</f>
        <v/>
      </c>
      <c r="Q227" s="67">
        <v>40753</v>
      </c>
      <c r="R227" s="67"/>
      <c r="S227" s="65" t="s">
        <v>6</v>
      </c>
      <c r="T227" s="70" t="s">
        <v>4</v>
      </c>
      <c r="U227" s="65" t="s">
        <v>29</v>
      </c>
      <c r="V227" s="65" t="s">
        <v>1920</v>
      </c>
      <c r="W227" s="65" t="s">
        <v>1921</v>
      </c>
      <c r="X227" s="65" t="s">
        <v>2824</v>
      </c>
      <c r="Y227" s="65" t="s">
        <v>2935</v>
      </c>
      <c r="Z227" s="65" t="s">
        <v>44</v>
      </c>
      <c r="AA227" s="65" t="s">
        <v>2824</v>
      </c>
    </row>
    <row r="228" spans="1:27" ht="17.45" customHeight="1">
      <c r="A228" s="131" t="str">
        <f>IF(priority(Main[[#This Row],[Comments]])&lt;&gt;0, priority(Main[[#This Row],[Comments]]),"")</f>
        <v/>
      </c>
      <c r="B228" s="99" t="s">
        <v>3524</v>
      </c>
      <c r="C228" s="65" t="s">
        <v>4</v>
      </c>
      <c r="D228" s="66" t="s">
        <v>3596</v>
      </c>
      <c r="E228" s="67"/>
      <c r="F228" s="67"/>
      <c r="G228" s="64" t="str">
        <f>IF(stdProdLT(Main[[#This Row],[Comments]])=0.1,"N/A",IF(stdProdLT(Main[[#This Row],[Comments]])=0,"",stdProdLT(Main[[#This Row],[Comments]])))</f>
        <v/>
      </c>
      <c r="H228" s="68" t="str">
        <f>IF(AND(Main[[#This Row],[In Stock Date]]&lt;&gt;"",Main[[#This Row],[Revised Due Date]]&lt;&gt;""),Main[[#This Row],[In Stock Date]]-Main[[#This Row],[Revised Due Date]],"")</f>
        <v/>
      </c>
      <c r="I228" s="65" t="s">
        <v>4</v>
      </c>
      <c r="J228" s="65" t="s">
        <v>4</v>
      </c>
      <c r="K228" s="65" t="s">
        <v>4</v>
      </c>
      <c r="L228" s="67"/>
      <c r="M228" s="69" t="str">
        <f>IF(Main[[#This Row],[Tech Start Date]]&lt;1/1/1990,"",IF(Main[[#This Row],[Class]]="C",WORKDAY(Main[[#This Row],[Tech Start Date]],9),IF(Main[[#This Row],[Class]]="B", WORKDAY(Main[[#This Row],[Tech Start Date]],6),IF(Main[[#This Row],[Class]]="A",WORKDAY(Main[[#This Row],[Tech Start Date]],2),""))))</f>
        <v/>
      </c>
      <c r="N228" s="69" t="str">
        <f>IF(Main[[#This Row],[Tech Start Date]]&lt;1/1/1990,"",IF(Main[[#This Row],[Class]]="C",WORKDAY(Main[[#This Row],[Tech Start Date]],19),IF(Main[[#This Row],[Class]]="B", WORKDAY(Main[[#This Row],[Tech Start Date]],12),IF(Main[[#This Row],[Class]]="A",WORKDAY(Main[[#This Row],[Tech Start Date]],4),""))))</f>
        <v/>
      </c>
      <c r="O228" s="69" t="str">
        <f>IF(Main[[#This Row],[Tech Start Date]]&lt;1/1/1990,"",IF(Main[[#This Row],[Class]]="C",WORKDAY(Main[[#This Row],[Tech Start Date]],23),IF(Main[[#This Row],[Class]]="B", WORKDAY(Main[[#This Row],[Tech Start Date]],15),IF(Main[[#This Row],[Class]]="A",WORKDAY(Main[[#This Row],[Tech Start Date]],5),""))))</f>
        <v/>
      </c>
      <c r="P228" s="69" t="str">
        <f>IF(Main[[#This Row],[Tech Start Date]]&lt;1/1/1990,"",IF(Main[[#This Row],[Class]]="C",WORKDAY(Main[[#This Row],[Tech Start Date]],28),IF(Main[[#This Row],[Class]]="B", WORKDAY(Main[[#This Row],[Tech Start Date]],19),IF(Main[[#This Row],[Class]]="A",WORKDAY(Main[[#This Row],[Tech Start Date]],9),""))))</f>
        <v/>
      </c>
      <c r="Q228" s="67">
        <v>40970</v>
      </c>
      <c r="R228" s="67"/>
      <c r="S228" s="65" t="s">
        <v>6</v>
      </c>
      <c r="T228" s="70" t="s">
        <v>4</v>
      </c>
      <c r="U228" s="65" t="s">
        <v>14</v>
      </c>
      <c r="V228" s="65" t="s">
        <v>1920</v>
      </c>
      <c r="W228" s="65" t="s">
        <v>4</v>
      </c>
      <c r="X228" s="65" t="s">
        <v>2825</v>
      </c>
      <c r="Y228" s="65" t="s">
        <v>2938</v>
      </c>
      <c r="Z228" s="65" t="s">
        <v>4</v>
      </c>
      <c r="AA228" s="65" t="s">
        <v>2825</v>
      </c>
    </row>
    <row r="229" spans="1:27" ht="17.45" customHeight="1">
      <c r="A229" s="131" t="str">
        <f>IF(priority(Main[[#This Row],[Comments]])&lt;&gt;0, priority(Main[[#This Row],[Comments]]),"")</f>
        <v/>
      </c>
      <c r="B229" s="99" t="s">
        <v>1044</v>
      </c>
      <c r="C229" s="65" t="s">
        <v>53</v>
      </c>
      <c r="D229" s="66" t="s">
        <v>66</v>
      </c>
      <c r="E229" s="67"/>
      <c r="F229" s="67"/>
      <c r="G229" s="64" t="str">
        <f>IF(stdProdLT(Main[[#This Row],[Comments]])=0.1,"N/A",IF(stdProdLT(Main[[#This Row],[Comments]])=0,"",stdProdLT(Main[[#This Row],[Comments]])))</f>
        <v/>
      </c>
      <c r="H229" s="68" t="str">
        <f>IF(AND(Main[[#This Row],[In Stock Date]]&lt;&gt;"",Main[[#This Row],[Revised Due Date]]&lt;&gt;""),Main[[#This Row],[In Stock Date]]-Main[[#This Row],[Revised Due Date]],"")</f>
        <v/>
      </c>
      <c r="I229" s="65" t="s">
        <v>4</v>
      </c>
      <c r="J229" s="65" t="s">
        <v>4</v>
      </c>
      <c r="K229" s="65" t="s">
        <v>4</v>
      </c>
      <c r="L229" s="67"/>
      <c r="M229" s="69" t="str">
        <f>IF(Main[[#This Row],[Tech Start Date]]&lt;1/1/1990,"",IF(Main[[#This Row],[Class]]="C",WORKDAY(Main[[#This Row],[Tech Start Date]],9),IF(Main[[#This Row],[Class]]="B", WORKDAY(Main[[#This Row],[Tech Start Date]],6),IF(Main[[#This Row],[Class]]="A",WORKDAY(Main[[#This Row],[Tech Start Date]],2),""))))</f>
        <v/>
      </c>
      <c r="N229" s="69" t="str">
        <f>IF(Main[[#This Row],[Tech Start Date]]&lt;1/1/1990,"",IF(Main[[#This Row],[Class]]="C",WORKDAY(Main[[#This Row],[Tech Start Date]],19),IF(Main[[#This Row],[Class]]="B", WORKDAY(Main[[#This Row],[Tech Start Date]],12),IF(Main[[#This Row],[Class]]="A",WORKDAY(Main[[#This Row],[Tech Start Date]],4),""))))</f>
        <v/>
      </c>
      <c r="O229" s="69" t="str">
        <f>IF(Main[[#This Row],[Tech Start Date]]&lt;1/1/1990,"",IF(Main[[#This Row],[Class]]="C",WORKDAY(Main[[#This Row],[Tech Start Date]],23),IF(Main[[#This Row],[Class]]="B", WORKDAY(Main[[#This Row],[Tech Start Date]],15),IF(Main[[#This Row],[Class]]="A",WORKDAY(Main[[#This Row],[Tech Start Date]],5),""))))</f>
        <v/>
      </c>
      <c r="P229" s="69" t="str">
        <f>IF(Main[[#This Row],[Tech Start Date]]&lt;1/1/1990,"",IF(Main[[#This Row],[Class]]="C",WORKDAY(Main[[#This Row],[Tech Start Date]],28),IF(Main[[#This Row],[Class]]="B", WORKDAY(Main[[#This Row],[Tech Start Date]],19),IF(Main[[#This Row],[Class]]="A",WORKDAY(Main[[#This Row],[Tech Start Date]],9),""))))</f>
        <v/>
      </c>
      <c r="Q229" s="67">
        <v>40667</v>
      </c>
      <c r="R229" s="67"/>
      <c r="S229" s="65" t="s">
        <v>11</v>
      </c>
      <c r="T229" s="70" t="s">
        <v>4</v>
      </c>
      <c r="U229" s="65" t="s">
        <v>14</v>
      </c>
      <c r="V229" s="65" t="s">
        <v>1918</v>
      </c>
      <c r="W229" s="65" t="s">
        <v>1919</v>
      </c>
      <c r="X229" s="65" t="s">
        <v>2822</v>
      </c>
      <c r="Y229" s="65" t="s">
        <v>4</v>
      </c>
      <c r="Z229" s="65" t="s">
        <v>4</v>
      </c>
      <c r="AA229" s="65" t="s">
        <v>2822</v>
      </c>
    </row>
    <row r="230" spans="1:27" ht="17.45" customHeight="1">
      <c r="A230" s="131" t="str">
        <f>IF(priority(Main[[#This Row],[Comments]])&lt;&gt;0, priority(Main[[#This Row],[Comments]]),"")</f>
        <v/>
      </c>
      <c r="B230" s="99" t="s">
        <v>2030</v>
      </c>
      <c r="C230" s="65" t="s">
        <v>4</v>
      </c>
      <c r="D230" s="66" t="s">
        <v>2031</v>
      </c>
      <c r="E230" s="67">
        <v>40749.684224537035</v>
      </c>
      <c r="F230" s="67"/>
      <c r="G230" s="64" t="str">
        <f>IF(stdProdLT(Main[[#This Row],[Comments]])=0.1,"N/A",IF(stdProdLT(Main[[#This Row],[Comments]])=0,"",stdProdLT(Main[[#This Row],[Comments]])))</f>
        <v/>
      </c>
      <c r="H230" s="68" t="str">
        <f>IF(AND(Main[[#This Row],[In Stock Date]]&lt;&gt;"",Main[[#This Row],[Revised Due Date]]&lt;&gt;""),Main[[#This Row],[In Stock Date]]-Main[[#This Row],[Revised Due Date]],"")</f>
        <v/>
      </c>
      <c r="I230" s="65" t="s">
        <v>4</v>
      </c>
      <c r="J230" s="65" t="s">
        <v>4</v>
      </c>
      <c r="K230" s="65" t="s">
        <v>4</v>
      </c>
      <c r="L230" s="67"/>
      <c r="M230" s="69" t="str">
        <f>IF(Main[[#This Row],[Tech Start Date]]&lt;1/1/1990,"",IF(Main[[#This Row],[Class]]="C",WORKDAY(Main[[#This Row],[Tech Start Date]],9),IF(Main[[#This Row],[Class]]="B", WORKDAY(Main[[#This Row],[Tech Start Date]],6),IF(Main[[#This Row],[Class]]="A",WORKDAY(Main[[#This Row],[Tech Start Date]],2),""))))</f>
        <v/>
      </c>
      <c r="N230" s="69" t="str">
        <f>IF(Main[[#This Row],[Tech Start Date]]&lt;1/1/1990,"",IF(Main[[#This Row],[Class]]="C",WORKDAY(Main[[#This Row],[Tech Start Date]],19),IF(Main[[#This Row],[Class]]="B", WORKDAY(Main[[#This Row],[Tech Start Date]],12),IF(Main[[#This Row],[Class]]="A",WORKDAY(Main[[#This Row],[Tech Start Date]],4),""))))</f>
        <v/>
      </c>
      <c r="O230" s="69" t="str">
        <f>IF(Main[[#This Row],[Tech Start Date]]&lt;1/1/1990,"",IF(Main[[#This Row],[Class]]="C",WORKDAY(Main[[#This Row],[Tech Start Date]],23),IF(Main[[#This Row],[Class]]="B", WORKDAY(Main[[#This Row],[Tech Start Date]],15),IF(Main[[#This Row],[Class]]="A",WORKDAY(Main[[#This Row],[Tech Start Date]],5),""))))</f>
        <v/>
      </c>
      <c r="P230" s="69" t="str">
        <f>IF(Main[[#This Row],[Tech Start Date]]&lt;1/1/1990,"",IF(Main[[#This Row],[Class]]="C",WORKDAY(Main[[#This Row],[Tech Start Date]],28),IF(Main[[#This Row],[Class]]="B", WORKDAY(Main[[#This Row],[Tech Start Date]],19),IF(Main[[#This Row],[Class]]="A",WORKDAY(Main[[#This Row],[Tech Start Date]],9),""))))</f>
        <v/>
      </c>
      <c r="Q230" s="67">
        <v>40781</v>
      </c>
      <c r="R230" s="67"/>
      <c r="S230" s="65" t="s">
        <v>6</v>
      </c>
      <c r="T230" s="70" t="s">
        <v>4</v>
      </c>
      <c r="U230" s="65" t="s">
        <v>7</v>
      </c>
      <c r="V230" s="65" t="s">
        <v>1917</v>
      </c>
      <c r="W230" s="65" t="s">
        <v>4</v>
      </c>
      <c r="X230" s="65" t="s">
        <v>2825</v>
      </c>
      <c r="Y230" s="65" t="s">
        <v>2938</v>
      </c>
      <c r="Z230" s="65" t="s">
        <v>4</v>
      </c>
      <c r="AA230" s="65" t="s">
        <v>2825</v>
      </c>
    </row>
    <row r="231" spans="1:27" ht="17.45" customHeight="1">
      <c r="A231" s="131" t="str">
        <f>IF(priority(Main[[#This Row],[Comments]])&lt;&gt;0, priority(Main[[#This Row],[Comments]]),"")</f>
        <v/>
      </c>
      <c r="B231" s="99" t="s">
        <v>1055</v>
      </c>
      <c r="C231" s="65" t="s">
        <v>4</v>
      </c>
      <c r="D231" s="66" t="s">
        <v>85</v>
      </c>
      <c r="E231" s="67"/>
      <c r="F231" s="67"/>
      <c r="G231" s="64" t="str">
        <f>IF(stdProdLT(Main[[#This Row],[Comments]])=0.1,"N/A",IF(stdProdLT(Main[[#This Row],[Comments]])=0,"",stdProdLT(Main[[#This Row],[Comments]])))</f>
        <v/>
      </c>
      <c r="H231" s="68" t="str">
        <f>IF(AND(Main[[#This Row],[In Stock Date]]&lt;&gt;"",Main[[#This Row],[Revised Due Date]]&lt;&gt;""),Main[[#This Row],[In Stock Date]]-Main[[#This Row],[Revised Due Date]],"")</f>
        <v/>
      </c>
      <c r="I231" s="65" t="s">
        <v>4</v>
      </c>
      <c r="J231" s="65" t="s">
        <v>4</v>
      </c>
      <c r="K231" s="65" t="s">
        <v>4</v>
      </c>
      <c r="L231" s="67"/>
      <c r="M231" s="69" t="str">
        <f>IF(Main[[#This Row],[Tech Start Date]]&lt;1/1/1990,"",IF(Main[[#This Row],[Class]]="C",WORKDAY(Main[[#This Row],[Tech Start Date]],9),IF(Main[[#This Row],[Class]]="B", WORKDAY(Main[[#This Row],[Tech Start Date]],6),IF(Main[[#This Row],[Class]]="A",WORKDAY(Main[[#This Row],[Tech Start Date]],2),""))))</f>
        <v/>
      </c>
      <c r="N231" s="69" t="str">
        <f>IF(Main[[#This Row],[Tech Start Date]]&lt;1/1/1990,"",IF(Main[[#This Row],[Class]]="C",WORKDAY(Main[[#This Row],[Tech Start Date]],19),IF(Main[[#This Row],[Class]]="B", WORKDAY(Main[[#This Row],[Tech Start Date]],12),IF(Main[[#This Row],[Class]]="A",WORKDAY(Main[[#This Row],[Tech Start Date]],4),""))))</f>
        <v/>
      </c>
      <c r="O231" s="69" t="str">
        <f>IF(Main[[#This Row],[Tech Start Date]]&lt;1/1/1990,"",IF(Main[[#This Row],[Class]]="C",WORKDAY(Main[[#This Row],[Tech Start Date]],23),IF(Main[[#This Row],[Class]]="B", WORKDAY(Main[[#This Row],[Tech Start Date]],15),IF(Main[[#This Row],[Class]]="A",WORKDAY(Main[[#This Row],[Tech Start Date]],5),""))))</f>
        <v/>
      </c>
      <c r="P231" s="69" t="str">
        <f>IF(Main[[#This Row],[Tech Start Date]]&lt;1/1/1990,"",IF(Main[[#This Row],[Class]]="C",WORKDAY(Main[[#This Row],[Tech Start Date]],28),IF(Main[[#This Row],[Class]]="B", WORKDAY(Main[[#This Row],[Tech Start Date]],19),IF(Main[[#This Row],[Class]]="A",WORKDAY(Main[[#This Row],[Tech Start Date]],9),""))))</f>
        <v/>
      </c>
      <c r="Q231" s="67"/>
      <c r="R231" s="67"/>
      <c r="S231" s="65" t="s">
        <v>6</v>
      </c>
      <c r="T231" s="70" t="s">
        <v>4</v>
      </c>
      <c r="U231" s="65" t="s">
        <v>14</v>
      </c>
      <c r="V231" s="65" t="s">
        <v>1918</v>
      </c>
      <c r="W231" s="65" t="s">
        <v>1921</v>
      </c>
      <c r="X231" s="65" t="s">
        <v>399</v>
      </c>
      <c r="Y231" s="65" t="s">
        <v>4</v>
      </c>
      <c r="Z231" s="65" t="s">
        <v>4</v>
      </c>
      <c r="AA231" s="65" t="s">
        <v>3394</v>
      </c>
    </row>
    <row r="232" spans="1:27" ht="17.45" customHeight="1">
      <c r="A232" s="131" t="str">
        <f>IF(priority(Main[[#This Row],[Comments]])&lt;&gt;0, priority(Main[[#This Row],[Comments]]),"")</f>
        <v/>
      </c>
      <c r="B232" s="99" t="s">
        <v>1934</v>
      </c>
      <c r="C232" s="65" t="s">
        <v>4</v>
      </c>
      <c r="D232" s="66" t="s">
        <v>5</v>
      </c>
      <c r="E232" s="67">
        <v>40485.386250000003</v>
      </c>
      <c r="F232" s="67"/>
      <c r="G232" s="64" t="str">
        <f>IF(stdProdLT(Main[[#This Row],[Comments]])=0.1,"N/A",IF(stdProdLT(Main[[#This Row],[Comments]])=0,"",stdProdLT(Main[[#This Row],[Comments]])))</f>
        <v/>
      </c>
      <c r="H232" s="68" t="str">
        <f>IF(AND(Main[[#This Row],[In Stock Date]]&lt;&gt;"",Main[[#This Row],[Revised Due Date]]&lt;&gt;""),Main[[#This Row],[In Stock Date]]-Main[[#This Row],[Revised Due Date]],"")</f>
        <v/>
      </c>
      <c r="I232" s="65" t="s">
        <v>4</v>
      </c>
      <c r="J232" s="65" t="s">
        <v>4</v>
      </c>
      <c r="K232" s="65" t="s">
        <v>4</v>
      </c>
      <c r="L232" s="67"/>
      <c r="M232" s="69" t="str">
        <f>IF(Main[[#This Row],[Tech Start Date]]&lt;1/1/1990,"",IF(Main[[#This Row],[Class]]="C",WORKDAY(Main[[#This Row],[Tech Start Date]],9),IF(Main[[#This Row],[Class]]="B", WORKDAY(Main[[#This Row],[Tech Start Date]],6),IF(Main[[#This Row],[Class]]="A",WORKDAY(Main[[#This Row],[Tech Start Date]],2),""))))</f>
        <v/>
      </c>
      <c r="N232" s="69" t="str">
        <f>IF(Main[[#This Row],[Tech Start Date]]&lt;1/1/1990,"",IF(Main[[#This Row],[Class]]="C",WORKDAY(Main[[#This Row],[Tech Start Date]],19),IF(Main[[#This Row],[Class]]="B", WORKDAY(Main[[#This Row],[Tech Start Date]],12),IF(Main[[#This Row],[Class]]="A",WORKDAY(Main[[#This Row],[Tech Start Date]],4),""))))</f>
        <v/>
      </c>
      <c r="O232" s="69" t="str">
        <f>IF(Main[[#This Row],[Tech Start Date]]&lt;1/1/1990,"",IF(Main[[#This Row],[Class]]="C",WORKDAY(Main[[#This Row],[Tech Start Date]],23),IF(Main[[#This Row],[Class]]="B", WORKDAY(Main[[#This Row],[Tech Start Date]],15),IF(Main[[#This Row],[Class]]="A",WORKDAY(Main[[#This Row],[Tech Start Date]],5),""))))</f>
        <v/>
      </c>
      <c r="P232" s="69" t="str">
        <f>IF(Main[[#This Row],[Tech Start Date]]&lt;1/1/1990,"",IF(Main[[#This Row],[Class]]="C",WORKDAY(Main[[#This Row],[Tech Start Date]],28),IF(Main[[#This Row],[Class]]="B", WORKDAY(Main[[#This Row],[Tech Start Date]],19),IF(Main[[#This Row],[Class]]="A",WORKDAY(Main[[#This Row],[Tech Start Date]],9),""))))</f>
        <v/>
      </c>
      <c r="Q232" s="67">
        <v>40508</v>
      </c>
      <c r="R232" s="67"/>
      <c r="S232" s="65" t="s">
        <v>6</v>
      </c>
      <c r="T232" s="70" t="s">
        <v>4</v>
      </c>
      <c r="U232" s="65" t="s">
        <v>7</v>
      </c>
      <c r="V232" s="65" t="s">
        <v>1917</v>
      </c>
      <c r="W232" s="65" t="s">
        <v>4</v>
      </c>
      <c r="X232" s="65" t="s">
        <v>2825</v>
      </c>
      <c r="Y232" s="65" t="s">
        <v>2938</v>
      </c>
      <c r="Z232" s="65" t="s">
        <v>4</v>
      </c>
      <c r="AA232" s="65" t="s">
        <v>2825</v>
      </c>
    </row>
    <row r="233" spans="1:27" ht="17.45" customHeight="1">
      <c r="A233" s="131" t="str">
        <f>IF(priority(Main[[#This Row],[Comments]])&lt;&gt;0, priority(Main[[#This Row],[Comments]]),"")</f>
        <v/>
      </c>
      <c r="B233" s="99" t="s">
        <v>1010</v>
      </c>
      <c r="C233" s="65" t="s">
        <v>4</v>
      </c>
      <c r="D233" s="66" t="s">
        <v>8</v>
      </c>
      <c r="E233" s="67">
        <v>40679.251782407409</v>
      </c>
      <c r="F233" s="67"/>
      <c r="G233" s="64" t="str">
        <f>IF(stdProdLT(Main[[#This Row],[Comments]])=0.1,"N/A",IF(stdProdLT(Main[[#This Row],[Comments]])=0,"",stdProdLT(Main[[#This Row],[Comments]])))</f>
        <v/>
      </c>
      <c r="H233" s="68" t="str">
        <f>IF(AND(Main[[#This Row],[In Stock Date]]&lt;&gt;"",Main[[#This Row],[Revised Due Date]]&lt;&gt;""),Main[[#This Row],[In Stock Date]]-Main[[#This Row],[Revised Due Date]],"")</f>
        <v/>
      </c>
      <c r="I233" s="65" t="s">
        <v>4</v>
      </c>
      <c r="J233" s="65" t="s">
        <v>4</v>
      </c>
      <c r="K233" s="65" t="s">
        <v>4</v>
      </c>
      <c r="L233" s="67"/>
      <c r="M233" s="69" t="str">
        <f>IF(Main[[#This Row],[Tech Start Date]]&lt;1/1/1990,"",IF(Main[[#This Row],[Class]]="C",WORKDAY(Main[[#This Row],[Tech Start Date]],9),IF(Main[[#This Row],[Class]]="B", WORKDAY(Main[[#This Row],[Tech Start Date]],6),IF(Main[[#This Row],[Class]]="A",WORKDAY(Main[[#This Row],[Tech Start Date]],2),""))))</f>
        <v/>
      </c>
      <c r="N233" s="69" t="str">
        <f>IF(Main[[#This Row],[Tech Start Date]]&lt;1/1/1990,"",IF(Main[[#This Row],[Class]]="C",WORKDAY(Main[[#This Row],[Tech Start Date]],19),IF(Main[[#This Row],[Class]]="B", WORKDAY(Main[[#This Row],[Tech Start Date]],12),IF(Main[[#This Row],[Class]]="A",WORKDAY(Main[[#This Row],[Tech Start Date]],4),""))))</f>
        <v/>
      </c>
      <c r="O233" s="69" t="str">
        <f>IF(Main[[#This Row],[Tech Start Date]]&lt;1/1/1990,"",IF(Main[[#This Row],[Class]]="C",WORKDAY(Main[[#This Row],[Tech Start Date]],23),IF(Main[[#This Row],[Class]]="B", WORKDAY(Main[[#This Row],[Tech Start Date]],15),IF(Main[[#This Row],[Class]]="A",WORKDAY(Main[[#This Row],[Tech Start Date]],5),""))))</f>
        <v/>
      </c>
      <c r="P233" s="69" t="str">
        <f>IF(Main[[#This Row],[Tech Start Date]]&lt;1/1/1990,"",IF(Main[[#This Row],[Class]]="C",WORKDAY(Main[[#This Row],[Tech Start Date]],28),IF(Main[[#This Row],[Class]]="B", WORKDAY(Main[[#This Row],[Tech Start Date]],19),IF(Main[[#This Row],[Class]]="A",WORKDAY(Main[[#This Row],[Tech Start Date]],9),""))))</f>
        <v/>
      </c>
      <c r="Q233" s="67"/>
      <c r="R233" s="67"/>
      <c r="S233" s="65" t="s">
        <v>6</v>
      </c>
      <c r="T233" s="70" t="s">
        <v>4</v>
      </c>
      <c r="U233" s="65" t="s">
        <v>7</v>
      </c>
      <c r="V233" s="65" t="s">
        <v>1917</v>
      </c>
      <c r="W233" s="65" t="s">
        <v>4</v>
      </c>
      <c r="X233" s="65" t="s">
        <v>2828</v>
      </c>
      <c r="Y233" s="65" t="s">
        <v>2944</v>
      </c>
      <c r="Z233" s="65" t="s">
        <v>4</v>
      </c>
      <c r="AA233" s="65" t="s">
        <v>2828</v>
      </c>
    </row>
    <row r="234" spans="1:27" ht="17.45" customHeight="1">
      <c r="A234" s="131" t="str">
        <f>IF(priority(Main[[#This Row],[Comments]])&lt;&gt;0, priority(Main[[#This Row],[Comments]]),"")</f>
        <v/>
      </c>
      <c r="B234" s="99" t="s">
        <v>1011</v>
      </c>
      <c r="C234" s="65" t="s">
        <v>9</v>
      </c>
      <c r="D234" s="66" t="s">
        <v>10</v>
      </c>
      <c r="E234" s="67"/>
      <c r="F234" s="67"/>
      <c r="G234" s="64" t="str">
        <f>IF(stdProdLT(Main[[#This Row],[Comments]])=0.1,"N/A",IF(stdProdLT(Main[[#This Row],[Comments]])=0,"",stdProdLT(Main[[#This Row],[Comments]])))</f>
        <v/>
      </c>
      <c r="H234" s="68" t="str">
        <f>IF(AND(Main[[#This Row],[In Stock Date]]&lt;&gt;"",Main[[#This Row],[Revised Due Date]]&lt;&gt;""),Main[[#This Row],[In Stock Date]]-Main[[#This Row],[Revised Due Date]],"")</f>
        <v/>
      </c>
      <c r="I234" s="65" t="s">
        <v>4</v>
      </c>
      <c r="J234" s="65" t="s">
        <v>4</v>
      </c>
      <c r="K234" s="65" t="s">
        <v>4</v>
      </c>
      <c r="L234" s="67"/>
      <c r="M234" s="69" t="str">
        <f>IF(Main[[#This Row],[Tech Start Date]]&lt;1/1/1990,"",IF(Main[[#This Row],[Class]]="C",WORKDAY(Main[[#This Row],[Tech Start Date]],9),IF(Main[[#This Row],[Class]]="B", WORKDAY(Main[[#This Row],[Tech Start Date]],6),IF(Main[[#This Row],[Class]]="A",WORKDAY(Main[[#This Row],[Tech Start Date]],2),""))))</f>
        <v/>
      </c>
      <c r="N234" s="69" t="str">
        <f>IF(Main[[#This Row],[Tech Start Date]]&lt;1/1/1990,"",IF(Main[[#This Row],[Class]]="C",WORKDAY(Main[[#This Row],[Tech Start Date]],19),IF(Main[[#This Row],[Class]]="B", WORKDAY(Main[[#This Row],[Tech Start Date]],12),IF(Main[[#This Row],[Class]]="A",WORKDAY(Main[[#This Row],[Tech Start Date]],4),""))))</f>
        <v/>
      </c>
      <c r="O234" s="69" t="str">
        <f>IF(Main[[#This Row],[Tech Start Date]]&lt;1/1/1990,"",IF(Main[[#This Row],[Class]]="C",WORKDAY(Main[[#This Row],[Tech Start Date]],23),IF(Main[[#This Row],[Class]]="B", WORKDAY(Main[[#This Row],[Tech Start Date]],15),IF(Main[[#This Row],[Class]]="A",WORKDAY(Main[[#This Row],[Tech Start Date]],5),""))))</f>
        <v/>
      </c>
      <c r="P234" s="69" t="str">
        <f>IF(Main[[#This Row],[Tech Start Date]]&lt;1/1/1990,"",IF(Main[[#This Row],[Class]]="C",WORKDAY(Main[[#This Row],[Tech Start Date]],28),IF(Main[[#This Row],[Class]]="B", WORKDAY(Main[[#This Row],[Tech Start Date]],19),IF(Main[[#This Row],[Class]]="A",WORKDAY(Main[[#This Row],[Tech Start Date]],9),""))))</f>
        <v/>
      </c>
      <c r="Q234" s="67">
        <v>40504</v>
      </c>
      <c r="R234" s="67"/>
      <c r="S234" s="65" t="s">
        <v>11</v>
      </c>
      <c r="T234" s="70" t="s">
        <v>4</v>
      </c>
      <c r="U234" s="65" t="s">
        <v>12</v>
      </c>
      <c r="V234" s="65" t="s">
        <v>1918</v>
      </c>
      <c r="W234" s="65" t="s">
        <v>1919</v>
      </c>
      <c r="X234" s="65" t="s">
        <v>2829</v>
      </c>
      <c r="Y234" s="65" t="s">
        <v>4</v>
      </c>
      <c r="Z234" s="65" t="s">
        <v>4</v>
      </c>
      <c r="AA234" s="65" t="s">
        <v>2829</v>
      </c>
    </row>
    <row r="235" spans="1:27" ht="17.45" customHeight="1">
      <c r="A235" s="131" t="str">
        <f>IF(priority(Main[[#This Row],[Comments]])&lt;&gt;0, priority(Main[[#This Row],[Comments]]),"")</f>
        <v/>
      </c>
      <c r="B235" s="99" t="s">
        <v>1012</v>
      </c>
      <c r="C235" s="65" t="s">
        <v>4</v>
      </c>
      <c r="D235" s="66" t="s">
        <v>13</v>
      </c>
      <c r="E235" s="67"/>
      <c r="F235" s="67"/>
      <c r="G235" s="64" t="str">
        <f>IF(stdProdLT(Main[[#This Row],[Comments]])=0.1,"N/A",IF(stdProdLT(Main[[#This Row],[Comments]])=0,"",stdProdLT(Main[[#This Row],[Comments]])))</f>
        <v/>
      </c>
      <c r="H235" s="68" t="str">
        <f>IF(AND(Main[[#This Row],[In Stock Date]]&lt;&gt;"",Main[[#This Row],[Revised Due Date]]&lt;&gt;""),Main[[#This Row],[In Stock Date]]-Main[[#This Row],[Revised Due Date]],"")</f>
        <v/>
      </c>
      <c r="I235" s="65" t="s">
        <v>4</v>
      </c>
      <c r="J235" s="65" t="s">
        <v>4</v>
      </c>
      <c r="K235" s="65" t="s">
        <v>4</v>
      </c>
      <c r="L235" s="67"/>
      <c r="M235" s="69" t="str">
        <f>IF(Main[[#This Row],[Tech Start Date]]&lt;1/1/1990,"",IF(Main[[#This Row],[Class]]="C",WORKDAY(Main[[#This Row],[Tech Start Date]],9),IF(Main[[#This Row],[Class]]="B", WORKDAY(Main[[#This Row],[Tech Start Date]],6),IF(Main[[#This Row],[Class]]="A",WORKDAY(Main[[#This Row],[Tech Start Date]],2),""))))</f>
        <v/>
      </c>
      <c r="N235" s="69" t="str">
        <f>IF(Main[[#This Row],[Tech Start Date]]&lt;1/1/1990,"",IF(Main[[#This Row],[Class]]="C",WORKDAY(Main[[#This Row],[Tech Start Date]],19),IF(Main[[#This Row],[Class]]="B", WORKDAY(Main[[#This Row],[Tech Start Date]],12),IF(Main[[#This Row],[Class]]="A",WORKDAY(Main[[#This Row],[Tech Start Date]],4),""))))</f>
        <v/>
      </c>
      <c r="O235" s="69" t="str">
        <f>IF(Main[[#This Row],[Tech Start Date]]&lt;1/1/1990,"",IF(Main[[#This Row],[Class]]="C",WORKDAY(Main[[#This Row],[Tech Start Date]],23),IF(Main[[#This Row],[Class]]="B", WORKDAY(Main[[#This Row],[Tech Start Date]],15),IF(Main[[#This Row],[Class]]="A",WORKDAY(Main[[#This Row],[Tech Start Date]],5),""))))</f>
        <v/>
      </c>
      <c r="P235" s="69" t="str">
        <f>IF(Main[[#This Row],[Tech Start Date]]&lt;1/1/1990,"",IF(Main[[#This Row],[Class]]="C",WORKDAY(Main[[#This Row],[Tech Start Date]],28),IF(Main[[#This Row],[Class]]="B", WORKDAY(Main[[#This Row],[Tech Start Date]],19),IF(Main[[#This Row],[Class]]="A",WORKDAY(Main[[#This Row],[Tech Start Date]],9),""))))</f>
        <v/>
      </c>
      <c r="Q235" s="67"/>
      <c r="R235" s="67"/>
      <c r="S235" s="65" t="s">
        <v>6</v>
      </c>
      <c r="T235" s="70" t="s">
        <v>4</v>
      </c>
      <c r="U235" s="65" t="s">
        <v>14</v>
      </c>
      <c r="V235" s="65" t="s">
        <v>1920</v>
      </c>
      <c r="W235" s="65" t="s">
        <v>1921</v>
      </c>
      <c r="X235" s="65" t="s">
        <v>306</v>
      </c>
      <c r="Y235" s="65" t="s">
        <v>4</v>
      </c>
      <c r="Z235" s="65" t="s">
        <v>4</v>
      </c>
      <c r="AA235" s="65" t="s">
        <v>654</v>
      </c>
    </row>
    <row r="236" spans="1:27" ht="17.45" customHeight="1">
      <c r="A236" s="131" t="str">
        <f>IF(priority(Main[[#This Row],[Comments]])&lt;&gt;0, priority(Main[[#This Row],[Comments]]),"")</f>
        <v/>
      </c>
      <c r="B236" s="99" t="s">
        <v>1105</v>
      </c>
      <c r="C236" s="65" t="s">
        <v>4</v>
      </c>
      <c r="D236" s="66" t="s">
        <v>125</v>
      </c>
      <c r="E236" s="67"/>
      <c r="F236" s="67"/>
      <c r="G236" s="64" t="str">
        <f>IF(stdProdLT(Main[[#This Row],[Comments]])=0.1,"N/A",IF(stdProdLT(Main[[#This Row],[Comments]])=0,"",stdProdLT(Main[[#This Row],[Comments]])))</f>
        <v/>
      </c>
      <c r="H236" s="68" t="str">
        <f>IF(AND(Main[[#This Row],[In Stock Date]]&lt;&gt;"",Main[[#This Row],[Revised Due Date]]&lt;&gt;""),Main[[#This Row],[In Stock Date]]-Main[[#This Row],[Revised Due Date]],"")</f>
        <v/>
      </c>
      <c r="I236" s="65" t="s">
        <v>126</v>
      </c>
      <c r="J236" s="65" t="s">
        <v>4</v>
      </c>
      <c r="K236" s="65" t="s">
        <v>4</v>
      </c>
      <c r="L236" s="67"/>
      <c r="M236" s="69" t="str">
        <f>IF(Main[[#This Row],[Tech Start Date]]&lt;1/1/1990,"",IF(Main[[#This Row],[Class]]="C",WORKDAY(Main[[#This Row],[Tech Start Date]],9),IF(Main[[#This Row],[Class]]="B", WORKDAY(Main[[#This Row],[Tech Start Date]],6),IF(Main[[#This Row],[Class]]="A",WORKDAY(Main[[#This Row],[Tech Start Date]],2),""))))</f>
        <v/>
      </c>
      <c r="N236" s="69" t="str">
        <f>IF(Main[[#This Row],[Tech Start Date]]&lt;1/1/1990,"",IF(Main[[#This Row],[Class]]="C",WORKDAY(Main[[#This Row],[Tech Start Date]],19),IF(Main[[#This Row],[Class]]="B", WORKDAY(Main[[#This Row],[Tech Start Date]],12),IF(Main[[#This Row],[Class]]="A",WORKDAY(Main[[#This Row],[Tech Start Date]],4),""))))</f>
        <v/>
      </c>
      <c r="O236" s="69" t="str">
        <f>IF(Main[[#This Row],[Tech Start Date]]&lt;1/1/1990,"",IF(Main[[#This Row],[Class]]="C",WORKDAY(Main[[#This Row],[Tech Start Date]],23),IF(Main[[#This Row],[Class]]="B", WORKDAY(Main[[#This Row],[Tech Start Date]],15),IF(Main[[#This Row],[Class]]="A",WORKDAY(Main[[#This Row],[Tech Start Date]],5),""))))</f>
        <v/>
      </c>
      <c r="P236" s="69" t="str">
        <f>IF(Main[[#This Row],[Tech Start Date]]&lt;1/1/1990,"",IF(Main[[#This Row],[Class]]="C",WORKDAY(Main[[#This Row],[Tech Start Date]],28),IF(Main[[#This Row],[Class]]="B", WORKDAY(Main[[#This Row],[Tech Start Date]],19),IF(Main[[#This Row],[Class]]="A",WORKDAY(Main[[#This Row],[Tech Start Date]],9),""))))</f>
        <v/>
      </c>
      <c r="Q236" s="67">
        <v>40025</v>
      </c>
      <c r="R236" s="67"/>
      <c r="S236" s="65" t="s">
        <v>11</v>
      </c>
      <c r="T236" s="70" t="s">
        <v>4</v>
      </c>
      <c r="U236" s="65" t="s">
        <v>14</v>
      </c>
      <c r="V236" s="65" t="s">
        <v>1917</v>
      </c>
      <c r="W236" s="65" t="s">
        <v>1925</v>
      </c>
      <c r="X236" s="65" t="s">
        <v>2859</v>
      </c>
      <c r="Y236" s="65" t="s">
        <v>2997</v>
      </c>
      <c r="Z236" s="65" t="s">
        <v>81</v>
      </c>
      <c r="AA236" s="65" t="s">
        <v>2859</v>
      </c>
    </row>
    <row r="237" spans="1:27" ht="17.45" customHeight="1">
      <c r="A237" s="131" t="str">
        <f>IF(priority(Main[[#This Row],[Comments]])&lt;&gt;0, priority(Main[[#This Row],[Comments]]),"")</f>
        <v/>
      </c>
      <c r="B237" s="99" t="s">
        <v>1106</v>
      </c>
      <c r="C237" s="65" t="s">
        <v>4</v>
      </c>
      <c r="D237" s="66" t="s">
        <v>127</v>
      </c>
      <c r="E237" s="67"/>
      <c r="F237" s="67"/>
      <c r="G237" s="64" t="str">
        <f>IF(stdProdLT(Main[[#This Row],[Comments]])=0.1,"N/A",IF(stdProdLT(Main[[#This Row],[Comments]])=0,"",stdProdLT(Main[[#This Row],[Comments]])))</f>
        <v/>
      </c>
      <c r="H237" s="68" t="str">
        <f>IF(AND(Main[[#This Row],[In Stock Date]]&lt;&gt;"",Main[[#This Row],[Revised Due Date]]&lt;&gt;""),Main[[#This Row],[In Stock Date]]-Main[[#This Row],[Revised Due Date]],"")</f>
        <v/>
      </c>
      <c r="I237" s="65" t="s">
        <v>30</v>
      </c>
      <c r="J237" s="65" t="s">
        <v>21</v>
      </c>
      <c r="K237" s="65" t="s">
        <v>4</v>
      </c>
      <c r="L237" s="67"/>
      <c r="M237" s="69" t="str">
        <f>IF(Main[[#This Row],[Tech Start Date]]&lt;1/1/1990,"",IF(Main[[#This Row],[Class]]="C",WORKDAY(Main[[#This Row],[Tech Start Date]],9),IF(Main[[#This Row],[Class]]="B", WORKDAY(Main[[#This Row],[Tech Start Date]],6),IF(Main[[#This Row],[Class]]="A",WORKDAY(Main[[#This Row],[Tech Start Date]],2),""))))</f>
        <v/>
      </c>
      <c r="N237" s="69" t="str">
        <f>IF(Main[[#This Row],[Tech Start Date]]&lt;1/1/1990,"",IF(Main[[#This Row],[Class]]="C",WORKDAY(Main[[#This Row],[Tech Start Date]],19),IF(Main[[#This Row],[Class]]="B", WORKDAY(Main[[#This Row],[Tech Start Date]],12),IF(Main[[#This Row],[Class]]="A",WORKDAY(Main[[#This Row],[Tech Start Date]],4),""))))</f>
        <v/>
      </c>
      <c r="O237" s="69" t="str">
        <f>IF(Main[[#This Row],[Tech Start Date]]&lt;1/1/1990,"",IF(Main[[#This Row],[Class]]="C",WORKDAY(Main[[#This Row],[Tech Start Date]],23),IF(Main[[#This Row],[Class]]="B", WORKDAY(Main[[#This Row],[Tech Start Date]],15),IF(Main[[#This Row],[Class]]="A",WORKDAY(Main[[#This Row],[Tech Start Date]],5),""))))</f>
        <v/>
      </c>
      <c r="P237" s="69" t="str">
        <f>IF(Main[[#This Row],[Tech Start Date]]&lt;1/1/1990,"",IF(Main[[#This Row],[Class]]="C",WORKDAY(Main[[#This Row],[Tech Start Date]],28),IF(Main[[#This Row],[Class]]="B", WORKDAY(Main[[#This Row],[Tech Start Date]],19),IF(Main[[#This Row],[Class]]="A",WORKDAY(Main[[#This Row],[Tech Start Date]],9),""))))</f>
        <v/>
      </c>
      <c r="Q237" s="67">
        <v>40508</v>
      </c>
      <c r="R237" s="67"/>
      <c r="S237" s="65" t="s">
        <v>6</v>
      </c>
      <c r="T237" s="70" t="s">
        <v>4</v>
      </c>
      <c r="U237" s="65" t="s">
        <v>14</v>
      </c>
      <c r="V237" s="65" t="s">
        <v>1920</v>
      </c>
      <c r="W237" s="65" t="s">
        <v>1919</v>
      </c>
      <c r="X237" s="65" t="s">
        <v>2824</v>
      </c>
      <c r="Y237" s="65" t="s">
        <v>2935</v>
      </c>
      <c r="Z237" s="65" t="s">
        <v>530</v>
      </c>
      <c r="AA237" s="65" t="s">
        <v>2824</v>
      </c>
    </row>
    <row r="238" spans="1:27" ht="17.45" customHeight="1">
      <c r="A238" s="131" t="str">
        <f>IF(priority(Main[[#This Row],[Comments]])&lt;&gt;0, priority(Main[[#This Row],[Comments]]),"")</f>
        <v/>
      </c>
      <c r="B238" s="99" t="s">
        <v>3256</v>
      </c>
      <c r="C238" s="65" t="s">
        <v>72</v>
      </c>
      <c r="D238" s="66" t="s">
        <v>3257</v>
      </c>
      <c r="E238" s="67"/>
      <c r="F238" s="67"/>
      <c r="G238" s="64" t="str">
        <f>IF(stdProdLT(Main[[#This Row],[Comments]])=0.1,"N/A",IF(stdProdLT(Main[[#This Row],[Comments]])=0,"",stdProdLT(Main[[#This Row],[Comments]])))</f>
        <v/>
      </c>
      <c r="H238" s="68" t="str">
        <f>IF(AND(Main[[#This Row],[In Stock Date]]&lt;&gt;"",Main[[#This Row],[Revised Due Date]]&lt;&gt;""),Main[[#This Row],[In Stock Date]]-Main[[#This Row],[Revised Due Date]],"")</f>
        <v/>
      </c>
      <c r="I238" s="65" t="s">
        <v>4</v>
      </c>
      <c r="J238" s="65" t="s">
        <v>4</v>
      </c>
      <c r="K238" s="65" t="s">
        <v>4</v>
      </c>
      <c r="L238" s="67"/>
      <c r="M238" s="69" t="str">
        <f>IF(Main[[#This Row],[Tech Start Date]]&lt;1/1/1990,"",IF(Main[[#This Row],[Class]]="C",WORKDAY(Main[[#This Row],[Tech Start Date]],9),IF(Main[[#This Row],[Class]]="B", WORKDAY(Main[[#This Row],[Tech Start Date]],6),IF(Main[[#This Row],[Class]]="A",WORKDAY(Main[[#This Row],[Tech Start Date]],2),""))))</f>
        <v/>
      </c>
      <c r="N238" s="69" t="str">
        <f>IF(Main[[#This Row],[Tech Start Date]]&lt;1/1/1990,"",IF(Main[[#This Row],[Class]]="C",WORKDAY(Main[[#This Row],[Tech Start Date]],19),IF(Main[[#This Row],[Class]]="B", WORKDAY(Main[[#This Row],[Tech Start Date]],12),IF(Main[[#This Row],[Class]]="A",WORKDAY(Main[[#This Row],[Tech Start Date]],4),""))))</f>
        <v/>
      </c>
      <c r="O238" s="69" t="str">
        <f>IF(Main[[#This Row],[Tech Start Date]]&lt;1/1/1990,"",IF(Main[[#This Row],[Class]]="C",WORKDAY(Main[[#This Row],[Tech Start Date]],23),IF(Main[[#This Row],[Class]]="B", WORKDAY(Main[[#This Row],[Tech Start Date]],15),IF(Main[[#This Row],[Class]]="A",WORKDAY(Main[[#This Row],[Tech Start Date]],5),""))))</f>
        <v/>
      </c>
      <c r="P238" s="69" t="str">
        <f>IF(Main[[#This Row],[Tech Start Date]]&lt;1/1/1990,"",IF(Main[[#This Row],[Class]]="C",WORKDAY(Main[[#This Row],[Tech Start Date]],28),IF(Main[[#This Row],[Class]]="B", WORKDAY(Main[[#This Row],[Tech Start Date]],19),IF(Main[[#This Row],[Class]]="A",WORKDAY(Main[[#This Row],[Tech Start Date]],9),""))))</f>
        <v/>
      </c>
      <c r="Q238" s="67"/>
      <c r="R238" s="67"/>
      <c r="S238" s="65" t="s">
        <v>11</v>
      </c>
      <c r="T238" s="70" t="s">
        <v>4</v>
      </c>
      <c r="U238" s="65" t="s">
        <v>14</v>
      </c>
      <c r="V238" s="65" t="s">
        <v>1918</v>
      </c>
      <c r="W238" s="65" t="s">
        <v>1925</v>
      </c>
      <c r="X238" s="65" t="s">
        <v>2853</v>
      </c>
      <c r="Y238" s="65" t="s">
        <v>2984</v>
      </c>
      <c r="Z238" s="65" t="s">
        <v>4</v>
      </c>
      <c r="AA238" s="65" t="s">
        <v>2853</v>
      </c>
    </row>
    <row r="239" spans="1:27" ht="17.45" customHeight="1">
      <c r="A239" s="131" t="str">
        <f>IF(priority(Main[[#This Row],[Comments]])&lt;&gt;0, priority(Main[[#This Row],[Comments]]),"")</f>
        <v/>
      </c>
      <c r="B239" s="99" t="s">
        <v>1107</v>
      </c>
      <c r="C239" s="65" t="s">
        <v>4</v>
      </c>
      <c r="D239" s="66" t="s">
        <v>128</v>
      </c>
      <c r="E239" s="67"/>
      <c r="F239" s="67"/>
      <c r="G239" s="64" t="str">
        <f>IF(stdProdLT(Main[[#This Row],[Comments]])=0.1,"N/A",IF(stdProdLT(Main[[#This Row],[Comments]])=0,"",stdProdLT(Main[[#This Row],[Comments]])))</f>
        <v/>
      </c>
      <c r="H239" s="68" t="str">
        <f>IF(AND(Main[[#This Row],[In Stock Date]]&lt;&gt;"",Main[[#This Row],[Revised Due Date]]&lt;&gt;""),Main[[#This Row],[In Stock Date]]-Main[[#This Row],[Revised Due Date]],"")</f>
        <v/>
      </c>
      <c r="I239" s="65" t="s">
        <v>129</v>
      </c>
      <c r="J239" s="65" t="s">
        <v>4</v>
      </c>
      <c r="K239" s="65" t="s">
        <v>4</v>
      </c>
      <c r="L239" s="67"/>
      <c r="M239" s="69" t="str">
        <f>IF(Main[[#This Row],[Tech Start Date]]&lt;1/1/1990,"",IF(Main[[#This Row],[Class]]="C",WORKDAY(Main[[#This Row],[Tech Start Date]],9),IF(Main[[#This Row],[Class]]="B", WORKDAY(Main[[#This Row],[Tech Start Date]],6),IF(Main[[#This Row],[Class]]="A",WORKDAY(Main[[#This Row],[Tech Start Date]],2),""))))</f>
        <v/>
      </c>
      <c r="N239" s="69" t="str">
        <f>IF(Main[[#This Row],[Tech Start Date]]&lt;1/1/1990,"",IF(Main[[#This Row],[Class]]="C",WORKDAY(Main[[#This Row],[Tech Start Date]],19),IF(Main[[#This Row],[Class]]="B", WORKDAY(Main[[#This Row],[Tech Start Date]],12),IF(Main[[#This Row],[Class]]="A",WORKDAY(Main[[#This Row],[Tech Start Date]],4),""))))</f>
        <v/>
      </c>
      <c r="O239" s="69" t="str">
        <f>IF(Main[[#This Row],[Tech Start Date]]&lt;1/1/1990,"",IF(Main[[#This Row],[Class]]="C",WORKDAY(Main[[#This Row],[Tech Start Date]],23),IF(Main[[#This Row],[Class]]="B", WORKDAY(Main[[#This Row],[Tech Start Date]],15),IF(Main[[#This Row],[Class]]="A",WORKDAY(Main[[#This Row],[Tech Start Date]],5),""))))</f>
        <v/>
      </c>
      <c r="P239" s="69" t="str">
        <f>IF(Main[[#This Row],[Tech Start Date]]&lt;1/1/1990,"",IF(Main[[#This Row],[Class]]="C",WORKDAY(Main[[#This Row],[Tech Start Date]],28),IF(Main[[#This Row],[Class]]="B", WORKDAY(Main[[#This Row],[Tech Start Date]],19),IF(Main[[#This Row],[Class]]="A",WORKDAY(Main[[#This Row],[Tech Start Date]],9),""))))</f>
        <v/>
      </c>
      <c r="Q239" s="67"/>
      <c r="R239" s="67"/>
      <c r="S239" s="65" t="s">
        <v>17</v>
      </c>
      <c r="T239" s="70" t="s">
        <v>4</v>
      </c>
      <c r="U239" s="65" t="s">
        <v>14</v>
      </c>
      <c r="V239" s="65" t="s">
        <v>1917</v>
      </c>
      <c r="W239" s="65" t="s">
        <v>1921</v>
      </c>
      <c r="X239" s="65" t="s">
        <v>924</v>
      </c>
      <c r="Y239" s="65" t="s">
        <v>2998</v>
      </c>
      <c r="Z239" s="65" t="s">
        <v>4</v>
      </c>
      <c r="AA239" s="65" t="s">
        <v>129</v>
      </c>
    </row>
    <row r="240" spans="1:27" ht="17.45" customHeight="1">
      <c r="A240" s="131" t="str">
        <f>IF(priority(Main[[#This Row],[Comments]])&lt;&gt;0, priority(Main[[#This Row],[Comments]]),"")</f>
        <v/>
      </c>
      <c r="B240" s="99" t="s">
        <v>2786</v>
      </c>
      <c r="C240" s="65" t="s">
        <v>2727</v>
      </c>
      <c r="D240" s="66" t="s">
        <v>2787</v>
      </c>
      <c r="E240" s="67">
        <v>40960.921631944446</v>
      </c>
      <c r="F240" s="67">
        <v>41061</v>
      </c>
      <c r="G240" s="64">
        <f>IF(stdProdLT(Main[[#This Row],[Comments]])=0.1,"N/A",IF(stdProdLT(Main[[#This Row],[Comments]])=0,"",stdProdLT(Main[[#This Row],[Comments]])))</f>
        <v>168</v>
      </c>
      <c r="H240" s="68" t="str">
        <f>IF(AND(Main[[#This Row],[In Stock Date]]&lt;&gt;"",Main[[#This Row],[Revised Due Date]]&lt;&gt;""),Main[[#This Row],[In Stock Date]]-Main[[#This Row],[Revised Due Date]],"")</f>
        <v/>
      </c>
      <c r="I240" s="65" t="s">
        <v>4</v>
      </c>
      <c r="J240" s="65" t="s">
        <v>4</v>
      </c>
      <c r="K240" s="71" t="s">
        <v>4</v>
      </c>
      <c r="L240" s="67"/>
      <c r="M240" s="69" t="str">
        <f>IF(Main[[#This Row],[Tech Start Date]]&lt;1/1/1990,"",IF(Main[[#This Row],[Class]]="C",WORKDAY(Main[[#This Row],[Tech Start Date]],9),IF(Main[[#This Row],[Class]]="B", WORKDAY(Main[[#This Row],[Tech Start Date]],6),IF(Main[[#This Row],[Class]]="A",WORKDAY(Main[[#This Row],[Tech Start Date]],2),""))))</f>
        <v/>
      </c>
      <c r="N240" s="69" t="str">
        <f>IF(Main[[#This Row],[Tech Start Date]]&lt;1/1/1990,"",IF(Main[[#This Row],[Class]]="C",WORKDAY(Main[[#This Row],[Tech Start Date]],19),IF(Main[[#This Row],[Class]]="B", WORKDAY(Main[[#This Row],[Tech Start Date]],12),IF(Main[[#This Row],[Class]]="A",WORKDAY(Main[[#This Row],[Tech Start Date]],4),""))))</f>
        <v/>
      </c>
      <c r="O240" s="69" t="str">
        <f>IF(Main[[#This Row],[Tech Start Date]]&lt;1/1/1990,"",IF(Main[[#This Row],[Class]]="C",WORKDAY(Main[[#This Row],[Tech Start Date]],23),IF(Main[[#This Row],[Class]]="B", WORKDAY(Main[[#This Row],[Tech Start Date]],15),IF(Main[[#This Row],[Class]]="A",WORKDAY(Main[[#This Row],[Tech Start Date]],5),""))))</f>
        <v/>
      </c>
      <c r="P240" s="69" t="str">
        <f>IF(Main[[#This Row],[Tech Start Date]]&lt;1/1/1990,"",IF(Main[[#This Row],[Class]]="C",WORKDAY(Main[[#This Row],[Tech Start Date]],28),IF(Main[[#This Row],[Class]]="B", WORKDAY(Main[[#This Row],[Tech Start Date]],19),IF(Main[[#This Row],[Class]]="A",WORKDAY(Main[[#This Row],[Tech Start Date]],9),""))))</f>
        <v/>
      </c>
      <c r="Q240" s="67"/>
      <c r="R240" s="67"/>
      <c r="S240" s="65" t="s">
        <v>11</v>
      </c>
      <c r="T240" s="70" t="s">
        <v>3597</v>
      </c>
      <c r="U240" s="65" t="s">
        <v>696</v>
      </c>
      <c r="V240" s="65" t="s">
        <v>1920</v>
      </c>
      <c r="W240" s="65" t="s">
        <v>1922</v>
      </c>
      <c r="X240" s="65" t="s">
        <v>2899</v>
      </c>
      <c r="Y240" s="65" t="s">
        <v>3061</v>
      </c>
      <c r="Z240" s="65" t="s">
        <v>4</v>
      </c>
      <c r="AA240" s="65" t="s">
        <v>2899</v>
      </c>
    </row>
    <row r="241" spans="1:27" ht="17.45" customHeight="1">
      <c r="A241" s="131" t="str">
        <f>IF(priority(Main[[#This Row],[Comments]])&lt;&gt;0, priority(Main[[#This Row],[Comments]]),"")</f>
        <v/>
      </c>
      <c r="B241" s="99" t="s">
        <v>2686</v>
      </c>
      <c r="C241" s="65" t="s">
        <v>42</v>
      </c>
      <c r="D241" s="66" t="s">
        <v>2687</v>
      </c>
      <c r="E241" s="67">
        <v>40897.730937499997</v>
      </c>
      <c r="F241" s="67"/>
      <c r="G241" s="64" t="str">
        <f>IF(stdProdLT(Main[[#This Row],[Comments]])=0.1,"N/A",IF(stdProdLT(Main[[#This Row],[Comments]])=0,"",stdProdLT(Main[[#This Row],[Comments]])))</f>
        <v/>
      </c>
      <c r="H241" s="68" t="str">
        <f>IF(AND(Main[[#This Row],[In Stock Date]]&lt;&gt;"",Main[[#This Row],[Revised Due Date]]&lt;&gt;""),Main[[#This Row],[In Stock Date]]-Main[[#This Row],[Revised Due Date]],"")</f>
        <v/>
      </c>
      <c r="I241" s="65" t="s">
        <v>239</v>
      </c>
      <c r="J241" s="65" t="s">
        <v>21</v>
      </c>
      <c r="K241" s="65" t="s">
        <v>1926</v>
      </c>
      <c r="L241" s="67"/>
      <c r="M241" s="69" t="str">
        <f>IF(Main[[#This Row],[Tech Start Date]]&lt;1/1/1990,"",IF(Main[[#This Row],[Class]]="C",WORKDAY(Main[[#This Row],[Tech Start Date]],9),IF(Main[[#This Row],[Class]]="B", WORKDAY(Main[[#This Row],[Tech Start Date]],6),IF(Main[[#This Row],[Class]]="A",WORKDAY(Main[[#This Row],[Tech Start Date]],2),""))))</f>
        <v/>
      </c>
      <c r="N241" s="69" t="str">
        <f>IF(Main[[#This Row],[Tech Start Date]]&lt;1/1/1990,"",IF(Main[[#This Row],[Class]]="C",WORKDAY(Main[[#This Row],[Tech Start Date]],19),IF(Main[[#This Row],[Class]]="B", WORKDAY(Main[[#This Row],[Tech Start Date]],12),IF(Main[[#This Row],[Class]]="A",WORKDAY(Main[[#This Row],[Tech Start Date]],4),""))))</f>
        <v/>
      </c>
      <c r="O241" s="69" t="str">
        <f>IF(Main[[#This Row],[Tech Start Date]]&lt;1/1/1990,"",IF(Main[[#This Row],[Class]]="C",WORKDAY(Main[[#This Row],[Tech Start Date]],23),IF(Main[[#This Row],[Class]]="B", WORKDAY(Main[[#This Row],[Tech Start Date]],15),IF(Main[[#This Row],[Class]]="A",WORKDAY(Main[[#This Row],[Tech Start Date]],5),""))))</f>
        <v/>
      </c>
      <c r="P241" s="69" t="str">
        <f>IF(Main[[#This Row],[Tech Start Date]]&lt;1/1/1990,"",IF(Main[[#This Row],[Class]]="C",WORKDAY(Main[[#This Row],[Tech Start Date]],28),IF(Main[[#This Row],[Class]]="B", WORKDAY(Main[[#This Row],[Tech Start Date]],19),IF(Main[[#This Row],[Class]]="A",WORKDAY(Main[[#This Row],[Tech Start Date]],9),""))))</f>
        <v/>
      </c>
      <c r="Q241" s="67">
        <v>41244</v>
      </c>
      <c r="R241" s="67"/>
      <c r="S241" s="65" t="s">
        <v>6</v>
      </c>
      <c r="T241" s="70" t="s">
        <v>4</v>
      </c>
      <c r="U241" s="65" t="s">
        <v>29</v>
      </c>
      <c r="V241" s="65" t="s">
        <v>1927</v>
      </c>
      <c r="W241" s="65" t="s">
        <v>1919</v>
      </c>
      <c r="X241" s="65" t="s">
        <v>30</v>
      </c>
      <c r="Y241" s="65" t="s">
        <v>2946</v>
      </c>
      <c r="Z241" s="65" t="s">
        <v>530</v>
      </c>
      <c r="AA241" s="65" t="s">
        <v>30</v>
      </c>
    </row>
    <row r="242" spans="1:27" ht="17.45" customHeight="1">
      <c r="A242" s="131" t="str">
        <f>IF(priority(Main[[#This Row],[Comments]])&lt;&gt;0, priority(Main[[#This Row],[Comments]]),"")</f>
        <v/>
      </c>
      <c r="B242" s="99" t="s">
        <v>1084</v>
      </c>
      <c r="C242" s="65" t="s">
        <v>4</v>
      </c>
      <c r="D242" s="66" t="s">
        <v>132</v>
      </c>
      <c r="E242" s="67"/>
      <c r="F242" s="67">
        <v>40598</v>
      </c>
      <c r="G242" s="64" t="str">
        <f>IF(stdProdLT(Main[[#This Row],[Comments]])=0.1,"N/A",IF(stdProdLT(Main[[#This Row],[Comments]])=0,"",stdProdLT(Main[[#This Row],[Comments]])))</f>
        <v/>
      </c>
      <c r="H242" s="68" t="str">
        <f>IF(AND(Main[[#This Row],[In Stock Date]]&lt;&gt;"",Main[[#This Row],[Revised Due Date]]&lt;&gt;""),Main[[#This Row],[In Stock Date]]-Main[[#This Row],[Revised Due Date]],"")</f>
        <v/>
      </c>
      <c r="I242" s="65" t="s">
        <v>4</v>
      </c>
      <c r="J242" s="65" t="s">
        <v>4</v>
      </c>
      <c r="K242" s="65" t="s">
        <v>4</v>
      </c>
      <c r="L242" s="67"/>
      <c r="M242" s="69" t="str">
        <f>IF(Main[[#This Row],[Tech Start Date]]&lt;1/1/1990,"",IF(Main[[#This Row],[Class]]="C",WORKDAY(Main[[#This Row],[Tech Start Date]],9),IF(Main[[#This Row],[Class]]="B", WORKDAY(Main[[#This Row],[Tech Start Date]],6),IF(Main[[#This Row],[Class]]="A",WORKDAY(Main[[#This Row],[Tech Start Date]],2),""))))</f>
        <v/>
      </c>
      <c r="N242" s="69" t="str">
        <f>IF(Main[[#This Row],[Tech Start Date]]&lt;1/1/1990,"",IF(Main[[#This Row],[Class]]="C",WORKDAY(Main[[#This Row],[Tech Start Date]],19),IF(Main[[#This Row],[Class]]="B", WORKDAY(Main[[#This Row],[Tech Start Date]],12),IF(Main[[#This Row],[Class]]="A",WORKDAY(Main[[#This Row],[Tech Start Date]],4),""))))</f>
        <v/>
      </c>
      <c r="O242" s="69" t="str">
        <f>IF(Main[[#This Row],[Tech Start Date]]&lt;1/1/1990,"",IF(Main[[#This Row],[Class]]="C",WORKDAY(Main[[#This Row],[Tech Start Date]],23),IF(Main[[#This Row],[Class]]="B", WORKDAY(Main[[#This Row],[Tech Start Date]],15),IF(Main[[#This Row],[Class]]="A",WORKDAY(Main[[#This Row],[Tech Start Date]],5),""))))</f>
        <v/>
      </c>
      <c r="P242" s="69" t="str">
        <f>IF(Main[[#This Row],[Tech Start Date]]&lt;1/1/1990,"",IF(Main[[#This Row],[Class]]="C",WORKDAY(Main[[#This Row],[Tech Start Date]],28),IF(Main[[#This Row],[Class]]="B", WORKDAY(Main[[#This Row],[Tech Start Date]],19),IF(Main[[#This Row],[Class]]="A",WORKDAY(Main[[#This Row],[Tech Start Date]],9),""))))</f>
        <v/>
      </c>
      <c r="Q242" s="67">
        <v>40598</v>
      </c>
      <c r="R242" s="67"/>
      <c r="S242" s="65" t="s">
        <v>11</v>
      </c>
      <c r="T242" s="70" t="s">
        <v>4</v>
      </c>
      <c r="U242" s="65" t="s">
        <v>14</v>
      </c>
      <c r="V242" s="65" t="s">
        <v>1927</v>
      </c>
      <c r="W242" s="65" t="s">
        <v>1923</v>
      </c>
      <c r="X242" s="65" t="s">
        <v>2854</v>
      </c>
      <c r="Y242" s="65" t="s">
        <v>2985</v>
      </c>
      <c r="Z242" s="65" t="s">
        <v>4</v>
      </c>
      <c r="AA242" s="65" t="s">
        <v>2854</v>
      </c>
    </row>
    <row r="243" spans="1:27" ht="17.45" customHeight="1">
      <c r="A243" s="131" t="str">
        <f>IF(priority(Main[[#This Row],[Comments]])&lt;&gt;0, priority(Main[[#This Row],[Comments]]),"")</f>
        <v/>
      </c>
      <c r="B243" s="99" t="s">
        <v>1086</v>
      </c>
      <c r="C243" s="65" t="s">
        <v>4</v>
      </c>
      <c r="D243" s="66" t="s">
        <v>134</v>
      </c>
      <c r="E243" s="67">
        <v>40683.594340277778</v>
      </c>
      <c r="F243" s="67"/>
      <c r="G243" s="64" t="str">
        <f>IF(stdProdLT(Main[[#This Row],[Comments]])=0.1,"N/A",IF(stdProdLT(Main[[#This Row],[Comments]])=0,"",stdProdLT(Main[[#This Row],[Comments]])))</f>
        <v/>
      </c>
      <c r="H243" s="68" t="str">
        <f>IF(AND(Main[[#This Row],[In Stock Date]]&lt;&gt;"",Main[[#This Row],[Revised Due Date]]&lt;&gt;""),Main[[#This Row],[In Stock Date]]-Main[[#This Row],[Revised Due Date]],"")</f>
        <v/>
      </c>
      <c r="I243" s="65" t="s">
        <v>4</v>
      </c>
      <c r="J243" s="65" t="s">
        <v>4</v>
      </c>
      <c r="K243" s="71" t="s">
        <v>4</v>
      </c>
      <c r="L243" s="67"/>
      <c r="M243" s="69" t="str">
        <f>IF(Main[[#This Row],[Tech Start Date]]&lt;1/1/1990,"",IF(Main[[#This Row],[Class]]="C",WORKDAY(Main[[#This Row],[Tech Start Date]],9),IF(Main[[#This Row],[Class]]="B", WORKDAY(Main[[#This Row],[Tech Start Date]],6),IF(Main[[#This Row],[Class]]="A",WORKDAY(Main[[#This Row],[Tech Start Date]],2),""))))</f>
        <v/>
      </c>
      <c r="N243" s="69" t="str">
        <f>IF(Main[[#This Row],[Tech Start Date]]&lt;1/1/1990,"",IF(Main[[#This Row],[Class]]="C",WORKDAY(Main[[#This Row],[Tech Start Date]],19),IF(Main[[#This Row],[Class]]="B", WORKDAY(Main[[#This Row],[Tech Start Date]],12),IF(Main[[#This Row],[Class]]="A",WORKDAY(Main[[#This Row],[Tech Start Date]],4),""))))</f>
        <v/>
      </c>
      <c r="O243" s="69" t="str">
        <f>IF(Main[[#This Row],[Tech Start Date]]&lt;1/1/1990,"",IF(Main[[#This Row],[Class]]="C",WORKDAY(Main[[#This Row],[Tech Start Date]],23),IF(Main[[#This Row],[Class]]="B", WORKDAY(Main[[#This Row],[Tech Start Date]],15),IF(Main[[#This Row],[Class]]="A",WORKDAY(Main[[#This Row],[Tech Start Date]],5),""))))</f>
        <v/>
      </c>
      <c r="P243" s="69" t="str">
        <f>IF(Main[[#This Row],[Tech Start Date]]&lt;1/1/1990,"",IF(Main[[#This Row],[Class]]="C",WORKDAY(Main[[#This Row],[Tech Start Date]],28),IF(Main[[#This Row],[Class]]="B", WORKDAY(Main[[#This Row],[Tech Start Date]],19),IF(Main[[#This Row],[Class]]="A",WORKDAY(Main[[#This Row],[Tech Start Date]],9),""))))</f>
        <v/>
      </c>
      <c r="Q243" s="67">
        <v>40718</v>
      </c>
      <c r="R243" s="67"/>
      <c r="S243" s="65" t="s">
        <v>6</v>
      </c>
      <c r="T243" s="70" t="s">
        <v>4</v>
      </c>
      <c r="U243" s="65" t="s">
        <v>7</v>
      </c>
      <c r="V243" s="65" t="s">
        <v>1917</v>
      </c>
      <c r="W243" s="65" t="s">
        <v>1925</v>
      </c>
      <c r="X243" s="65" t="s">
        <v>2827</v>
      </c>
      <c r="Y243" s="65" t="s">
        <v>2942</v>
      </c>
      <c r="Z243" s="65" t="s">
        <v>4</v>
      </c>
      <c r="AA243" s="65" t="s">
        <v>2827</v>
      </c>
    </row>
    <row r="244" spans="1:27" ht="17.45" customHeight="1">
      <c r="A244" s="131" t="str">
        <f>IF(priority(Main[[#This Row],[Comments]])&lt;&gt;0, priority(Main[[#This Row],[Comments]]),"")</f>
        <v/>
      </c>
      <c r="B244" s="99" t="s">
        <v>1087</v>
      </c>
      <c r="C244" s="65" t="s">
        <v>4</v>
      </c>
      <c r="D244" s="66" t="s">
        <v>135</v>
      </c>
      <c r="E244" s="67">
        <v>40312.634143518517</v>
      </c>
      <c r="F244" s="67"/>
      <c r="G244" s="64" t="str">
        <f>IF(stdProdLT(Main[[#This Row],[Comments]])=0.1,"N/A",IF(stdProdLT(Main[[#This Row],[Comments]])=0,"",stdProdLT(Main[[#This Row],[Comments]])))</f>
        <v/>
      </c>
      <c r="H244" s="68" t="str">
        <f>IF(AND(Main[[#This Row],[In Stock Date]]&lt;&gt;"",Main[[#This Row],[Revised Due Date]]&lt;&gt;""),Main[[#This Row],[In Stock Date]]-Main[[#This Row],[Revised Due Date]],"")</f>
        <v/>
      </c>
      <c r="I244" s="65" t="s">
        <v>129</v>
      </c>
      <c r="J244" s="65" t="s">
        <v>4</v>
      </c>
      <c r="K244" s="65" t="s">
        <v>4</v>
      </c>
      <c r="L244" s="67"/>
      <c r="M244" s="69" t="str">
        <f>IF(Main[[#This Row],[Tech Start Date]]&lt;1/1/1990,"",IF(Main[[#This Row],[Class]]="C",WORKDAY(Main[[#This Row],[Tech Start Date]],9),IF(Main[[#This Row],[Class]]="B", WORKDAY(Main[[#This Row],[Tech Start Date]],6),IF(Main[[#This Row],[Class]]="A",WORKDAY(Main[[#This Row],[Tech Start Date]],2),""))))</f>
        <v/>
      </c>
      <c r="N244" s="69" t="str">
        <f>IF(Main[[#This Row],[Tech Start Date]]&lt;1/1/1990,"",IF(Main[[#This Row],[Class]]="C",WORKDAY(Main[[#This Row],[Tech Start Date]],19),IF(Main[[#This Row],[Class]]="B", WORKDAY(Main[[#This Row],[Tech Start Date]],12),IF(Main[[#This Row],[Class]]="A",WORKDAY(Main[[#This Row],[Tech Start Date]],4),""))))</f>
        <v/>
      </c>
      <c r="O244" s="69" t="str">
        <f>IF(Main[[#This Row],[Tech Start Date]]&lt;1/1/1990,"",IF(Main[[#This Row],[Class]]="C",WORKDAY(Main[[#This Row],[Tech Start Date]],23),IF(Main[[#This Row],[Class]]="B", WORKDAY(Main[[#This Row],[Tech Start Date]],15),IF(Main[[#This Row],[Class]]="A",WORKDAY(Main[[#This Row],[Tech Start Date]],5),""))))</f>
        <v/>
      </c>
      <c r="P244" s="69" t="str">
        <f>IF(Main[[#This Row],[Tech Start Date]]&lt;1/1/1990,"",IF(Main[[#This Row],[Class]]="C",WORKDAY(Main[[#This Row],[Tech Start Date]],28),IF(Main[[#This Row],[Class]]="B", WORKDAY(Main[[#This Row],[Tech Start Date]],19),IF(Main[[#This Row],[Class]]="A",WORKDAY(Main[[#This Row],[Tech Start Date]],9),""))))</f>
        <v/>
      </c>
      <c r="Q244" s="67">
        <v>40329</v>
      </c>
      <c r="R244" s="67"/>
      <c r="S244" s="65" t="s">
        <v>6</v>
      </c>
      <c r="T244" s="70" t="s">
        <v>4</v>
      </c>
      <c r="U244" s="65" t="s">
        <v>7</v>
      </c>
      <c r="V244" s="65" t="s">
        <v>1917</v>
      </c>
      <c r="W244" s="65" t="s">
        <v>1919</v>
      </c>
      <c r="X244" s="65" t="s">
        <v>417</v>
      </c>
      <c r="Y244" s="65" t="s">
        <v>2986</v>
      </c>
      <c r="Z244" s="65" t="s">
        <v>4</v>
      </c>
      <c r="AA244" s="65" t="s">
        <v>3390</v>
      </c>
    </row>
    <row r="245" spans="1:27" ht="17.45" customHeight="1">
      <c r="A245" s="131" t="str">
        <f>IF(priority(Main[[#This Row],[Comments]])&lt;&gt;0, priority(Main[[#This Row],[Comments]]),"")</f>
        <v/>
      </c>
      <c r="B245" s="99" t="s">
        <v>1088</v>
      </c>
      <c r="C245" s="65" t="s">
        <v>4</v>
      </c>
      <c r="D245" s="66" t="s">
        <v>97</v>
      </c>
      <c r="E245" s="67"/>
      <c r="F245" s="67"/>
      <c r="G245" s="64" t="str">
        <f>IF(stdProdLT(Main[[#This Row],[Comments]])=0.1,"N/A",IF(stdProdLT(Main[[#This Row],[Comments]])=0,"",stdProdLT(Main[[#This Row],[Comments]])))</f>
        <v/>
      </c>
      <c r="H245" s="68" t="str">
        <f>IF(AND(Main[[#This Row],[In Stock Date]]&lt;&gt;"",Main[[#This Row],[Revised Due Date]]&lt;&gt;""),Main[[#This Row],[In Stock Date]]-Main[[#This Row],[Revised Due Date]],"")</f>
        <v/>
      </c>
      <c r="I245" s="65" t="s">
        <v>4</v>
      </c>
      <c r="J245" s="65" t="s">
        <v>4</v>
      </c>
      <c r="K245" s="65" t="s">
        <v>4</v>
      </c>
      <c r="L245" s="67"/>
      <c r="M245" s="69" t="str">
        <f>IF(Main[[#This Row],[Tech Start Date]]&lt;1/1/1990,"",IF(Main[[#This Row],[Class]]="C",WORKDAY(Main[[#This Row],[Tech Start Date]],9),IF(Main[[#This Row],[Class]]="B", WORKDAY(Main[[#This Row],[Tech Start Date]],6),IF(Main[[#This Row],[Class]]="A",WORKDAY(Main[[#This Row],[Tech Start Date]],2),""))))</f>
        <v/>
      </c>
      <c r="N245" s="69" t="str">
        <f>IF(Main[[#This Row],[Tech Start Date]]&lt;1/1/1990,"",IF(Main[[#This Row],[Class]]="C",WORKDAY(Main[[#This Row],[Tech Start Date]],19),IF(Main[[#This Row],[Class]]="B", WORKDAY(Main[[#This Row],[Tech Start Date]],12),IF(Main[[#This Row],[Class]]="A",WORKDAY(Main[[#This Row],[Tech Start Date]],4),""))))</f>
        <v/>
      </c>
      <c r="O245" s="69" t="str">
        <f>IF(Main[[#This Row],[Tech Start Date]]&lt;1/1/1990,"",IF(Main[[#This Row],[Class]]="C",WORKDAY(Main[[#This Row],[Tech Start Date]],23),IF(Main[[#This Row],[Class]]="B", WORKDAY(Main[[#This Row],[Tech Start Date]],15),IF(Main[[#This Row],[Class]]="A",WORKDAY(Main[[#This Row],[Tech Start Date]],5),""))))</f>
        <v/>
      </c>
      <c r="P245" s="69" t="str">
        <f>IF(Main[[#This Row],[Tech Start Date]]&lt;1/1/1990,"",IF(Main[[#This Row],[Class]]="C",WORKDAY(Main[[#This Row],[Tech Start Date]],28),IF(Main[[#This Row],[Class]]="B", WORKDAY(Main[[#This Row],[Tech Start Date]],19),IF(Main[[#This Row],[Class]]="A",WORKDAY(Main[[#This Row],[Tech Start Date]],9),""))))</f>
        <v/>
      </c>
      <c r="Q245" s="67">
        <v>40858</v>
      </c>
      <c r="R245" s="67"/>
      <c r="S245" s="65" t="s">
        <v>17</v>
      </c>
      <c r="T245" s="70" t="s">
        <v>4</v>
      </c>
      <c r="U245" s="65" t="s">
        <v>14</v>
      </c>
      <c r="V245" s="65" t="s">
        <v>1917</v>
      </c>
      <c r="W245" s="65" t="s">
        <v>1922</v>
      </c>
      <c r="X245" s="65" t="s">
        <v>50</v>
      </c>
      <c r="Y245" s="65" t="s">
        <v>2965</v>
      </c>
      <c r="Z245" s="65" t="s">
        <v>4</v>
      </c>
      <c r="AA245" s="65" t="s">
        <v>2834</v>
      </c>
    </row>
    <row r="246" spans="1:27" ht="17.45" customHeight="1">
      <c r="A246" s="131" t="str">
        <f>IF(priority(Main[[#This Row],[Comments]])&lt;&gt;0, priority(Main[[#This Row],[Comments]]),"")</f>
        <v/>
      </c>
      <c r="B246" s="99" t="s">
        <v>1673</v>
      </c>
      <c r="C246" s="65" t="s">
        <v>4</v>
      </c>
      <c r="D246" s="66" t="s">
        <v>732</v>
      </c>
      <c r="E246" s="67"/>
      <c r="F246" s="67"/>
      <c r="G246" s="64" t="str">
        <f>IF(stdProdLT(Main[[#This Row],[Comments]])=0.1,"N/A",IF(stdProdLT(Main[[#This Row],[Comments]])=0,"",stdProdLT(Main[[#This Row],[Comments]])))</f>
        <v/>
      </c>
      <c r="H246" s="68" t="str">
        <f>IF(AND(Main[[#This Row],[In Stock Date]]&lt;&gt;"",Main[[#This Row],[Revised Due Date]]&lt;&gt;""),Main[[#This Row],[In Stock Date]]-Main[[#This Row],[Revised Due Date]],"")</f>
        <v/>
      </c>
      <c r="I246" s="65" t="s">
        <v>4</v>
      </c>
      <c r="J246" s="65" t="s">
        <v>4</v>
      </c>
      <c r="K246" s="65" t="s">
        <v>4</v>
      </c>
      <c r="L246" s="67"/>
      <c r="M246" s="69" t="str">
        <f>IF(Main[[#This Row],[Tech Start Date]]&lt;1/1/1990,"",IF(Main[[#This Row],[Class]]="C",WORKDAY(Main[[#This Row],[Tech Start Date]],9),IF(Main[[#This Row],[Class]]="B", WORKDAY(Main[[#This Row],[Tech Start Date]],6),IF(Main[[#This Row],[Class]]="A",WORKDAY(Main[[#This Row],[Tech Start Date]],2),""))))</f>
        <v/>
      </c>
      <c r="N246" s="69" t="str">
        <f>IF(Main[[#This Row],[Tech Start Date]]&lt;1/1/1990,"",IF(Main[[#This Row],[Class]]="C",WORKDAY(Main[[#This Row],[Tech Start Date]],19),IF(Main[[#This Row],[Class]]="B", WORKDAY(Main[[#This Row],[Tech Start Date]],12),IF(Main[[#This Row],[Class]]="A",WORKDAY(Main[[#This Row],[Tech Start Date]],4),""))))</f>
        <v/>
      </c>
      <c r="O246" s="69" t="str">
        <f>IF(Main[[#This Row],[Tech Start Date]]&lt;1/1/1990,"",IF(Main[[#This Row],[Class]]="C",WORKDAY(Main[[#This Row],[Tech Start Date]],23),IF(Main[[#This Row],[Class]]="B", WORKDAY(Main[[#This Row],[Tech Start Date]],15),IF(Main[[#This Row],[Class]]="A",WORKDAY(Main[[#This Row],[Tech Start Date]],5),""))))</f>
        <v/>
      </c>
      <c r="P246" s="69" t="str">
        <f>IF(Main[[#This Row],[Tech Start Date]]&lt;1/1/1990,"",IF(Main[[#This Row],[Class]]="C",WORKDAY(Main[[#This Row],[Tech Start Date]],28),IF(Main[[#This Row],[Class]]="B", WORKDAY(Main[[#This Row],[Tech Start Date]],19),IF(Main[[#This Row],[Class]]="A",WORKDAY(Main[[#This Row],[Tech Start Date]],9),""))))</f>
        <v/>
      </c>
      <c r="Q246" s="67"/>
      <c r="R246" s="67"/>
      <c r="S246" s="65" t="s">
        <v>23</v>
      </c>
      <c r="T246" s="70" t="s">
        <v>4</v>
      </c>
      <c r="U246" s="65" t="s">
        <v>14</v>
      </c>
      <c r="V246" s="65" t="s">
        <v>1917</v>
      </c>
      <c r="W246" s="65" t="s">
        <v>1921</v>
      </c>
      <c r="X246" s="65" t="s">
        <v>399</v>
      </c>
      <c r="Y246" s="65" t="s">
        <v>4</v>
      </c>
      <c r="Z246" s="65" t="s">
        <v>4</v>
      </c>
      <c r="AA246" s="65" t="s">
        <v>3402</v>
      </c>
    </row>
    <row r="247" spans="1:27" ht="17.45" customHeight="1">
      <c r="A247" s="131" t="str">
        <f>IF(priority(Main[[#This Row],[Comments]])&lt;&gt;0, priority(Main[[#This Row],[Comments]]),"")</f>
        <v/>
      </c>
      <c r="B247" s="99" t="s">
        <v>1089</v>
      </c>
      <c r="C247" s="65" t="s">
        <v>113</v>
      </c>
      <c r="D247" s="66" t="s">
        <v>136</v>
      </c>
      <c r="E247" s="67"/>
      <c r="F247" s="67"/>
      <c r="G247" s="64" t="str">
        <f>IF(stdProdLT(Main[[#This Row],[Comments]])=0.1,"N/A",IF(stdProdLT(Main[[#This Row],[Comments]])=0,"",stdProdLT(Main[[#This Row],[Comments]])))</f>
        <v/>
      </c>
      <c r="H247" s="68" t="str">
        <f>IF(AND(Main[[#This Row],[In Stock Date]]&lt;&gt;"",Main[[#This Row],[Revised Due Date]]&lt;&gt;""),Main[[#This Row],[In Stock Date]]-Main[[#This Row],[Revised Due Date]],"")</f>
        <v/>
      </c>
      <c r="I247" s="65" t="s">
        <v>4</v>
      </c>
      <c r="J247" s="65" t="s">
        <v>4</v>
      </c>
      <c r="K247" s="65" t="s">
        <v>4</v>
      </c>
      <c r="L247" s="67"/>
      <c r="M247" s="69" t="str">
        <f>IF(Main[[#This Row],[Tech Start Date]]&lt;1/1/1990,"",IF(Main[[#This Row],[Class]]="C",WORKDAY(Main[[#This Row],[Tech Start Date]],9),IF(Main[[#This Row],[Class]]="B", WORKDAY(Main[[#This Row],[Tech Start Date]],6),IF(Main[[#This Row],[Class]]="A",WORKDAY(Main[[#This Row],[Tech Start Date]],2),""))))</f>
        <v/>
      </c>
      <c r="N247" s="69" t="str">
        <f>IF(Main[[#This Row],[Tech Start Date]]&lt;1/1/1990,"",IF(Main[[#This Row],[Class]]="C",WORKDAY(Main[[#This Row],[Tech Start Date]],19),IF(Main[[#This Row],[Class]]="B", WORKDAY(Main[[#This Row],[Tech Start Date]],12),IF(Main[[#This Row],[Class]]="A",WORKDAY(Main[[#This Row],[Tech Start Date]],4),""))))</f>
        <v/>
      </c>
      <c r="O247" s="69" t="str">
        <f>IF(Main[[#This Row],[Tech Start Date]]&lt;1/1/1990,"",IF(Main[[#This Row],[Class]]="C",WORKDAY(Main[[#This Row],[Tech Start Date]],23),IF(Main[[#This Row],[Class]]="B", WORKDAY(Main[[#This Row],[Tech Start Date]],15),IF(Main[[#This Row],[Class]]="A",WORKDAY(Main[[#This Row],[Tech Start Date]],5),""))))</f>
        <v/>
      </c>
      <c r="P247" s="69" t="str">
        <f>IF(Main[[#This Row],[Tech Start Date]]&lt;1/1/1990,"",IF(Main[[#This Row],[Class]]="C",WORKDAY(Main[[#This Row],[Tech Start Date]],28),IF(Main[[#This Row],[Class]]="B", WORKDAY(Main[[#This Row],[Tech Start Date]],19),IF(Main[[#This Row],[Class]]="A",WORKDAY(Main[[#This Row],[Tech Start Date]],9),""))))</f>
        <v/>
      </c>
      <c r="Q247" s="67">
        <v>40641</v>
      </c>
      <c r="R247" s="67"/>
      <c r="S247" s="65" t="s">
        <v>11</v>
      </c>
      <c r="T247" s="70" t="s">
        <v>4</v>
      </c>
      <c r="U247" s="65" t="s">
        <v>14</v>
      </c>
      <c r="V247" s="65" t="s">
        <v>1917</v>
      </c>
      <c r="W247" s="65" t="s">
        <v>1925</v>
      </c>
      <c r="X247" s="65" t="s">
        <v>2845</v>
      </c>
      <c r="Y247" s="65" t="s">
        <v>2987</v>
      </c>
      <c r="Z247" s="65" t="s">
        <v>4</v>
      </c>
      <c r="AA247" s="65" t="s">
        <v>2845</v>
      </c>
    </row>
    <row r="248" spans="1:27" ht="17.45" customHeight="1">
      <c r="A248" s="131" t="str">
        <f>IF(priority(Main[[#This Row],[Comments]])&lt;&gt;0, priority(Main[[#This Row],[Comments]]),"")</f>
        <v/>
      </c>
      <c r="B248" s="99" t="s">
        <v>1090</v>
      </c>
      <c r="C248" s="65" t="s">
        <v>137</v>
      </c>
      <c r="D248" s="66" t="s">
        <v>138</v>
      </c>
      <c r="E248" s="67"/>
      <c r="F248" s="67"/>
      <c r="G248" s="64" t="str">
        <f>IF(stdProdLT(Main[[#This Row],[Comments]])=0.1,"N/A",IF(stdProdLT(Main[[#This Row],[Comments]])=0,"",stdProdLT(Main[[#This Row],[Comments]])))</f>
        <v/>
      </c>
      <c r="H248" s="68" t="str">
        <f>IF(AND(Main[[#This Row],[In Stock Date]]&lt;&gt;"",Main[[#This Row],[Revised Due Date]]&lt;&gt;""),Main[[#This Row],[In Stock Date]]-Main[[#This Row],[Revised Due Date]],"")</f>
        <v/>
      </c>
      <c r="I248" s="65" t="s">
        <v>4</v>
      </c>
      <c r="J248" s="65" t="s">
        <v>4</v>
      </c>
      <c r="K248" s="65" t="s">
        <v>4</v>
      </c>
      <c r="L248" s="67"/>
      <c r="M248" s="69" t="str">
        <f>IF(Main[[#This Row],[Tech Start Date]]&lt;1/1/1990,"",IF(Main[[#This Row],[Class]]="C",WORKDAY(Main[[#This Row],[Tech Start Date]],9),IF(Main[[#This Row],[Class]]="B", WORKDAY(Main[[#This Row],[Tech Start Date]],6),IF(Main[[#This Row],[Class]]="A",WORKDAY(Main[[#This Row],[Tech Start Date]],2),""))))</f>
        <v/>
      </c>
      <c r="N248" s="69" t="str">
        <f>IF(Main[[#This Row],[Tech Start Date]]&lt;1/1/1990,"",IF(Main[[#This Row],[Class]]="C",WORKDAY(Main[[#This Row],[Tech Start Date]],19),IF(Main[[#This Row],[Class]]="B", WORKDAY(Main[[#This Row],[Tech Start Date]],12),IF(Main[[#This Row],[Class]]="A",WORKDAY(Main[[#This Row],[Tech Start Date]],4),""))))</f>
        <v/>
      </c>
      <c r="O248" s="69" t="str">
        <f>IF(Main[[#This Row],[Tech Start Date]]&lt;1/1/1990,"",IF(Main[[#This Row],[Class]]="C",WORKDAY(Main[[#This Row],[Tech Start Date]],23),IF(Main[[#This Row],[Class]]="B", WORKDAY(Main[[#This Row],[Tech Start Date]],15),IF(Main[[#This Row],[Class]]="A",WORKDAY(Main[[#This Row],[Tech Start Date]],5),""))))</f>
        <v/>
      </c>
      <c r="P248" s="69" t="str">
        <f>IF(Main[[#This Row],[Tech Start Date]]&lt;1/1/1990,"",IF(Main[[#This Row],[Class]]="C",WORKDAY(Main[[#This Row],[Tech Start Date]],28),IF(Main[[#This Row],[Class]]="B", WORKDAY(Main[[#This Row],[Tech Start Date]],19),IF(Main[[#This Row],[Class]]="A",WORKDAY(Main[[#This Row],[Tech Start Date]],9),""))))</f>
        <v/>
      </c>
      <c r="Q248" s="67">
        <v>40641</v>
      </c>
      <c r="R248" s="67"/>
      <c r="S248" s="65" t="s">
        <v>11</v>
      </c>
      <c r="T248" s="70" t="s">
        <v>4</v>
      </c>
      <c r="U248" s="65" t="s">
        <v>14</v>
      </c>
      <c r="V248" s="65" t="s">
        <v>1917</v>
      </c>
      <c r="W248" s="65" t="s">
        <v>1925</v>
      </c>
      <c r="X248" s="65" t="s">
        <v>2845</v>
      </c>
      <c r="Y248" s="65" t="s">
        <v>2976</v>
      </c>
      <c r="Z248" s="65" t="s">
        <v>4</v>
      </c>
      <c r="AA248" s="65" t="s">
        <v>2845</v>
      </c>
    </row>
    <row r="249" spans="1:27" ht="17.45" customHeight="1">
      <c r="A249" s="131" t="str">
        <f>IF(priority(Main[[#This Row],[Comments]])&lt;&gt;0, priority(Main[[#This Row],[Comments]]),"")</f>
        <v/>
      </c>
      <c r="B249" s="99" t="s">
        <v>1092</v>
      </c>
      <c r="C249" s="65" t="s">
        <v>33</v>
      </c>
      <c r="D249" s="66" t="s">
        <v>139</v>
      </c>
      <c r="E249" s="67"/>
      <c r="F249" s="67"/>
      <c r="G249" s="64" t="str">
        <f>IF(stdProdLT(Main[[#This Row],[Comments]])=0.1,"N/A",IF(stdProdLT(Main[[#This Row],[Comments]])=0,"",stdProdLT(Main[[#This Row],[Comments]])))</f>
        <v/>
      </c>
      <c r="H249" s="68" t="str">
        <f>IF(AND(Main[[#This Row],[In Stock Date]]&lt;&gt;"",Main[[#This Row],[Revised Due Date]]&lt;&gt;""),Main[[#This Row],[In Stock Date]]-Main[[#This Row],[Revised Due Date]],"")</f>
        <v/>
      </c>
      <c r="I249" s="65" t="s">
        <v>4</v>
      </c>
      <c r="J249" s="65" t="s">
        <v>4</v>
      </c>
      <c r="K249" s="65" t="s">
        <v>4</v>
      </c>
      <c r="L249" s="67"/>
      <c r="M249" s="69" t="str">
        <f>IF(Main[[#This Row],[Tech Start Date]]&lt;1/1/1990,"",IF(Main[[#This Row],[Class]]="C",WORKDAY(Main[[#This Row],[Tech Start Date]],9),IF(Main[[#This Row],[Class]]="B", WORKDAY(Main[[#This Row],[Tech Start Date]],6),IF(Main[[#This Row],[Class]]="A",WORKDAY(Main[[#This Row],[Tech Start Date]],2),""))))</f>
        <v/>
      </c>
      <c r="N249" s="69" t="str">
        <f>IF(Main[[#This Row],[Tech Start Date]]&lt;1/1/1990,"",IF(Main[[#This Row],[Class]]="C",WORKDAY(Main[[#This Row],[Tech Start Date]],19),IF(Main[[#This Row],[Class]]="B", WORKDAY(Main[[#This Row],[Tech Start Date]],12),IF(Main[[#This Row],[Class]]="A",WORKDAY(Main[[#This Row],[Tech Start Date]],4),""))))</f>
        <v/>
      </c>
      <c r="O249" s="69" t="str">
        <f>IF(Main[[#This Row],[Tech Start Date]]&lt;1/1/1990,"",IF(Main[[#This Row],[Class]]="C",WORKDAY(Main[[#This Row],[Tech Start Date]],23),IF(Main[[#This Row],[Class]]="B", WORKDAY(Main[[#This Row],[Tech Start Date]],15),IF(Main[[#This Row],[Class]]="A",WORKDAY(Main[[#This Row],[Tech Start Date]],5),""))))</f>
        <v/>
      </c>
      <c r="P249" s="69" t="str">
        <f>IF(Main[[#This Row],[Tech Start Date]]&lt;1/1/1990,"",IF(Main[[#This Row],[Class]]="C",WORKDAY(Main[[#This Row],[Tech Start Date]],28),IF(Main[[#This Row],[Class]]="B", WORKDAY(Main[[#This Row],[Tech Start Date]],19),IF(Main[[#This Row],[Class]]="A",WORKDAY(Main[[#This Row],[Tech Start Date]],9),""))))</f>
        <v/>
      </c>
      <c r="Q249" s="67"/>
      <c r="R249" s="67"/>
      <c r="S249" s="65" t="s">
        <v>11</v>
      </c>
      <c r="T249" s="70" t="s">
        <v>4</v>
      </c>
      <c r="U249" s="65" t="s">
        <v>14</v>
      </c>
      <c r="V249" s="65" t="s">
        <v>1918</v>
      </c>
      <c r="W249" s="65" t="s">
        <v>1925</v>
      </c>
      <c r="X249" s="65" t="s">
        <v>2833</v>
      </c>
      <c r="Y249" s="65" t="s">
        <v>2954</v>
      </c>
      <c r="Z249" s="65" t="s">
        <v>4</v>
      </c>
      <c r="AA249" s="65" t="s">
        <v>2833</v>
      </c>
    </row>
    <row r="250" spans="1:27" ht="17.45" customHeight="1">
      <c r="A250" s="131" t="str">
        <f>IF(priority(Main[[#This Row],[Comments]])&lt;&gt;0, priority(Main[[#This Row],[Comments]]),"")</f>
        <v/>
      </c>
      <c r="B250" s="99" t="s">
        <v>1093</v>
      </c>
      <c r="C250" s="65" t="s">
        <v>4</v>
      </c>
      <c r="D250" s="66" t="s">
        <v>140</v>
      </c>
      <c r="E250" s="67">
        <v>40436.663981481484</v>
      </c>
      <c r="F250" s="67"/>
      <c r="G250" s="64" t="str">
        <f>IF(stdProdLT(Main[[#This Row],[Comments]])=0.1,"N/A",IF(stdProdLT(Main[[#This Row],[Comments]])=0,"",stdProdLT(Main[[#This Row],[Comments]])))</f>
        <v/>
      </c>
      <c r="H250" s="68" t="str">
        <f>IF(AND(Main[[#This Row],[In Stock Date]]&lt;&gt;"",Main[[#This Row],[Revised Due Date]]&lt;&gt;""),Main[[#This Row],[In Stock Date]]-Main[[#This Row],[Revised Due Date]],"")</f>
        <v/>
      </c>
      <c r="I250" s="65" t="s">
        <v>4</v>
      </c>
      <c r="J250" s="65" t="s">
        <v>4</v>
      </c>
      <c r="K250" s="65" t="s">
        <v>4</v>
      </c>
      <c r="L250" s="67"/>
      <c r="M250" s="69" t="str">
        <f>IF(Main[[#This Row],[Tech Start Date]]&lt;1/1/1990,"",IF(Main[[#This Row],[Class]]="C",WORKDAY(Main[[#This Row],[Tech Start Date]],9),IF(Main[[#This Row],[Class]]="B", WORKDAY(Main[[#This Row],[Tech Start Date]],6),IF(Main[[#This Row],[Class]]="A",WORKDAY(Main[[#This Row],[Tech Start Date]],2),""))))</f>
        <v/>
      </c>
      <c r="N250" s="69" t="str">
        <f>IF(Main[[#This Row],[Tech Start Date]]&lt;1/1/1990,"",IF(Main[[#This Row],[Class]]="C",WORKDAY(Main[[#This Row],[Tech Start Date]],19),IF(Main[[#This Row],[Class]]="B", WORKDAY(Main[[#This Row],[Tech Start Date]],12),IF(Main[[#This Row],[Class]]="A",WORKDAY(Main[[#This Row],[Tech Start Date]],4),""))))</f>
        <v/>
      </c>
      <c r="O250" s="69" t="str">
        <f>IF(Main[[#This Row],[Tech Start Date]]&lt;1/1/1990,"",IF(Main[[#This Row],[Class]]="C",WORKDAY(Main[[#This Row],[Tech Start Date]],23),IF(Main[[#This Row],[Class]]="B", WORKDAY(Main[[#This Row],[Tech Start Date]],15),IF(Main[[#This Row],[Class]]="A",WORKDAY(Main[[#This Row],[Tech Start Date]],5),""))))</f>
        <v/>
      </c>
      <c r="P250" s="69" t="str">
        <f>IF(Main[[#This Row],[Tech Start Date]]&lt;1/1/1990,"",IF(Main[[#This Row],[Class]]="C",WORKDAY(Main[[#This Row],[Tech Start Date]],28),IF(Main[[#This Row],[Class]]="B", WORKDAY(Main[[#This Row],[Tech Start Date]],19),IF(Main[[#This Row],[Class]]="A",WORKDAY(Main[[#This Row],[Tech Start Date]],9),""))))</f>
        <v/>
      </c>
      <c r="Q250" s="67"/>
      <c r="R250" s="67"/>
      <c r="S250" s="65" t="s">
        <v>17</v>
      </c>
      <c r="T250" s="70" t="s">
        <v>141</v>
      </c>
      <c r="U250" s="65" t="s">
        <v>7</v>
      </c>
      <c r="V250" s="65" t="s">
        <v>1918</v>
      </c>
      <c r="W250" s="65" t="s">
        <v>1925</v>
      </c>
      <c r="X250" s="65" t="s">
        <v>924</v>
      </c>
      <c r="Y250" s="65" t="s">
        <v>2988</v>
      </c>
      <c r="Z250" s="65" t="s">
        <v>4</v>
      </c>
      <c r="AA250" s="65" t="s">
        <v>924</v>
      </c>
    </row>
    <row r="251" spans="1:27" ht="17.45" customHeight="1">
      <c r="A251" s="131" t="str">
        <f>IF(priority(Main[[#This Row],[Comments]])&lt;&gt;0, priority(Main[[#This Row],[Comments]]),"")</f>
        <v/>
      </c>
      <c r="B251" s="99" t="s">
        <v>1095</v>
      </c>
      <c r="C251" s="65" t="s">
        <v>31</v>
      </c>
      <c r="D251" s="66" t="s">
        <v>142</v>
      </c>
      <c r="E251" s="67"/>
      <c r="F251" s="67"/>
      <c r="G251" s="64" t="str">
        <f>IF(stdProdLT(Main[[#This Row],[Comments]])=0.1,"N/A",IF(stdProdLT(Main[[#This Row],[Comments]])=0,"",stdProdLT(Main[[#This Row],[Comments]])))</f>
        <v/>
      </c>
      <c r="H251" s="68" t="str">
        <f>IF(AND(Main[[#This Row],[In Stock Date]]&lt;&gt;"",Main[[#This Row],[Revised Due Date]]&lt;&gt;""),Main[[#This Row],[In Stock Date]]-Main[[#This Row],[Revised Due Date]],"")</f>
        <v/>
      </c>
      <c r="I251" s="65" t="s">
        <v>4</v>
      </c>
      <c r="J251" s="65" t="s">
        <v>4</v>
      </c>
      <c r="K251" s="71" t="s">
        <v>4</v>
      </c>
      <c r="L251" s="67"/>
      <c r="M251" s="69" t="str">
        <f>IF(Main[[#This Row],[Tech Start Date]]&lt;1/1/1990,"",IF(Main[[#This Row],[Class]]="C",WORKDAY(Main[[#This Row],[Tech Start Date]],9),IF(Main[[#This Row],[Class]]="B", WORKDAY(Main[[#This Row],[Tech Start Date]],6),IF(Main[[#This Row],[Class]]="A",WORKDAY(Main[[#This Row],[Tech Start Date]],2),""))))</f>
        <v/>
      </c>
      <c r="N251" s="69" t="str">
        <f>IF(Main[[#This Row],[Tech Start Date]]&lt;1/1/1990,"",IF(Main[[#This Row],[Class]]="C",WORKDAY(Main[[#This Row],[Tech Start Date]],19),IF(Main[[#This Row],[Class]]="B", WORKDAY(Main[[#This Row],[Tech Start Date]],12),IF(Main[[#This Row],[Class]]="A",WORKDAY(Main[[#This Row],[Tech Start Date]],4),""))))</f>
        <v/>
      </c>
      <c r="O251" s="69" t="str">
        <f>IF(Main[[#This Row],[Tech Start Date]]&lt;1/1/1990,"",IF(Main[[#This Row],[Class]]="C",WORKDAY(Main[[#This Row],[Tech Start Date]],23),IF(Main[[#This Row],[Class]]="B", WORKDAY(Main[[#This Row],[Tech Start Date]],15),IF(Main[[#This Row],[Class]]="A",WORKDAY(Main[[#This Row],[Tech Start Date]],5),""))))</f>
        <v/>
      </c>
      <c r="P251" s="69" t="str">
        <f>IF(Main[[#This Row],[Tech Start Date]]&lt;1/1/1990,"",IF(Main[[#This Row],[Class]]="C",WORKDAY(Main[[#This Row],[Tech Start Date]],28),IF(Main[[#This Row],[Class]]="B", WORKDAY(Main[[#This Row],[Tech Start Date]],19),IF(Main[[#This Row],[Class]]="A",WORKDAY(Main[[#This Row],[Tech Start Date]],9),""))))</f>
        <v/>
      </c>
      <c r="Q251" s="67">
        <v>40318</v>
      </c>
      <c r="R251" s="67"/>
      <c r="S251" s="65" t="s">
        <v>11</v>
      </c>
      <c r="T251" s="70" t="s">
        <v>4</v>
      </c>
      <c r="U251" s="65" t="s">
        <v>14</v>
      </c>
      <c r="V251" s="65" t="s">
        <v>1920</v>
      </c>
      <c r="W251" s="65" t="s">
        <v>1919</v>
      </c>
      <c r="X251" s="65" t="s">
        <v>2836</v>
      </c>
      <c r="Y251" s="65" t="s">
        <v>4</v>
      </c>
      <c r="Z251" s="65" t="s">
        <v>4</v>
      </c>
      <c r="AA251" s="65" t="s">
        <v>2836</v>
      </c>
    </row>
    <row r="252" spans="1:27" ht="17.45" customHeight="1">
      <c r="A252" s="131" t="str">
        <f>IF(priority(Main[[#This Row],[Comments]])&lt;&gt;0, priority(Main[[#This Row],[Comments]]),"")</f>
        <v/>
      </c>
      <c r="B252" s="99" t="s">
        <v>2340</v>
      </c>
      <c r="C252" s="65" t="s">
        <v>347</v>
      </c>
      <c r="D252" s="66" t="s">
        <v>2341</v>
      </c>
      <c r="E252" s="67"/>
      <c r="F252" s="67"/>
      <c r="G252" s="64" t="str">
        <f>IF(stdProdLT(Main[[#This Row],[Comments]])=0.1,"N/A",IF(stdProdLT(Main[[#This Row],[Comments]])=0,"",stdProdLT(Main[[#This Row],[Comments]])))</f>
        <v/>
      </c>
      <c r="H252" s="68" t="str">
        <f>IF(AND(Main[[#This Row],[In Stock Date]]&lt;&gt;"",Main[[#This Row],[Revised Due Date]]&lt;&gt;""),Main[[#This Row],[In Stock Date]]-Main[[#This Row],[Revised Due Date]],"")</f>
        <v/>
      </c>
      <c r="I252" s="65" t="s">
        <v>4</v>
      </c>
      <c r="J252" s="65" t="s">
        <v>4</v>
      </c>
      <c r="K252" s="65" t="s">
        <v>4</v>
      </c>
      <c r="L252" s="67"/>
      <c r="M252" s="69" t="str">
        <f>IF(Main[[#This Row],[Tech Start Date]]&lt;1/1/1990,"",IF(Main[[#This Row],[Class]]="C",WORKDAY(Main[[#This Row],[Tech Start Date]],9),IF(Main[[#This Row],[Class]]="B", WORKDAY(Main[[#This Row],[Tech Start Date]],6),IF(Main[[#This Row],[Class]]="A",WORKDAY(Main[[#This Row],[Tech Start Date]],2),""))))</f>
        <v/>
      </c>
      <c r="N252" s="69" t="str">
        <f>IF(Main[[#This Row],[Tech Start Date]]&lt;1/1/1990,"",IF(Main[[#This Row],[Class]]="C",WORKDAY(Main[[#This Row],[Tech Start Date]],19),IF(Main[[#This Row],[Class]]="B", WORKDAY(Main[[#This Row],[Tech Start Date]],12),IF(Main[[#This Row],[Class]]="A",WORKDAY(Main[[#This Row],[Tech Start Date]],4),""))))</f>
        <v/>
      </c>
      <c r="O252" s="69" t="str">
        <f>IF(Main[[#This Row],[Tech Start Date]]&lt;1/1/1990,"",IF(Main[[#This Row],[Class]]="C",WORKDAY(Main[[#This Row],[Tech Start Date]],23),IF(Main[[#This Row],[Class]]="B", WORKDAY(Main[[#This Row],[Tech Start Date]],15),IF(Main[[#This Row],[Class]]="A",WORKDAY(Main[[#This Row],[Tech Start Date]],5),""))))</f>
        <v/>
      </c>
      <c r="P252" s="69" t="str">
        <f>IF(Main[[#This Row],[Tech Start Date]]&lt;1/1/1990,"",IF(Main[[#This Row],[Class]]="C",WORKDAY(Main[[#This Row],[Tech Start Date]],28),IF(Main[[#This Row],[Class]]="B", WORKDAY(Main[[#This Row],[Tech Start Date]],19),IF(Main[[#This Row],[Class]]="A",WORKDAY(Main[[#This Row],[Tech Start Date]],9),""))))</f>
        <v/>
      </c>
      <c r="Q252" s="67">
        <v>40847</v>
      </c>
      <c r="R252" s="67"/>
      <c r="S252" s="65" t="s">
        <v>4</v>
      </c>
      <c r="T252" s="70" t="s">
        <v>4</v>
      </c>
      <c r="U252" s="65" t="s">
        <v>12</v>
      </c>
      <c r="V252" s="65" t="s">
        <v>1917</v>
      </c>
      <c r="W252" s="65" t="s">
        <v>4</v>
      </c>
      <c r="X252" s="65" t="s">
        <v>2855</v>
      </c>
      <c r="Y252" s="65" t="s">
        <v>2989</v>
      </c>
      <c r="Z252" s="65" t="s">
        <v>4</v>
      </c>
      <c r="AA252" s="65" t="s">
        <v>2855</v>
      </c>
    </row>
    <row r="253" spans="1:27" ht="17.45" customHeight="1">
      <c r="A253" s="131" t="str">
        <f>IF(priority(Main[[#This Row],[Comments]])&lt;&gt;0, priority(Main[[#This Row],[Comments]]),"")</f>
        <v/>
      </c>
      <c r="B253" s="99" t="s">
        <v>2070</v>
      </c>
      <c r="C253" s="65" t="s">
        <v>4</v>
      </c>
      <c r="D253" s="66" t="s">
        <v>2071</v>
      </c>
      <c r="E253" s="67"/>
      <c r="F253" s="67"/>
      <c r="G253" s="64" t="str">
        <f>IF(stdProdLT(Main[[#This Row],[Comments]])=0.1,"N/A",IF(stdProdLT(Main[[#This Row],[Comments]])=0,"",stdProdLT(Main[[#This Row],[Comments]])))</f>
        <v/>
      </c>
      <c r="H253" s="68" t="str">
        <f>IF(AND(Main[[#This Row],[In Stock Date]]&lt;&gt;"",Main[[#This Row],[Revised Due Date]]&lt;&gt;""),Main[[#This Row],[In Stock Date]]-Main[[#This Row],[Revised Due Date]],"")</f>
        <v/>
      </c>
      <c r="I253" s="65" t="s">
        <v>4</v>
      </c>
      <c r="J253" s="65" t="s">
        <v>4</v>
      </c>
      <c r="K253" s="65" t="s">
        <v>4</v>
      </c>
      <c r="L253" s="67"/>
      <c r="M253" s="69" t="str">
        <f>IF(Main[[#This Row],[Tech Start Date]]&lt;1/1/1990,"",IF(Main[[#This Row],[Class]]="C",WORKDAY(Main[[#This Row],[Tech Start Date]],9),IF(Main[[#This Row],[Class]]="B", WORKDAY(Main[[#This Row],[Tech Start Date]],6),IF(Main[[#This Row],[Class]]="A",WORKDAY(Main[[#This Row],[Tech Start Date]],2),""))))</f>
        <v/>
      </c>
      <c r="N253" s="69" t="str">
        <f>IF(Main[[#This Row],[Tech Start Date]]&lt;1/1/1990,"",IF(Main[[#This Row],[Class]]="C",WORKDAY(Main[[#This Row],[Tech Start Date]],19),IF(Main[[#This Row],[Class]]="B", WORKDAY(Main[[#This Row],[Tech Start Date]],12),IF(Main[[#This Row],[Class]]="A",WORKDAY(Main[[#This Row],[Tech Start Date]],4),""))))</f>
        <v/>
      </c>
      <c r="O253" s="69" t="str">
        <f>IF(Main[[#This Row],[Tech Start Date]]&lt;1/1/1990,"",IF(Main[[#This Row],[Class]]="C",WORKDAY(Main[[#This Row],[Tech Start Date]],23),IF(Main[[#This Row],[Class]]="B", WORKDAY(Main[[#This Row],[Tech Start Date]],15),IF(Main[[#This Row],[Class]]="A",WORKDAY(Main[[#This Row],[Tech Start Date]],5),""))))</f>
        <v/>
      </c>
      <c r="P253" s="69" t="str">
        <f>IF(Main[[#This Row],[Tech Start Date]]&lt;1/1/1990,"",IF(Main[[#This Row],[Class]]="C",WORKDAY(Main[[#This Row],[Tech Start Date]],28),IF(Main[[#This Row],[Class]]="B", WORKDAY(Main[[#This Row],[Tech Start Date]],19),IF(Main[[#This Row],[Class]]="A",WORKDAY(Main[[#This Row],[Tech Start Date]],9),""))))</f>
        <v/>
      </c>
      <c r="Q253" s="67"/>
      <c r="R253" s="67"/>
      <c r="S253" s="65" t="s">
        <v>6</v>
      </c>
      <c r="T253" s="70" t="s">
        <v>4</v>
      </c>
      <c r="U253" s="65" t="s">
        <v>14</v>
      </c>
      <c r="V253" s="65" t="s">
        <v>1927</v>
      </c>
      <c r="W253" s="65" t="s">
        <v>1921</v>
      </c>
      <c r="X253" s="65" t="s">
        <v>306</v>
      </c>
      <c r="Y253" s="65" t="s">
        <v>4</v>
      </c>
      <c r="Z253" s="65" t="s">
        <v>4</v>
      </c>
      <c r="AA253" s="65" t="s">
        <v>4</v>
      </c>
    </row>
    <row r="254" spans="1:27" ht="17.45" customHeight="1">
      <c r="A254" s="131" t="str">
        <f>IF(priority(Main[[#This Row],[Comments]])&lt;&gt;0, priority(Main[[#This Row],[Comments]]),"")</f>
        <v/>
      </c>
      <c r="B254" s="99" t="s">
        <v>2342</v>
      </c>
      <c r="C254" s="65" t="s">
        <v>4</v>
      </c>
      <c r="D254" s="66" t="s">
        <v>2343</v>
      </c>
      <c r="E254" s="67">
        <v>40841.293483796297</v>
      </c>
      <c r="F254" s="67"/>
      <c r="G254" s="64" t="str">
        <f>IF(stdProdLT(Main[[#This Row],[Comments]])=0.1,"N/A",IF(stdProdLT(Main[[#This Row],[Comments]])=0,"",stdProdLT(Main[[#This Row],[Comments]])))</f>
        <v/>
      </c>
      <c r="H254" s="68" t="str">
        <f>IF(AND(Main[[#This Row],[In Stock Date]]&lt;&gt;"",Main[[#This Row],[Revised Due Date]]&lt;&gt;""),Main[[#This Row],[In Stock Date]]-Main[[#This Row],[Revised Due Date]],"")</f>
        <v/>
      </c>
      <c r="I254" s="65" t="s">
        <v>914</v>
      </c>
      <c r="J254" s="65" t="s">
        <v>52</v>
      </c>
      <c r="K254" s="65" t="s">
        <v>4</v>
      </c>
      <c r="L254" s="67"/>
      <c r="M254" s="69" t="str">
        <f>IF(Main[[#This Row],[Tech Start Date]]&lt;1/1/1990,"",IF(Main[[#This Row],[Class]]="C",WORKDAY(Main[[#This Row],[Tech Start Date]],9),IF(Main[[#This Row],[Class]]="B", WORKDAY(Main[[#This Row],[Tech Start Date]],6),IF(Main[[#This Row],[Class]]="A",WORKDAY(Main[[#This Row],[Tech Start Date]],2),""))))</f>
        <v/>
      </c>
      <c r="N254" s="69" t="str">
        <f>IF(Main[[#This Row],[Tech Start Date]]&lt;1/1/1990,"",IF(Main[[#This Row],[Class]]="C",WORKDAY(Main[[#This Row],[Tech Start Date]],19),IF(Main[[#This Row],[Class]]="B", WORKDAY(Main[[#This Row],[Tech Start Date]],12),IF(Main[[#This Row],[Class]]="A",WORKDAY(Main[[#This Row],[Tech Start Date]],4),""))))</f>
        <v/>
      </c>
      <c r="O254" s="69" t="str">
        <f>IF(Main[[#This Row],[Tech Start Date]]&lt;1/1/1990,"",IF(Main[[#This Row],[Class]]="C",WORKDAY(Main[[#This Row],[Tech Start Date]],23),IF(Main[[#This Row],[Class]]="B", WORKDAY(Main[[#This Row],[Tech Start Date]],15),IF(Main[[#This Row],[Class]]="A",WORKDAY(Main[[#This Row],[Tech Start Date]],5),""))))</f>
        <v/>
      </c>
      <c r="P254" s="69" t="str">
        <f>IF(Main[[#This Row],[Tech Start Date]]&lt;1/1/1990,"",IF(Main[[#This Row],[Class]]="C",WORKDAY(Main[[#This Row],[Tech Start Date]],28),IF(Main[[#This Row],[Class]]="B", WORKDAY(Main[[#This Row],[Tech Start Date]],19),IF(Main[[#This Row],[Class]]="A",WORKDAY(Main[[#This Row],[Tech Start Date]],9),""))))</f>
        <v/>
      </c>
      <c r="Q254" s="67"/>
      <c r="R254" s="67"/>
      <c r="S254" s="65" t="s">
        <v>6</v>
      </c>
      <c r="T254" s="70" t="s">
        <v>4</v>
      </c>
      <c r="U254" s="65" t="s">
        <v>29</v>
      </c>
      <c r="V254" s="65" t="s">
        <v>1917</v>
      </c>
      <c r="W254" s="65" t="s">
        <v>1921</v>
      </c>
      <c r="X254" s="65" t="s">
        <v>939</v>
      </c>
      <c r="Y254" s="65" t="s">
        <v>2990</v>
      </c>
      <c r="Z254" s="65" t="s">
        <v>4</v>
      </c>
      <c r="AA254" s="65" t="s">
        <v>939</v>
      </c>
    </row>
    <row r="255" spans="1:27" ht="17.45" customHeight="1">
      <c r="A255" s="131" t="str">
        <f>IF(priority(Main[[#This Row],[Comments]])&lt;&gt;0, priority(Main[[#This Row],[Comments]]),"")</f>
        <v/>
      </c>
      <c r="B255" s="99" t="s">
        <v>1096</v>
      </c>
      <c r="C255" s="65" t="s">
        <v>33</v>
      </c>
      <c r="D255" s="66" t="s">
        <v>143</v>
      </c>
      <c r="E255" s="67"/>
      <c r="F255" s="67">
        <v>40422</v>
      </c>
      <c r="G255" s="64" t="str">
        <f>IF(stdProdLT(Main[[#This Row],[Comments]])=0.1,"N/A",IF(stdProdLT(Main[[#This Row],[Comments]])=0,"",stdProdLT(Main[[#This Row],[Comments]])))</f>
        <v/>
      </c>
      <c r="H255" s="68" t="str">
        <f>IF(AND(Main[[#This Row],[In Stock Date]]&lt;&gt;"",Main[[#This Row],[Revised Due Date]]&lt;&gt;""),Main[[#This Row],[In Stock Date]]-Main[[#This Row],[Revised Due Date]],"")</f>
        <v/>
      </c>
      <c r="I255" s="65" t="s">
        <v>4</v>
      </c>
      <c r="J255" s="65" t="s">
        <v>4</v>
      </c>
      <c r="K255" s="65" t="s">
        <v>4</v>
      </c>
      <c r="L255" s="67"/>
      <c r="M255" s="69" t="str">
        <f>IF(Main[[#This Row],[Tech Start Date]]&lt;1/1/1990,"",IF(Main[[#This Row],[Class]]="C",WORKDAY(Main[[#This Row],[Tech Start Date]],9),IF(Main[[#This Row],[Class]]="B", WORKDAY(Main[[#This Row],[Tech Start Date]],6),IF(Main[[#This Row],[Class]]="A",WORKDAY(Main[[#This Row],[Tech Start Date]],2),""))))</f>
        <v/>
      </c>
      <c r="N255" s="69" t="str">
        <f>IF(Main[[#This Row],[Tech Start Date]]&lt;1/1/1990,"",IF(Main[[#This Row],[Class]]="C",WORKDAY(Main[[#This Row],[Tech Start Date]],19),IF(Main[[#This Row],[Class]]="B", WORKDAY(Main[[#This Row],[Tech Start Date]],12),IF(Main[[#This Row],[Class]]="A",WORKDAY(Main[[#This Row],[Tech Start Date]],4),""))))</f>
        <v/>
      </c>
      <c r="O255" s="69" t="str">
        <f>IF(Main[[#This Row],[Tech Start Date]]&lt;1/1/1990,"",IF(Main[[#This Row],[Class]]="C",WORKDAY(Main[[#This Row],[Tech Start Date]],23),IF(Main[[#This Row],[Class]]="B", WORKDAY(Main[[#This Row],[Tech Start Date]],15),IF(Main[[#This Row],[Class]]="A",WORKDAY(Main[[#This Row],[Tech Start Date]],5),""))))</f>
        <v/>
      </c>
      <c r="P255" s="69" t="str">
        <f>IF(Main[[#This Row],[Tech Start Date]]&lt;1/1/1990,"",IF(Main[[#This Row],[Class]]="C",WORKDAY(Main[[#This Row],[Tech Start Date]],28),IF(Main[[#This Row],[Class]]="B", WORKDAY(Main[[#This Row],[Tech Start Date]],19),IF(Main[[#This Row],[Class]]="A",WORKDAY(Main[[#This Row],[Tech Start Date]],9),""))))</f>
        <v/>
      </c>
      <c r="Q255" s="67">
        <v>40282</v>
      </c>
      <c r="R255" s="67"/>
      <c r="S255" s="65" t="s">
        <v>11</v>
      </c>
      <c r="T255" s="76" t="s">
        <v>4</v>
      </c>
      <c r="U255" s="65" t="s">
        <v>14</v>
      </c>
      <c r="V255" s="65" t="s">
        <v>1920</v>
      </c>
      <c r="W255" s="65" t="s">
        <v>1922</v>
      </c>
      <c r="X255" s="65" t="s">
        <v>2856</v>
      </c>
      <c r="Y255" s="65" t="s">
        <v>4</v>
      </c>
      <c r="Z255" s="65" t="s">
        <v>4</v>
      </c>
      <c r="AA255" s="65" t="s">
        <v>2856</v>
      </c>
    </row>
    <row r="256" spans="1:27" ht="17.45" customHeight="1">
      <c r="A256" s="131" t="str">
        <f>IF(priority(Main[[#This Row],[Comments]])&lt;&gt;0, priority(Main[[#This Row],[Comments]]),"")</f>
        <v/>
      </c>
      <c r="B256" s="99" t="s">
        <v>1097</v>
      </c>
      <c r="C256" s="65" t="s">
        <v>4</v>
      </c>
      <c r="D256" s="66" t="s">
        <v>144</v>
      </c>
      <c r="E256" s="67">
        <v>40395.405358796299</v>
      </c>
      <c r="F256" s="67">
        <v>40574</v>
      </c>
      <c r="G256" s="64" t="str">
        <f>IF(stdProdLT(Main[[#This Row],[Comments]])=0.1,"N/A",IF(stdProdLT(Main[[#This Row],[Comments]])=0,"",stdProdLT(Main[[#This Row],[Comments]])))</f>
        <v/>
      </c>
      <c r="H256" s="68" t="str">
        <f>IF(AND(Main[[#This Row],[In Stock Date]]&lt;&gt;"",Main[[#This Row],[Revised Due Date]]&lt;&gt;""),Main[[#This Row],[In Stock Date]]-Main[[#This Row],[Revised Due Date]],"")</f>
        <v/>
      </c>
      <c r="I256" s="65" t="s">
        <v>4</v>
      </c>
      <c r="J256" s="65" t="s">
        <v>28</v>
      </c>
      <c r="K256" s="65" t="s">
        <v>4</v>
      </c>
      <c r="L256" s="67"/>
      <c r="M256" s="69" t="str">
        <f>IF(Main[[#This Row],[Tech Start Date]]&lt;1/1/1990,"",IF(Main[[#This Row],[Class]]="C",WORKDAY(Main[[#This Row],[Tech Start Date]],9),IF(Main[[#This Row],[Class]]="B", WORKDAY(Main[[#This Row],[Tech Start Date]],6),IF(Main[[#This Row],[Class]]="A",WORKDAY(Main[[#This Row],[Tech Start Date]],2),""))))</f>
        <v/>
      </c>
      <c r="N256" s="69" t="str">
        <f>IF(Main[[#This Row],[Tech Start Date]]&lt;1/1/1990,"",IF(Main[[#This Row],[Class]]="C",WORKDAY(Main[[#This Row],[Tech Start Date]],19),IF(Main[[#This Row],[Class]]="B", WORKDAY(Main[[#This Row],[Tech Start Date]],12),IF(Main[[#This Row],[Class]]="A",WORKDAY(Main[[#This Row],[Tech Start Date]],4),""))))</f>
        <v/>
      </c>
      <c r="O256" s="69" t="str">
        <f>IF(Main[[#This Row],[Tech Start Date]]&lt;1/1/1990,"",IF(Main[[#This Row],[Class]]="C",WORKDAY(Main[[#This Row],[Tech Start Date]],23),IF(Main[[#This Row],[Class]]="B", WORKDAY(Main[[#This Row],[Tech Start Date]],15),IF(Main[[#This Row],[Class]]="A",WORKDAY(Main[[#This Row],[Tech Start Date]],5),""))))</f>
        <v/>
      </c>
      <c r="P256" s="69" t="str">
        <f>IF(Main[[#This Row],[Tech Start Date]]&lt;1/1/1990,"",IF(Main[[#This Row],[Class]]="C",WORKDAY(Main[[#This Row],[Tech Start Date]],28),IF(Main[[#This Row],[Class]]="B", WORKDAY(Main[[#This Row],[Tech Start Date]],19),IF(Main[[#This Row],[Class]]="A",WORKDAY(Main[[#This Row],[Tech Start Date]],9),""))))</f>
        <v/>
      </c>
      <c r="Q256" s="67"/>
      <c r="R256" s="67"/>
      <c r="S256" s="65" t="s">
        <v>17</v>
      </c>
      <c r="T256" s="70" t="s">
        <v>4</v>
      </c>
      <c r="U256" s="65" t="s">
        <v>7</v>
      </c>
      <c r="V256" s="65" t="s">
        <v>1918</v>
      </c>
      <c r="W256" s="65" t="s">
        <v>1922</v>
      </c>
      <c r="X256" s="65" t="s">
        <v>50</v>
      </c>
      <c r="Y256" s="65" t="s">
        <v>2991</v>
      </c>
      <c r="Z256" s="65" t="s">
        <v>2868</v>
      </c>
      <c r="AA256" s="65" t="s">
        <v>65</v>
      </c>
    </row>
    <row r="257" spans="1:27" ht="17.45" customHeight="1">
      <c r="A257" s="131" t="str">
        <f>IF(priority(Main[[#This Row],[Comments]])&lt;&gt;0, priority(Main[[#This Row],[Comments]]),"")</f>
        <v/>
      </c>
      <c r="B257" s="99" t="s">
        <v>1085</v>
      </c>
      <c r="C257" s="65" t="s">
        <v>4</v>
      </c>
      <c r="D257" s="66" t="s">
        <v>133</v>
      </c>
      <c r="E257" s="67"/>
      <c r="F257" s="67"/>
      <c r="G257" s="64" t="str">
        <f>IF(stdProdLT(Main[[#This Row],[Comments]])=0.1,"N/A",IF(stdProdLT(Main[[#This Row],[Comments]])=0,"",stdProdLT(Main[[#This Row],[Comments]])))</f>
        <v/>
      </c>
      <c r="H257" s="68" t="str">
        <f>IF(AND(Main[[#This Row],[In Stock Date]]&lt;&gt;"",Main[[#This Row],[Revised Due Date]]&lt;&gt;""),Main[[#This Row],[In Stock Date]]-Main[[#This Row],[Revised Due Date]],"")</f>
        <v/>
      </c>
      <c r="I257" s="65" t="s">
        <v>69</v>
      </c>
      <c r="J257" s="65" t="s">
        <v>70</v>
      </c>
      <c r="K257" s="65" t="s">
        <v>1926</v>
      </c>
      <c r="L257" s="67"/>
      <c r="M257" s="69" t="str">
        <f>IF(Main[[#This Row],[Tech Start Date]]&lt;1/1/1990,"",IF(Main[[#This Row],[Class]]="C",WORKDAY(Main[[#This Row],[Tech Start Date]],9),IF(Main[[#This Row],[Class]]="B", WORKDAY(Main[[#This Row],[Tech Start Date]],6),IF(Main[[#This Row],[Class]]="A",WORKDAY(Main[[#This Row],[Tech Start Date]],2),""))))</f>
        <v/>
      </c>
      <c r="N257" s="69" t="str">
        <f>IF(Main[[#This Row],[Tech Start Date]]&lt;1/1/1990,"",IF(Main[[#This Row],[Class]]="C",WORKDAY(Main[[#This Row],[Tech Start Date]],19),IF(Main[[#This Row],[Class]]="B", WORKDAY(Main[[#This Row],[Tech Start Date]],12),IF(Main[[#This Row],[Class]]="A",WORKDAY(Main[[#This Row],[Tech Start Date]],4),""))))</f>
        <v/>
      </c>
      <c r="O257" s="69" t="str">
        <f>IF(Main[[#This Row],[Tech Start Date]]&lt;1/1/1990,"",IF(Main[[#This Row],[Class]]="C",WORKDAY(Main[[#This Row],[Tech Start Date]],23),IF(Main[[#This Row],[Class]]="B", WORKDAY(Main[[#This Row],[Tech Start Date]],15),IF(Main[[#This Row],[Class]]="A",WORKDAY(Main[[#This Row],[Tech Start Date]],5),""))))</f>
        <v/>
      </c>
      <c r="P257" s="69" t="str">
        <f>IF(Main[[#This Row],[Tech Start Date]]&lt;1/1/1990,"",IF(Main[[#This Row],[Class]]="C",WORKDAY(Main[[#This Row],[Tech Start Date]],28),IF(Main[[#This Row],[Class]]="B", WORKDAY(Main[[#This Row],[Tech Start Date]],19),IF(Main[[#This Row],[Class]]="A",WORKDAY(Main[[#This Row],[Tech Start Date]],9),""))))</f>
        <v/>
      </c>
      <c r="Q257" s="67">
        <v>40633</v>
      </c>
      <c r="R257" s="67"/>
      <c r="S257" s="65" t="s">
        <v>6</v>
      </c>
      <c r="T257" s="70" t="s">
        <v>4</v>
      </c>
      <c r="U257" s="65" t="s">
        <v>14</v>
      </c>
      <c r="V257" s="65" t="s">
        <v>1920</v>
      </c>
      <c r="W257" s="65" t="s">
        <v>1921</v>
      </c>
      <c r="X257" s="65" t="s">
        <v>2825</v>
      </c>
      <c r="Y257" s="65" t="s">
        <v>2938</v>
      </c>
      <c r="Z257" s="65" t="s">
        <v>44</v>
      </c>
      <c r="AA257" s="65" t="s">
        <v>2825</v>
      </c>
    </row>
    <row r="258" spans="1:27" ht="17.45" customHeight="1">
      <c r="A258" s="131" t="str">
        <f>IF(priority(Main[[#This Row],[Comments]])&lt;&gt;0, priority(Main[[#This Row],[Comments]]),"")</f>
        <v/>
      </c>
      <c r="B258" s="99" t="s">
        <v>1099</v>
      </c>
      <c r="C258" s="65" t="s">
        <v>47</v>
      </c>
      <c r="D258" s="66" t="s">
        <v>146</v>
      </c>
      <c r="E258" s="67"/>
      <c r="F258" s="67"/>
      <c r="G258" s="64" t="str">
        <f>IF(stdProdLT(Main[[#This Row],[Comments]])=0.1,"N/A",IF(stdProdLT(Main[[#This Row],[Comments]])=0,"",stdProdLT(Main[[#This Row],[Comments]])))</f>
        <v/>
      </c>
      <c r="H258" s="68" t="str">
        <f>IF(AND(Main[[#This Row],[In Stock Date]]&lt;&gt;"",Main[[#This Row],[Revised Due Date]]&lt;&gt;""),Main[[#This Row],[In Stock Date]]-Main[[#This Row],[Revised Due Date]],"")</f>
        <v/>
      </c>
      <c r="I258" s="65" t="s">
        <v>4</v>
      </c>
      <c r="J258" s="65" t="s">
        <v>4</v>
      </c>
      <c r="K258" s="65" t="s">
        <v>4</v>
      </c>
      <c r="L258" s="67"/>
      <c r="M258" s="69" t="str">
        <f>IF(Main[[#This Row],[Tech Start Date]]&lt;1/1/1990,"",IF(Main[[#This Row],[Class]]="C",WORKDAY(Main[[#This Row],[Tech Start Date]],9),IF(Main[[#This Row],[Class]]="B", WORKDAY(Main[[#This Row],[Tech Start Date]],6),IF(Main[[#This Row],[Class]]="A",WORKDAY(Main[[#This Row],[Tech Start Date]],2),""))))</f>
        <v/>
      </c>
      <c r="N258" s="69" t="str">
        <f>IF(Main[[#This Row],[Tech Start Date]]&lt;1/1/1990,"",IF(Main[[#This Row],[Class]]="C",WORKDAY(Main[[#This Row],[Tech Start Date]],19),IF(Main[[#This Row],[Class]]="B", WORKDAY(Main[[#This Row],[Tech Start Date]],12),IF(Main[[#This Row],[Class]]="A",WORKDAY(Main[[#This Row],[Tech Start Date]],4),""))))</f>
        <v/>
      </c>
      <c r="O258" s="69" t="str">
        <f>IF(Main[[#This Row],[Tech Start Date]]&lt;1/1/1990,"",IF(Main[[#This Row],[Class]]="C",WORKDAY(Main[[#This Row],[Tech Start Date]],23),IF(Main[[#This Row],[Class]]="B", WORKDAY(Main[[#This Row],[Tech Start Date]],15),IF(Main[[#This Row],[Class]]="A",WORKDAY(Main[[#This Row],[Tech Start Date]],5),""))))</f>
        <v/>
      </c>
      <c r="P258" s="69" t="str">
        <f>IF(Main[[#This Row],[Tech Start Date]]&lt;1/1/1990,"",IF(Main[[#This Row],[Class]]="C",WORKDAY(Main[[#This Row],[Tech Start Date]],28),IF(Main[[#This Row],[Class]]="B", WORKDAY(Main[[#This Row],[Tech Start Date]],19),IF(Main[[#This Row],[Class]]="A",WORKDAY(Main[[#This Row],[Tech Start Date]],9),""))))</f>
        <v/>
      </c>
      <c r="Q258" s="67"/>
      <c r="R258" s="67"/>
      <c r="S258" s="65" t="s">
        <v>11</v>
      </c>
      <c r="T258" s="70" t="s">
        <v>4</v>
      </c>
      <c r="U258" s="65" t="s">
        <v>14</v>
      </c>
      <c r="V258" s="65" t="s">
        <v>1918</v>
      </c>
      <c r="W258" s="65" t="s">
        <v>1921</v>
      </c>
      <c r="X258" s="65" t="s">
        <v>399</v>
      </c>
      <c r="Y258" s="65" t="s">
        <v>4</v>
      </c>
      <c r="Z258" s="65" t="s">
        <v>4</v>
      </c>
      <c r="AA258" s="65" t="s">
        <v>399</v>
      </c>
    </row>
    <row r="259" spans="1:27" ht="17.45" customHeight="1">
      <c r="A259" s="131" t="str">
        <f>IF(priority(Main[[#This Row],[Comments]])&lt;&gt;0, priority(Main[[#This Row],[Comments]]),"")</f>
        <v/>
      </c>
      <c r="B259" s="99" t="s">
        <v>3258</v>
      </c>
      <c r="C259" s="65" t="s">
        <v>4</v>
      </c>
      <c r="D259" s="66" t="s">
        <v>3259</v>
      </c>
      <c r="E259" s="67">
        <v>40928.503738425927</v>
      </c>
      <c r="F259" s="67"/>
      <c r="G259" s="64" t="str">
        <f>IF(stdProdLT(Main[[#This Row],[Comments]])=0.1,"N/A",IF(stdProdLT(Main[[#This Row],[Comments]])=0,"",stdProdLT(Main[[#This Row],[Comments]])))</f>
        <v/>
      </c>
      <c r="H259" s="68" t="str">
        <f>IF(AND(Main[[#This Row],[In Stock Date]]&lt;&gt;"",Main[[#This Row],[Revised Due Date]]&lt;&gt;""),Main[[#This Row],[In Stock Date]]-Main[[#This Row],[Revised Due Date]],"")</f>
        <v/>
      </c>
      <c r="I259" s="65" t="s">
        <v>4</v>
      </c>
      <c r="J259" s="65" t="s">
        <v>4</v>
      </c>
      <c r="K259" s="65" t="s">
        <v>4</v>
      </c>
      <c r="L259" s="67"/>
      <c r="M259" s="69" t="str">
        <f>IF(Main[[#This Row],[Tech Start Date]]&lt;1/1/1990,"",IF(Main[[#This Row],[Class]]="C",WORKDAY(Main[[#This Row],[Tech Start Date]],9),IF(Main[[#This Row],[Class]]="B", WORKDAY(Main[[#This Row],[Tech Start Date]],6),IF(Main[[#This Row],[Class]]="A",WORKDAY(Main[[#This Row],[Tech Start Date]],2),""))))</f>
        <v/>
      </c>
      <c r="N259" s="69" t="str">
        <f>IF(Main[[#This Row],[Tech Start Date]]&lt;1/1/1990,"",IF(Main[[#This Row],[Class]]="C",WORKDAY(Main[[#This Row],[Tech Start Date]],19),IF(Main[[#This Row],[Class]]="B", WORKDAY(Main[[#This Row],[Tech Start Date]],12),IF(Main[[#This Row],[Class]]="A",WORKDAY(Main[[#This Row],[Tech Start Date]],4),""))))</f>
        <v/>
      </c>
      <c r="O259" s="69" t="str">
        <f>IF(Main[[#This Row],[Tech Start Date]]&lt;1/1/1990,"",IF(Main[[#This Row],[Class]]="C",WORKDAY(Main[[#This Row],[Tech Start Date]],23),IF(Main[[#This Row],[Class]]="B", WORKDAY(Main[[#This Row],[Tech Start Date]],15),IF(Main[[#This Row],[Class]]="A",WORKDAY(Main[[#This Row],[Tech Start Date]],5),""))))</f>
        <v/>
      </c>
      <c r="P259" s="69" t="str">
        <f>IF(Main[[#This Row],[Tech Start Date]]&lt;1/1/1990,"",IF(Main[[#This Row],[Class]]="C",WORKDAY(Main[[#This Row],[Tech Start Date]],28),IF(Main[[#This Row],[Class]]="B", WORKDAY(Main[[#This Row],[Tech Start Date]],19),IF(Main[[#This Row],[Class]]="A",WORKDAY(Main[[#This Row],[Tech Start Date]],9),""))))</f>
        <v/>
      </c>
      <c r="Q259" s="67"/>
      <c r="R259" s="67"/>
      <c r="S259" s="65" t="s">
        <v>6</v>
      </c>
      <c r="T259" s="70" t="s">
        <v>4</v>
      </c>
      <c r="U259" s="65" t="s">
        <v>29</v>
      </c>
      <c r="V259" s="65" t="s">
        <v>1918</v>
      </c>
      <c r="W259" s="65" t="s">
        <v>1921</v>
      </c>
      <c r="X259" s="65" t="s">
        <v>2254</v>
      </c>
      <c r="Y259" s="65" t="s">
        <v>4</v>
      </c>
      <c r="Z259" s="65" t="s">
        <v>4</v>
      </c>
      <c r="AA259" s="65" t="s">
        <v>4</v>
      </c>
    </row>
    <row r="260" spans="1:27" ht="17.45" customHeight="1">
      <c r="A260" s="131" t="str">
        <f>IF(priority(Main[[#This Row],[Comments]])&lt;&gt;0, priority(Main[[#This Row],[Comments]]),"")</f>
        <v/>
      </c>
      <c r="B260" s="99" t="s">
        <v>1100</v>
      </c>
      <c r="C260" s="65" t="s">
        <v>4</v>
      </c>
      <c r="D260" s="66" t="s">
        <v>147</v>
      </c>
      <c r="E260" s="67">
        <v>40666.180879629632</v>
      </c>
      <c r="F260" s="67"/>
      <c r="G260" s="64" t="str">
        <f>IF(stdProdLT(Main[[#This Row],[Comments]])=0.1,"N/A",IF(stdProdLT(Main[[#This Row],[Comments]])=0,"",stdProdLT(Main[[#This Row],[Comments]])))</f>
        <v/>
      </c>
      <c r="H260" s="68" t="str">
        <f>IF(AND(Main[[#This Row],[In Stock Date]]&lt;&gt;"",Main[[#This Row],[Revised Due Date]]&lt;&gt;""),Main[[#This Row],[In Stock Date]]-Main[[#This Row],[Revised Due Date]],"")</f>
        <v/>
      </c>
      <c r="I260" s="65" t="s">
        <v>4</v>
      </c>
      <c r="J260" s="65" t="s">
        <v>4</v>
      </c>
      <c r="K260" s="65" t="s">
        <v>4</v>
      </c>
      <c r="L260" s="67"/>
      <c r="M260" s="69" t="str">
        <f>IF(Main[[#This Row],[Tech Start Date]]&lt;1/1/1990,"",IF(Main[[#This Row],[Class]]="C",WORKDAY(Main[[#This Row],[Tech Start Date]],9),IF(Main[[#This Row],[Class]]="B", WORKDAY(Main[[#This Row],[Tech Start Date]],6),IF(Main[[#This Row],[Class]]="A",WORKDAY(Main[[#This Row],[Tech Start Date]],2),""))))</f>
        <v/>
      </c>
      <c r="N260" s="69" t="str">
        <f>IF(Main[[#This Row],[Tech Start Date]]&lt;1/1/1990,"",IF(Main[[#This Row],[Class]]="C",WORKDAY(Main[[#This Row],[Tech Start Date]],19),IF(Main[[#This Row],[Class]]="B", WORKDAY(Main[[#This Row],[Tech Start Date]],12),IF(Main[[#This Row],[Class]]="A",WORKDAY(Main[[#This Row],[Tech Start Date]],4),""))))</f>
        <v/>
      </c>
      <c r="O260" s="69" t="str">
        <f>IF(Main[[#This Row],[Tech Start Date]]&lt;1/1/1990,"",IF(Main[[#This Row],[Class]]="C",WORKDAY(Main[[#This Row],[Tech Start Date]],23),IF(Main[[#This Row],[Class]]="B", WORKDAY(Main[[#This Row],[Tech Start Date]],15),IF(Main[[#This Row],[Class]]="A",WORKDAY(Main[[#This Row],[Tech Start Date]],5),""))))</f>
        <v/>
      </c>
      <c r="P260" s="69" t="str">
        <f>IF(Main[[#This Row],[Tech Start Date]]&lt;1/1/1990,"",IF(Main[[#This Row],[Class]]="C",WORKDAY(Main[[#This Row],[Tech Start Date]],28),IF(Main[[#This Row],[Class]]="B", WORKDAY(Main[[#This Row],[Tech Start Date]],19),IF(Main[[#This Row],[Class]]="A",WORKDAY(Main[[#This Row],[Tech Start Date]],9),""))))</f>
        <v/>
      </c>
      <c r="Q260" s="67">
        <v>40687</v>
      </c>
      <c r="R260" s="67"/>
      <c r="S260" s="65" t="s">
        <v>6</v>
      </c>
      <c r="T260" s="70" t="s">
        <v>4</v>
      </c>
      <c r="U260" s="65" t="s">
        <v>7</v>
      </c>
      <c r="V260" s="65" t="s">
        <v>1917</v>
      </c>
      <c r="W260" s="65" t="s">
        <v>4</v>
      </c>
      <c r="X260" s="65" t="s">
        <v>2857</v>
      </c>
      <c r="Y260" s="65" t="s">
        <v>2992</v>
      </c>
      <c r="Z260" s="65" t="s">
        <v>4</v>
      </c>
      <c r="AA260" s="65" t="s">
        <v>2857</v>
      </c>
    </row>
    <row r="261" spans="1:27" ht="17.45" customHeight="1">
      <c r="A261" s="131" t="str">
        <f>IF(priority(Main[[#This Row],[Comments]])&lt;&gt;0, priority(Main[[#This Row],[Comments]]),"")</f>
        <v/>
      </c>
      <c r="B261" s="99" t="s">
        <v>1101</v>
      </c>
      <c r="C261" s="65" t="s">
        <v>148</v>
      </c>
      <c r="D261" s="66" t="s">
        <v>149</v>
      </c>
      <c r="E261" s="67"/>
      <c r="F261" s="67"/>
      <c r="G261" s="64" t="str">
        <f>IF(stdProdLT(Main[[#This Row],[Comments]])=0.1,"N/A",IF(stdProdLT(Main[[#This Row],[Comments]])=0,"",stdProdLT(Main[[#This Row],[Comments]])))</f>
        <v/>
      </c>
      <c r="H261" s="68" t="str">
        <f>IF(AND(Main[[#This Row],[In Stock Date]]&lt;&gt;"",Main[[#This Row],[Revised Due Date]]&lt;&gt;""),Main[[#This Row],[In Stock Date]]-Main[[#This Row],[Revised Due Date]],"")</f>
        <v/>
      </c>
      <c r="I261" s="65" t="s">
        <v>4</v>
      </c>
      <c r="J261" s="65" t="s">
        <v>28</v>
      </c>
      <c r="K261" s="65" t="s">
        <v>4</v>
      </c>
      <c r="L261" s="67"/>
      <c r="M261" s="69" t="str">
        <f>IF(Main[[#This Row],[Tech Start Date]]&lt;1/1/1990,"",IF(Main[[#This Row],[Class]]="C",WORKDAY(Main[[#This Row],[Tech Start Date]],9),IF(Main[[#This Row],[Class]]="B", WORKDAY(Main[[#This Row],[Tech Start Date]],6),IF(Main[[#This Row],[Class]]="A",WORKDAY(Main[[#This Row],[Tech Start Date]],2),""))))</f>
        <v/>
      </c>
      <c r="N261" s="69" t="str">
        <f>IF(Main[[#This Row],[Tech Start Date]]&lt;1/1/1990,"",IF(Main[[#This Row],[Class]]="C",WORKDAY(Main[[#This Row],[Tech Start Date]],19),IF(Main[[#This Row],[Class]]="B", WORKDAY(Main[[#This Row],[Tech Start Date]],12),IF(Main[[#This Row],[Class]]="A",WORKDAY(Main[[#This Row],[Tech Start Date]],4),""))))</f>
        <v/>
      </c>
      <c r="O261" s="69" t="str">
        <f>IF(Main[[#This Row],[Tech Start Date]]&lt;1/1/1990,"",IF(Main[[#This Row],[Class]]="C",WORKDAY(Main[[#This Row],[Tech Start Date]],23),IF(Main[[#This Row],[Class]]="B", WORKDAY(Main[[#This Row],[Tech Start Date]],15),IF(Main[[#This Row],[Class]]="A",WORKDAY(Main[[#This Row],[Tech Start Date]],5),""))))</f>
        <v/>
      </c>
      <c r="P261" s="69" t="str">
        <f>IF(Main[[#This Row],[Tech Start Date]]&lt;1/1/1990,"",IF(Main[[#This Row],[Class]]="C",WORKDAY(Main[[#This Row],[Tech Start Date]],28),IF(Main[[#This Row],[Class]]="B", WORKDAY(Main[[#This Row],[Tech Start Date]],19),IF(Main[[#This Row],[Class]]="A",WORKDAY(Main[[#This Row],[Tech Start Date]],9),""))))</f>
        <v/>
      </c>
      <c r="Q261" s="67">
        <v>40511</v>
      </c>
      <c r="R261" s="67"/>
      <c r="S261" s="65" t="s">
        <v>11</v>
      </c>
      <c r="T261" s="70" t="s">
        <v>4</v>
      </c>
      <c r="U261" s="65" t="s">
        <v>14</v>
      </c>
      <c r="V261" s="65" t="s">
        <v>1920</v>
      </c>
      <c r="W261" s="65" t="s">
        <v>1919</v>
      </c>
      <c r="X261" s="65" t="s">
        <v>2849</v>
      </c>
      <c r="Y261" s="65" t="s">
        <v>2993</v>
      </c>
      <c r="Z261" s="65" t="s">
        <v>530</v>
      </c>
      <c r="AA261" s="65" t="s">
        <v>2849</v>
      </c>
    </row>
    <row r="262" spans="1:27" ht="17.45" customHeight="1">
      <c r="A262" s="131" t="str">
        <f>IF(priority(Main[[#This Row],[Comments]])&lt;&gt;0, priority(Main[[#This Row],[Comments]]),"")</f>
        <v/>
      </c>
      <c r="B262" s="99" t="s">
        <v>2704</v>
      </c>
      <c r="C262" s="65" t="s">
        <v>4</v>
      </c>
      <c r="D262" s="66" t="s">
        <v>2705</v>
      </c>
      <c r="E262" s="67">
        <v>40905.438483796293</v>
      </c>
      <c r="F262" s="67"/>
      <c r="G262" s="64" t="str">
        <f>IF(stdProdLT(Main[[#This Row],[Comments]])=0.1,"N/A",IF(stdProdLT(Main[[#This Row],[Comments]])=0,"",stdProdLT(Main[[#This Row],[Comments]])))</f>
        <v/>
      </c>
      <c r="H262" s="68" t="str">
        <f>IF(AND(Main[[#This Row],[In Stock Date]]&lt;&gt;"",Main[[#This Row],[Revised Due Date]]&lt;&gt;""),Main[[#This Row],[In Stock Date]]-Main[[#This Row],[Revised Due Date]],"")</f>
        <v/>
      </c>
      <c r="I262" s="65" t="s">
        <v>4</v>
      </c>
      <c r="J262" s="65" t="s">
        <v>4</v>
      </c>
      <c r="K262" s="65" t="s">
        <v>4</v>
      </c>
      <c r="L262" s="67"/>
      <c r="M262" s="69" t="str">
        <f>IF(Main[[#This Row],[Tech Start Date]]&lt;1/1/1990,"",IF(Main[[#This Row],[Class]]="C",WORKDAY(Main[[#This Row],[Tech Start Date]],9),IF(Main[[#This Row],[Class]]="B", WORKDAY(Main[[#This Row],[Tech Start Date]],6),IF(Main[[#This Row],[Class]]="A",WORKDAY(Main[[#This Row],[Tech Start Date]],2),""))))</f>
        <v/>
      </c>
      <c r="N262" s="69" t="str">
        <f>IF(Main[[#This Row],[Tech Start Date]]&lt;1/1/1990,"",IF(Main[[#This Row],[Class]]="C",WORKDAY(Main[[#This Row],[Tech Start Date]],19),IF(Main[[#This Row],[Class]]="B", WORKDAY(Main[[#This Row],[Tech Start Date]],12),IF(Main[[#This Row],[Class]]="A",WORKDAY(Main[[#This Row],[Tech Start Date]],4),""))))</f>
        <v/>
      </c>
      <c r="O262" s="69" t="str">
        <f>IF(Main[[#This Row],[Tech Start Date]]&lt;1/1/1990,"",IF(Main[[#This Row],[Class]]="C",WORKDAY(Main[[#This Row],[Tech Start Date]],23),IF(Main[[#This Row],[Class]]="B", WORKDAY(Main[[#This Row],[Tech Start Date]],15),IF(Main[[#This Row],[Class]]="A",WORKDAY(Main[[#This Row],[Tech Start Date]],5),""))))</f>
        <v/>
      </c>
      <c r="P262" s="69" t="str">
        <f>IF(Main[[#This Row],[Tech Start Date]]&lt;1/1/1990,"",IF(Main[[#This Row],[Class]]="C",WORKDAY(Main[[#This Row],[Tech Start Date]],28),IF(Main[[#This Row],[Class]]="B", WORKDAY(Main[[#This Row],[Tech Start Date]],19),IF(Main[[#This Row],[Class]]="A",WORKDAY(Main[[#This Row],[Tech Start Date]],9),""))))</f>
        <v/>
      </c>
      <c r="Q262" s="67"/>
      <c r="R262" s="67"/>
      <c r="S262" s="65" t="s">
        <v>6</v>
      </c>
      <c r="T262" s="70" t="s">
        <v>4</v>
      </c>
      <c r="U262" s="65" t="s">
        <v>29</v>
      </c>
      <c r="V262" s="65" t="s">
        <v>1917</v>
      </c>
      <c r="W262" s="65" t="s">
        <v>1921</v>
      </c>
      <c r="X262" s="65" t="s">
        <v>939</v>
      </c>
      <c r="Y262" s="65" t="s">
        <v>2990</v>
      </c>
      <c r="Z262" s="65" t="s">
        <v>4</v>
      </c>
      <c r="AA262" s="65" t="s">
        <v>939</v>
      </c>
    </row>
    <row r="263" spans="1:27" ht="17.45" customHeight="1">
      <c r="A263" s="131" t="str">
        <f>IF(priority(Main[[#This Row],[Comments]])&lt;&gt;0, priority(Main[[#This Row],[Comments]]),"")</f>
        <v/>
      </c>
      <c r="B263" s="99" t="s">
        <v>1102</v>
      </c>
      <c r="C263" s="65" t="s">
        <v>93</v>
      </c>
      <c r="D263" s="66" t="s">
        <v>150</v>
      </c>
      <c r="E263" s="67"/>
      <c r="F263" s="67"/>
      <c r="G263" s="64" t="str">
        <f>IF(stdProdLT(Main[[#This Row],[Comments]])=0.1,"N/A",IF(stdProdLT(Main[[#This Row],[Comments]])=0,"",stdProdLT(Main[[#This Row],[Comments]])))</f>
        <v/>
      </c>
      <c r="H263" s="68" t="str">
        <f>IF(AND(Main[[#This Row],[In Stock Date]]&lt;&gt;"",Main[[#This Row],[Revised Due Date]]&lt;&gt;""),Main[[#This Row],[In Stock Date]]-Main[[#This Row],[Revised Due Date]],"")</f>
        <v/>
      </c>
      <c r="I263" s="65" t="s">
        <v>4</v>
      </c>
      <c r="J263" s="65" t="s">
        <v>4</v>
      </c>
      <c r="K263" s="65" t="s">
        <v>4</v>
      </c>
      <c r="L263" s="67"/>
      <c r="M263" s="69" t="str">
        <f>IF(Main[[#This Row],[Tech Start Date]]&lt;1/1/1990,"",IF(Main[[#This Row],[Class]]="C",WORKDAY(Main[[#This Row],[Tech Start Date]],9),IF(Main[[#This Row],[Class]]="B", WORKDAY(Main[[#This Row],[Tech Start Date]],6),IF(Main[[#This Row],[Class]]="A",WORKDAY(Main[[#This Row],[Tech Start Date]],2),""))))</f>
        <v/>
      </c>
      <c r="N263" s="69" t="str">
        <f>IF(Main[[#This Row],[Tech Start Date]]&lt;1/1/1990,"",IF(Main[[#This Row],[Class]]="C",WORKDAY(Main[[#This Row],[Tech Start Date]],19),IF(Main[[#This Row],[Class]]="B", WORKDAY(Main[[#This Row],[Tech Start Date]],12),IF(Main[[#This Row],[Class]]="A",WORKDAY(Main[[#This Row],[Tech Start Date]],4),""))))</f>
        <v/>
      </c>
      <c r="O263" s="69" t="str">
        <f>IF(Main[[#This Row],[Tech Start Date]]&lt;1/1/1990,"",IF(Main[[#This Row],[Class]]="C",WORKDAY(Main[[#This Row],[Tech Start Date]],23),IF(Main[[#This Row],[Class]]="B", WORKDAY(Main[[#This Row],[Tech Start Date]],15),IF(Main[[#This Row],[Class]]="A",WORKDAY(Main[[#This Row],[Tech Start Date]],5),""))))</f>
        <v/>
      </c>
      <c r="P263" s="69" t="str">
        <f>IF(Main[[#This Row],[Tech Start Date]]&lt;1/1/1990,"",IF(Main[[#This Row],[Class]]="C",WORKDAY(Main[[#This Row],[Tech Start Date]],28),IF(Main[[#This Row],[Class]]="B", WORKDAY(Main[[#This Row],[Tech Start Date]],19),IF(Main[[#This Row],[Class]]="A",WORKDAY(Main[[#This Row],[Tech Start Date]],9),""))))</f>
        <v/>
      </c>
      <c r="Q263" s="67"/>
      <c r="R263" s="67"/>
      <c r="S263" s="65" t="s">
        <v>11</v>
      </c>
      <c r="T263" s="70" t="s">
        <v>4</v>
      </c>
      <c r="U263" s="65" t="s">
        <v>14</v>
      </c>
      <c r="V263" s="65" t="s">
        <v>1920</v>
      </c>
      <c r="W263" s="65" t="s">
        <v>1923</v>
      </c>
      <c r="X263" s="65" t="s">
        <v>554</v>
      </c>
      <c r="Y263" s="65" t="s">
        <v>2994</v>
      </c>
      <c r="Z263" s="65" t="s">
        <v>4</v>
      </c>
      <c r="AA263" s="65" t="s">
        <v>3403</v>
      </c>
    </row>
    <row r="264" spans="1:27" ht="17.45" customHeight="1">
      <c r="A264" s="131" t="str">
        <f>IF(priority(Main[[#This Row],[Comments]])&lt;&gt;0, priority(Main[[#This Row],[Comments]]),"")</f>
        <v/>
      </c>
      <c r="B264" s="99" t="s">
        <v>1103</v>
      </c>
      <c r="C264" s="65" t="s">
        <v>26</v>
      </c>
      <c r="D264" s="66" t="s">
        <v>151</v>
      </c>
      <c r="E264" s="67"/>
      <c r="F264" s="67">
        <v>40613</v>
      </c>
      <c r="G264" s="64" t="str">
        <f>IF(stdProdLT(Main[[#This Row],[Comments]])=0.1,"N/A",IF(stdProdLT(Main[[#This Row],[Comments]])=0,"",stdProdLT(Main[[#This Row],[Comments]])))</f>
        <v/>
      </c>
      <c r="H264" s="68" t="str">
        <f>IF(AND(Main[[#This Row],[In Stock Date]]&lt;&gt;"",Main[[#This Row],[Revised Due Date]]&lt;&gt;""),Main[[#This Row],[In Stock Date]]-Main[[#This Row],[Revised Due Date]],"")</f>
        <v/>
      </c>
      <c r="I264" s="65" t="s">
        <v>4</v>
      </c>
      <c r="J264" s="65" t="s">
        <v>28</v>
      </c>
      <c r="K264" s="65" t="s">
        <v>4</v>
      </c>
      <c r="L264" s="67"/>
      <c r="M264" s="69" t="str">
        <f>IF(Main[[#This Row],[Tech Start Date]]&lt;1/1/1990,"",IF(Main[[#This Row],[Class]]="C",WORKDAY(Main[[#This Row],[Tech Start Date]],9),IF(Main[[#This Row],[Class]]="B", WORKDAY(Main[[#This Row],[Tech Start Date]],6),IF(Main[[#This Row],[Class]]="A",WORKDAY(Main[[#This Row],[Tech Start Date]],2),""))))</f>
        <v/>
      </c>
      <c r="N264" s="69" t="str">
        <f>IF(Main[[#This Row],[Tech Start Date]]&lt;1/1/1990,"",IF(Main[[#This Row],[Class]]="C",WORKDAY(Main[[#This Row],[Tech Start Date]],19),IF(Main[[#This Row],[Class]]="B", WORKDAY(Main[[#This Row],[Tech Start Date]],12),IF(Main[[#This Row],[Class]]="A",WORKDAY(Main[[#This Row],[Tech Start Date]],4),""))))</f>
        <v/>
      </c>
      <c r="O264" s="69" t="str">
        <f>IF(Main[[#This Row],[Tech Start Date]]&lt;1/1/1990,"",IF(Main[[#This Row],[Class]]="C",WORKDAY(Main[[#This Row],[Tech Start Date]],23),IF(Main[[#This Row],[Class]]="B", WORKDAY(Main[[#This Row],[Tech Start Date]],15),IF(Main[[#This Row],[Class]]="A",WORKDAY(Main[[#This Row],[Tech Start Date]],5),""))))</f>
        <v/>
      </c>
      <c r="P264" s="69" t="str">
        <f>IF(Main[[#This Row],[Tech Start Date]]&lt;1/1/1990,"",IF(Main[[#This Row],[Class]]="C",WORKDAY(Main[[#This Row],[Tech Start Date]],28),IF(Main[[#This Row],[Class]]="B", WORKDAY(Main[[#This Row],[Tech Start Date]],19),IF(Main[[#This Row],[Class]]="A",WORKDAY(Main[[#This Row],[Tech Start Date]],9),""))))</f>
        <v/>
      </c>
      <c r="Q264" s="67"/>
      <c r="R264" s="67"/>
      <c r="S264" s="65" t="s">
        <v>11</v>
      </c>
      <c r="T264" s="70" t="s">
        <v>4</v>
      </c>
      <c r="U264" s="65" t="s">
        <v>14</v>
      </c>
      <c r="V264" s="65" t="s">
        <v>1917</v>
      </c>
      <c r="W264" s="65" t="s">
        <v>1925</v>
      </c>
      <c r="X264" s="65" t="s">
        <v>2848</v>
      </c>
      <c r="Y264" s="65" t="s">
        <v>2980</v>
      </c>
      <c r="Z264" s="65" t="s">
        <v>129</v>
      </c>
      <c r="AA264" s="65" t="s">
        <v>2848</v>
      </c>
    </row>
    <row r="265" spans="1:27" ht="17.45" customHeight="1">
      <c r="A265" s="131" t="str">
        <f>IF(priority(Main[[#This Row],[Comments]])&lt;&gt;0, priority(Main[[#This Row],[Comments]]),"")</f>
        <v/>
      </c>
      <c r="B265" s="99" t="s">
        <v>1108</v>
      </c>
      <c r="C265" s="65" t="s">
        <v>4</v>
      </c>
      <c r="D265" s="66" t="s">
        <v>152</v>
      </c>
      <c r="E265" s="67">
        <v>40584.587800925925</v>
      </c>
      <c r="F265" s="67"/>
      <c r="G265" s="64" t="str">
        <f>IF(stdProdLT(Main[[#This Row],[Comments]])=0.1,"N/A",IF(stdProdLT(Main[[#This Row],[Comments]])=0,"",stdProdLT(Main[[#This Row],[Comments]])))</f>
        <v/>
      </c>
      <c r="H265" s="68" t="str">
        <f>IF(AND(Main[[#This Row],[In Stock Date]]&lt;&gt;"",Main[[#This Row],[Revised Due Date]]&lt;&gt;""),Main[[#This Row],[In Stock Date]]-Main[[#This Row],[Revised Due Date]],"")</f>
        <v/>
      </c>
      <c r="I265" s="65" t="s">
        <v>4</v>
      </c>
      <c r="J265" s="65" t="s">
        <v>4</v>
      </c>
      <c r="K265" s="65" t="s">
        <v>4</v>
      </c>
      <c r="L265" s="67"/>
      <c r="M265" s="69" t="str">
        <f>IF(Main[[#This Row],[Tech Start Date]]&lt;1/1/1990,"",IF(Main[[#This Row],[Class]]="C",WORKDAY(Main[[#This Row],[Tech Start Date]],9),IF(Main[[#This Row],[Class]]="B", WORKDAY(Main[[#This Row],[Tech Start Date]],6),IF(Main[[#This Row],[Class]]="A",WORKDAY(Main[[#This Row],[Tech Start Date]],2),""))))</f>
        <v/>
      </c>
      <c r="N265" s="69" t="str">
        <f>IF(Main[[#This Row],[Tech Start Date]]&lt;1/1/1990,"",IF(Main[[#This Row],[Class]]="C",WORKDAY(Main[[#This Row],[Tech Start Date]],19),IF(Main[[#This Row],[Class]]="B", WORKDAY(Main[[#This Row],[Tech Start Date]],12),IF(Main[[#This Row],[Class]]="A",WORKDAY(Main[[#This Row],[Tech Start Date]],4),""))))</f>
        <v/>
      </c>
      <c r="O265" s="69" t="str">
        <f>IF(Main[[#This Row],[Tech Start Date]]&lt;1/1/1990,"",IF(Main[[#This Row],[Class]]="C",WORKDAY(Main[[#This Row],[Tech Start Date]],23),IF(Main[[#This Row],[Class]]="B", WORKDAY(Main[[#This Row],[Tech Start Date]],15),IF(Main[[#This Row],[Class]]="A",WORKDAY(Main[[#This Row],[Tech Start Date]],5),""))))</f>
        <v/>
      </c>
      <c r="P265" s="69" t="str">
        <f>IF(Main[[#This Row],[Tech Start Date]]&lt;1/1/1990,"",IF(Main[[#This Row],[Class]]="C",WORKDAY(Main[[#This Row],[Tech Start Date]],28),IF(Main[[#This Row],[Class]]="B", WORKDAY(Main[[#This Row],[Tech Start Date]],19),IF(Main[[#This Row],[Class]]="A",WORKDAY(Main[[#This Row],[Tech Start Date]],9),""))))</f>
        <v/>
      </c>
      <c r="Q265" s="67"/>
      <c r="R265" s="67"/>
      <c r="S265" s="65" t="s">
        <v>4</v>
      </c>
      <c r="T265" s="70" t="s">
        <v>4</v>
      </c>
      <c r="U265" s="65" t="s">
        <v>29</v>
      </c>
      <c r="V265" s="65" t="s">
        <v>1918</v>
      </c>
      <c r="W265" s="65" t="s">
        <v>4</v>
      </c>
      <c r="X265" s="65" t="s">
        <v>944</v>
      </c>
      <c r="Y265" s="65" t="s">
        <v>2995</v>
      </c>
      <c r="Z265" s="65" t="s">
        <v>4</v>
      </c>
      <c r="AA265" s="65" t="s">
        <v>944</v>
      </c>
    </row>
    <row r="266" spans="1:27" ht="17.45" customHeight="1">
      <c r="A266" s="131" t="str">
        <f>IF(priority(Main[[#This Row],[Comments]])&lt;&gt;0, priority(Main[[#This Row],[Comments]]),"")</f>
        <v/>
      </c>
      <c r="B266" s="99" t="s">
        <v>1109</v>
      </c>
      <c r="C266" s="65" t="s">
        <v>4</v>
      </c>
      <c r="D266" s="66" t="s">
        <v>153</v>
      </c>
      <c r="E266" s="67"/>
      <c r="F266" s="67"/>
      <c r="G266" s="64" t="str">
        <f>IF(stdProdLT(Main[[#This Row],[Comments]])=0.1,"N/A",IF(stdProdLT(Main[[#This Row],[Comments]])=0,"",stdProdLT(Main[[#This Row],[Comments]])))</f>
        <v/>
      </c>
      <c r="H266" s="68" t="str">
        <f>IF(AND(Main[[#This Row],[In Stock Date]]&lt;&gt;"",Main[[#This Row],[Revised Due Date]]&lt;&gt;""),Main[[#This Row],[In Stock Date]]-Main[[#This Row],[Revised Due Date]],"")</f>
        <v/>
      </c>
      <c r="I266" s="65" t="s">
        <v>30</v>
      </c>
      <c r="J266" s="65" t="s">
        <v>52</v>
      </c>
      <c r="K266" s="65" t="s">
        <v>4</v>
      </c>
      <c r="L266" s="67"/>
      <c r="M266" s="69" t="str">
        <f>IF(Main[[#This Row],[Tech Start Date]]&lt;1/1/1990,"",IF(Main[[#This Row],[Class]]="C",WORKDAY(Main[[#This Row],[Tech Start Date]],9),IF(Main[[#This Row],[Class]]="B", WORKDAY(Main[[#This Row],[Tech Start Date]],6),IF(Main[[#This Row],[Class]]="A",WORKDAY(Main[[#This Row],[Tech Start Date]],2),""))))</f>
        <v/>
      </c>
      <c r="N266" s="69" t="str">
        <f>IF(Main[[#This Row],[Tech Start Date]]&lt;1/1/1990,"",IF(Main[[#This Row],[Class]]="C",WORKDAY(Main[[#This Row],[Tech Start Date]],19),IF(Main[[#This Row],[Class]]="B", WORKDAY(Main[[#This Row],[Tech Start Date]],12),IF(Main[[#This Row],[Class]]="A",WORKDAY(Main[[#This Row],[Tech Start Date]],4),""))))</f>
        <v/>
      </c>
      <c r="O266" s="69" t="str">
        <f>IF(Main[[#This Row],[Tech Start Date]]&lt;1/1/1990,"",IF(Main[[#This Row],[Class]]="C",WORKDAY(Main[[#This Row],[Tech Start Date]],23),IF(Main[[#This Row],[Class]]="B", WORKDAY(Main[[#This Row],[Tech Start Date]],15),IF(Main[[#This Row],[Class]]="A",WORKDAY(Main[[#This Row],[Tech Start Date]],5),""))))</f>
        <v/>
      </c>
      <c r="P266" s="69" t="str">
        <f>IF(Main[[#This Row],[Tech Start Date]]&lt;1/1/1990,"",IF(Main[[#This Row],[Class]]="C",WORKDAY(Main[[#This Row],[Tech Start Date]],28),IF(Main[[#This Row],[Class]]="B", WORKDAY(Main[[#This Row],[Tech Start Date]],19),IF(Main[[#This Row],[Class]]="A",WORKDAY(Main[[#This Row],[Tech Start Date]],9),""))))</f>
        <v/>
      </c>
      <c r="Q266" s="67">
        <v>40448</v>
      </c>
      <c r="R266" s="67"/>
      <c r="S266" s="65" t="s">
        <v>6</v>
      </c>
      <c r="T266" s="70" t="s">
        <v>4</v>
      </c>
      <c r="U266" s="65" t="s">
        <v>14</v>
      </c>
      <c r="V266" s="65" t="s">
        <v>1920</v>
      </c>
      <c r="W266" s="65" t="s">
        <v>4</v>
      </c>
      <c r="X266" s="65" t="s">
        <v>2824</v>
      </c>
      <c r="Y266" s="65" t="s">
        <v>2935</v>
      </c>
      <c r="Z266" s="65" t="s">
        <v>530</v>
      </c>
      <c r="AA266" s="65" t="s">
        <v>2824</v>
      </c>
    </row>
    <row r="267" spans="1:27" ht="17.45" customHeight="1">
      <c r="A267" s="131" t="str">
        <f>IF(priority(Main[[#This Row],[Comments]])&lt;&gt;0, priority(Main[[#This Row],[Comments]]),"")</f>
        <v/>
      </c>
      <c r="B267" s="99" t="s">
        <v>3329</v>
      </c>
      <c r="C267" s="65" t="s">
        <v>4</v>
      </c>
      <c r="D267" s="66" t="s">
        <v>3330</v>
      </c>
      <c r="E267" s="67">
        <v>40939.457824074074</v>
      </c>
      <c r="F267" s="67"/>
      <c r="G267" s="64" t="str">
        <f>IF(stdProdLT(Main[[#This Row],[Comments]])=0.1,"N/A",IF(stdProdLT(Main[[#This Row],[Comments]])=0,"",stdProdLT(Main[[#This Row],[Comments]])))</f>
        <v/>
      </c>
      <c r="H267" s="68" t="str">
        <f>IF(AND(Main[[#This Row],[In Stock Date]]&lt;&gt;"",Main[[#This Row],[Revised Due Date]]&lt;&gt;""),Main[[#This Row],[In Stock Date]]-Main[[#This Row],[Revised Due Date]],"")</f>
        <v/>
      </c>
      <c r="I267" s="65" t="s">
        <v>4</v>
      </c>
      <c r="J267" s="65" t="s">
        <v>4</v>
      </c>
      <c r="K267" s="65" t="s">
        <v>4</v>
      </c>
      <c r="L267" s="67"/>
      <c r="M267" s="69" t="str">
        <f>IF(Main[[#This Row],[Tech Start Date]]&lt;1/1/1990,"",IF(Main[[#This Row],[Class]]="C",WORKDAY(Main[[#This Row],[Tech Start Date]],9),IF(Main[[#This Row],[Class]]="B", WORKDAY(Main[[#This Row],[Tech Start Date]],6),IF(Main[[#This Row],[Class]]="A",WORKDAY(Main[[#This Row],[Tech Start Date]],2),""))))</f>
        <v/>
      </c>
      <c r="N267" s="69" t="str">
        <f>IF(Main[[#This Row],[Tech Start Date]]&lt;1/1/1990,"",IF(Main[[#This Row],[Class]]="C",WORKDAY(Main[[#This Row],[Tech Start Date]],19),IF(Main[[#This Row],[Class]]="B", WORKDAY(Main[[#This Row],[Tech Start Date]],12),IF(Main[[#This Row],[Class]]="A",WORKDAY(Main[[#This Row],[Tech Start Date]],4),""))))</f>
        <v/>
      </c>
      <c r="O267" s="69" t="str">
        <f>IF(Main[[#This Row],[Tech Start Date]]&lt;1/1/1990,"",IF(Main[[#This Row],[Class]]="C",WORKDAY(Main[[#This Row],[Tech Start Date]],23),IF(Main[[#This Row],[Class]]="B", WORKDAY(Main[[#This Row],[Tech Start Date]],15),IF(Main[[#This Row],[Class]]="A",WORKDAY(Main[[#This Row],[Tech Start Date]],5),""))))</f>
        <v/>
      </c>
      <c r="P267" s="69" t="str">
        <f>IF(Main[[#This Row],[Tech Start Date]]&lt;1/1/1990,"",IF(Main[[#This Row],[Class]]="C",WORKDAY(Main[[#This Row],[Tech Start Date]],28),IF(Main[[#This Row],[Class]]="B", WORKDAY(Main[[#This Row],[Tech Start Date]],19),IF(Main[[#This Row],[Class]]="A",WORKDAY(Main[[#This Row],[Tech Start Date]],9),""))))</f>
        <v/>
      </c>
      <c r="Q267" s="67">
        <v>40968</v>
      </c>
      <c r="R267" s="67"/>
      <c r="S267" s="65" t="s">
        <v>6</v>
      </c>
      <c r="T267" s="70" t="s">
        <v>4</v>
      </c>
      <c r="U267" s="65" t="s">
        <v>7</v>
      </c>
      <c r="V267" s="65" t="s">
        <v>1917</v>
      </c>
      <c r="W267" s="65" t="s">
        <v>4</v>
      </c>
      <c r="X267" s="65" t="s">
        <v>2828</v>
      </c>
      <c r="Y267" s="65" t="s">
        <v>2944</v>
      </c>
      <c r="Z267" s="65" t="s">
        <v>4</v>
      </c>
      <c r="AA267" s="65" t="s">
        <v>2828</v>
      </c>
    </row>
    <row r="268" spans="1:27" ht="17.45" customHeight="1">
      <c r="A268" s="131" t="str">
        <f>IF(priority(Main[[#This Row],[Comments]])&lt;&gt;0, priority(Main[[#This Row],[Comments]]),"")</f>
        <v/>
      </c>
      <c r="B268" s="99" t="s">
        <v>1158</v>
      </c>
      <c r="C268" s="65" t="s">
        <v>4</v>
      </c>
      <c r="D268" s="66" t="s">
        <v>2344</v>
      </c>
      <c r="E268" s="67">
        <v>40274.393113425926</v>
      </c>
      <c r="F268" s="67"/>
      <c r="G268" s="64" t="str">
        <f>IF(stdProdLT(Main[[#This Row],[Comments]])=0.1,"N/A",IF(stdProdLT(Main[[#This Row],[Comments]])=0,"",stdProdLT(Main[[#This Row],[Comments]])))</f>
        <v/>
      </c>
      <c r="H268" s="68" t="str">
        <f>IF(AND(Main[[#This Row],[In Stock Date]]&lt;&gt;"",Main[[#This Row],[Revised Due Date]]&lt;&gt;""),Main[[#This Row],[In Stock Date]]-Main[[#This Row],[Revised Due Date]],"")</f>
        <v/>
      </c>
      <c r="I268" s="65" t="s">
        <v>4</v>
      </c>
      <c r="J268" s="65" t="s">
        <v>4</v>
      </c>
      <c r="K268" s="65" t="s">
        <v>4</v>
      </c>
      <c r="L268" s="67"/>
      <c r="M268" s="69" t="str">
        <f>IF(Main[[#This Row],[Tech Start Date]]&lt;1/1/1990,"",IF(Main[[#This Row],[Class]]="C",WORKDAY(Main[[#This Row],[Tech Start Date]],9),IF(Main[[#This Row],[Class]]="B", WORKDAY(Main[[#This Row],[Tech Start Date]],6),IF(Main[[#This Row],[Class]]="A",WORKDAY(Main[[#This Row],[Tech Start Date]],2),""))))</f>
        <v/>
      </c>
      <c r="N268" s="69" t="str">
        <f>IF(Main[[#This Row],[Tech Start Date]]&lt;1/1/1990,"",IF(Main[[#This Row],[Class]]="C",WORKDAY(Main[[#This Row],[Tech Start Date]],19),IF(Main[[#This Row],[Class]]="B", WORKDAY(Main[[#This Row],[Tech Start Date]],12),IF(Main[[#This Row],[Class]]="A",WORKDAY(Main[[#This Row],[Tech Start Date]],4),""))))</f>
        <v/>
      </c>
      <c r="O268" s="69" t="str">
        <f>IF(Main[[#This Row],[Tech Start Date]]&lt;1/1/1990,"",IF(Main[[#This Row],[Class]]="C",WORKDAY(Main[[#This Row],[Tech Start Date]],23),IF(Main[[#This Row],[Class]]="B", WORKDAY(Main[[#This Row],[Tech Start Date]],15),IF(Main[[#This Row],[Class]]="A",WORKDAY(Main[[#This Row],[Tech Start Date]],5),""))))</f>
        <v/>
      </c>
      <c r="P268" s="69" t="str">
        <f>IF(Main[[#This Row],[Tech Start Date]]&lt;1/1/1990,"",IF(Main[[#This Row],[Class]]="C",WORKDAY(Main[[#This Row],[Tech Start Date]],28),IF(Main[[#This Row],[Class]]="B", WORKDAY(Main[[#This Row],[Tech Start Date]],19),IF(Main[[#This Row],[Class]]="A",WORKDAY(Main[[#This Row],[Tech Start Date]],9),""))))</f>
        <v/>
      </c>
      <c r="Q268" s="67">
        <v>40302</v>
      </c>
      <c r="R268" s="67"/>
      <c r="S268" s="65" t="s">
        <v>6</v>
      </c>
      <c r="T268" s="70" t="s">
        <v>4</v>
      </c>
      <c r="U268" s="65" t="s">
        <v>7</v>
      </c>
      <c r="V268" s="65" t="s">
        <v>1917</v>
      </c>
      <c r="W268" s="65" t="s">
        <v>1919</v>
      </c>
      <c r="X268" s="65" t="s">
        <v>2827</v>
      </c>
      <c r="Y268" s="65" t="s">
        <v>2942</v>
      </c>
      <c r="Z268" s="65" t="s">
        <v>4</v>
      </c>
      <c r="AA268" s="65" t="s">
        <v>2827</v>
      </c>
    </row>
    <row r="269" spans="1:27" ht="17.45" customHeight="1">
      <c r="A269" s="131" t="str">
        <f>IF(priority(Main[[#This Row],[Comments]])&lt;&gt;0, priority(Main[[#This Row],[Comments]]),"")</f>
        <v/>
      </c>
      <c r="B269" s="99" t="s">
        <v>1391</v>
      </c>
      <c r="C269" s="65" t="s">
        <v>4</v>
      </c>
      <c r="D269" s="66" t="s">
        <v>2345</v>
      </c>
      <c r="E269" s="67">
        <v>40644.246631944443</v>
      </c>
      <c r="F269" s="67"/>
      <c r="G269" s="64" t="str">
        <f>IF(stdProdLT(Main[[#This Row],[Comments]])=0.1,"N/A",IF(stdProdLT(Main[[#This Row],[Comments]])=0,"",stdProdLT(Main[[#This Row],[Comments]])))</f>
        <v/>
      </c>
      <c r="H269" s="68" t="str">
        <f>IF(AND(Main[[#This Row],[In Stock Date]]&lt;&gt;"",Main[[#This Row],[Revised Due Date]]&lt;&gt;""),Main[[#This Row],[In Stock Date]]-Main[[#This Row],[Revised Due Date]],"")</f>
        <v/>
      </c>
      <c r="I269" s="65" t="s">
        <v>914</v>
      </c>
      <c r="J269" s="65" t="s">
        <v>52</v>
      </c>
      <c r="K269" s="65" t="s">
        <v>4</v>
      </c>
      <c r="L269" s="67"/>
      <c r="M269" s="69" t="str">
        <f>IF(Main[[#This Row],[Tech Start Date]]&lt;1/1/1990,"",IF(Main[[#This Row],[Class]]="C",WORKDAY(Main[[#This Row],[Tech Start Date]],9),IF(Main[[#This Row],[Class]]="B", WORKDAY(Main[[#This Row],[Tech Start Date]],6),IF(Main[[#This Row],[Class]]="A",WORKDAY(Main[[#This Row],[Tech Start Date]],2),""))))</f>
        <v/>
      </c>
      <c r="N269" s="69" t="str">
        <f>IF(Main[[#This Row],[Tech Start Date]]&lt;1/1/1990,"",IF(Main[[#This Row],[Class]]="C",WORKDAY(Main[[#This Row],[Tech Start Date]],19),IF(Main[[#This Row],[Class]]="B", WORKDAY(Main[[#This Row],[Tech Start Date]],12),IF(Main[[#This Row],[Class]]="A",WORKDAY(Main[[#This Row],[Tech Start Date]],4),""))))</f>
        <v/>
      </c>
      <c r="O269" s="69" t="str">
        <f>IF(Main[[#This Row],[Tech Start Date]]&lt;1/1/1990,"",IF(Main[[#This Row],[Class]]="C",WORKDAY(Main[[#This Row],[Tech Start Date]],23),IF(Main[[#This Row],[Class]]="B", WORKDAY(Main[[#This Row],[Tech Start Date]],15),IF(Main[[#This Row],[Class]]="A",WORKDAY(Main[[#This Row],[Tech Start Date]],5),""))))</f>
        <v/>
      </c>
      <c r="P269" s="69" t="str">
        <f>IF(Main[[#This Row],[Tech Start Date]]&lt;1/1/1990,"",IF(Main[[#This Row],[Class]]="C",WORKDAY(Main[[#This Row],[Tech Start Date]],28),IF(Main[[#This Row],[Class]]="B", WORKDAY(Main[[#This Row],[Tech Start Date]],19),IF(Main[[#This Row],[Class]]="A",WORKDAY(Main[[#This Row],[Tech Start Date]],9),""))))</f>
        <v/>
      </c>
      <c r="Q269" s="67">
        <v>40659</v>
      </c>
      <c r="R269" s="67"/>
      <c r="S269" s="65" t="s">
        <v>6</v>
      </c>
      <c r="T269" s="70" t="s">
        <v>4</v>
      </c>
      <c r="U269" s="65" t="s">
        <v>29</v>
      </c>
      <c r="V269" s="65" t="s">
        <v>1917</v>
      </c>
      <c r="W269" s="65" t="s">
        <v>1925</v>
      </c>
      <c r="X269" s="65" t="s">
        <v>2827</v>
      </c>
      <c r="Y269" s="65" t="s">
        <v>2942</v>
      </c>
      <c r="Z269" s="65" t="s">
        <v>4</v>
      </c>
      <c r="AA269" s="65" t="s">
        <v>2827</v>
      </c>
    </row>
    <row r="270" spans="1:27" ht="17.45" customHeight="1">
      <c r="A270" s="131" t="str">
        <f>IF(priority(Main[[#This Row],[Comments]])&lt;&gt;0, priority(Main[[#This Row],[Comments]]),"")</f>
        <v/>
      </c>
      <c r="B270" s="99" t="s">
        <v>1111</v>
      </c>
      <c r="C270" s="65" t="s">
        <v>155</v>
      </c>
      <c r="D270" s="66" t="s">
        <v>156</v>
      </c>
      <c r="E270" s="67"/>
      <c r="F270" s="67"/>
      <c r="G270" s="64" t="str">
        <f>IF(stdProdLT(Main[[#This Row],[Comments]])=0.1,"N/A",IF(stdProdLT(Main[[#This Row],[Comments]])=0,"",stdProdLT(Main[[#This Row],[Comments]])))</f>
        <v/>
      </c>
      <c r="H270" s="68" t="str">
        <f>IF(AND(Main[[#This Row],[In Stock Date]]&lt;&gt;"",Main[[#This Row],[Revised Due Date]]&lt;&gt;""),Main[[#This Row],[In Stock Date]]-Main[[#This Row],[Revised Due Date]],"")</f>
        <v/>
      </c>
      <c r="I270" s="65" t="s">
        <v>4</v>
      </c>
      <c r="J270" s="65" t="s">
        <v>4</v>
      </c>
      <c r="K270" s="65" t="s">
        <v>4</v>
      </c>
      <c r="L270" s="67"/>
      <c r="M270" s="69" t="str">
        <f>IF(Main[[#This Row],[Tech Start Date]]&lt;1/1/1990,"",IF(Main[[#This Row],[Class]]="C",WORKDAY(Main[[#This Row],[Tech Start Date]],9),IF(Main[[#This Row],[Class]]="B", WORKDAY(Main[[#This Row],[Tech Start Date]],6),IF(Main[[#This Row],[Class]]="A",WORKDAY(Main[[#This Row],[Tech Start Date]],2),""))))</f>
        <v/>
      </c>
      <c r="N270" s="69" t="str">
        <f>IF(Main[[#This Row],[Tech Start Date]]&lt;1/1/1990,"",IF(Main[[#This Row],[Class]]="C",WORKDAY(Main[[#This Row],[Tech Start Date]],19),IF(Main[[#This Row],[Class]]="B", WORKDAY(Main[[#This Row],[Tech Start Date]],12),IF(Main[[#This Row],[Class]]="A",WORKDAY(Main[[#This Row],[Tech Start Date]],4),""))))</f>
        <v/>
      </c>
      <c r="O270" s="69" t="str">
        <f>IF(Main[[#This Row],[Tech Start Date]]&lt;1/1/1990,"",IF(Main[[#This Row],[Class]]="C",WORKDAY(Main[[#This Row],[Tech Start Date]],23),IF(Main[[#This Row],[Class]]="B", WORKDAY(Main[[#This Row],[Tech Start Date]],15),IF(Main[[#This Row],[Class]]="A",WORKDAY(Main[[#This Row],[Tech Start Date]],5),""))))</f>
        <v/>
      </c>
      <c r="P270" s="69" t="str">
        <f>IF(Main[[#This Row],[Tech Start Date]]&lt;1/1/1990,"",IF(Main[[#This Row],[Class]]="C",WORKDAY(Main[[#This Row],[Tech Start Date]],28),IF(Main[[#This Row],[Class]]="B", WORKDAY(Main[[#This Row],[Tech Start Date]],19),IF(Main[[#This Row],[Class]]="A",WORKDAY(Main[[#This Row],[Tech Start Date]],9),""))))</f>
        <v/>
      </c>
      <c r="Q270" s="67">
        <v>40144</v>
      </c>
      <c r="R270" s="67"/>
      <c r="S270" s="65" t="s">
        <v>11</v>
      </c>
      <c r="T270" s="70" t="s">
        <v>4</v>
      </c>
      <c r="U270" s="65" t="s">
        <v>14</v>
      </c>
      <c r="V270" s="65" t="s">
        <v>1917</v>
      </c>
      <c r="W270" s="65" t="s">
        <v>1919</v>
      </c>
      <c r="X270" s="65" t="s">
        <v>2860</v>
      </c>
      <c r="Y270" s="65" t="s">
        <v>4</v>
      </c>
      <c r="Z270" s="65" t="s">
        <v>4</v>
      </c>
      <c r="AA270" s="65" t="s">
        <v>2860</v>
      </c>
    </row>
    <row r="271" spans="1:27" ht="17.45" customHeight="1">
      <c r="A271" s="131" t="str">
        <f>IF(priority(Main[[#This Row],[Comments]])&lt;&gt;0, priority(Main[[#This Row],[Comments]]),"")</f>
        <v/>
      </c>
      <c r="B271" s="99" t="s">
        <v>1112</v>
      </c>
      <c r="C271" s="65" t="s">
        <v>157</v>
      </c>
      <c r="D271" s="66" t="s">
        <v>158</v>
      </c>
      <c r="E271" s="67"/>
      <c r="F271" s="67"/>
      <c r="G271" s="64" t="str">
        <f>IF(stdProdLT(Main[[#This Row],[Comments]])=0.1,"N/A",IF(stdProdLT(Main[[#This Row],[Comments]])=0,"",stdProdLT(Main[[#This Row],[Comments]])))</f>
        <v/>
      </c>
      <c r="H271" s="68" t="str">
        <f>IF(AND(Main[[#This Row],[In Stock Date]]&lt;&gt;"",Main[[#This Row],[Revised Due Date]]&lt;&gt;""),Main[[#This Row],[In Stock Date]]-Main[[#This Row],[Revised Due Date]],"")</f>
        <v/>
      </c>
      <c r="I271" s="65" t="s">
        <v>4</v>
      </c>
      <c r="J271" s="65" t="s">
        <v>4</v>
      </c>
      <c r="K271" s="65" t="s">
        <v>4</v>
      </c>
      <c r="L271" s="67"/>
      <c r="M271" s="69" t="str">
        <f>IF(Main[[#This Row],[Tech Start Date]]&lt;1/1/1990,"",IF(Main[[#This Row],[Class]]="C",WORKDAY(Main[[#This Row],[Tech Start Date]],9),IF(Main[[#This Row],[Class]]="B", WORKDAY(Main[[#This Row],[Tech Start Date]],6),IF(Main[[#This Row],[Class]]="A",WORKDAY(Main[[#This Row],[Tech Start Date]],2),""))))</f>
        <v/>
      </c>
      <c r="N271" s="69" t="str">
        <f>IF(Main[[#This Row],[Tech Start Date]]&lt;1/1/1990,"",IF(Main[[#This Row],[Class]]="C",WORKDAY(Main[[#This Row],[Tech Start Date]],19),IF(Main[[#This Row],[Class]]="B", WORKDAY(Main[[#This Row],[Tech Start Date]],12),IF(Main[[#This Row],[Class]]="A",WORKDAY(Main[[#This Row],[Tech Start Date]],4),""))))</f>
        <v/>
      </c>
      <c r="O271" s="69" t="str">
        <f>IF(Main[[#This Row],[Tech Start Date]]&lt;1/1/1990,"",IF(Main[[#This Row],[Class]]="C",WORKDAY(Main[[#This Row],[Tech Start Date]],23),IF(Main[[#This Row],[Class]]="B", WORKDAY(Main[[#This Row],[Tech Start Date]],15),IF(Main[[#This Row],[Class]]="A",WORKDAY(Main[[#This Row],[Tech Start Date]],5),""))))</f>
        <v/>
      </c>
      <c r="P271" s="69" t="str">
        <f>IF(Main[[#This Row],[Tech Start Date]]&lt;1/1/1990,"",IF(Main[[#This Row],[Class]]="C",WORKDAY(Main[[#This Row],[Tech Start Date]],28),IF(Main[[#This Row],[Class]]="B", WORKDAY(Main[[#This Row],[Tech Start Date]],19),IF(Main[[#This Row],[Class]]="A",WORKDAY(Main[[#This Row],[Tech Start Date]],9),""))))</f>
        <v/>
      </c>
      <c r="Q271" s="67"/>
      <c r="R271" s="67"/>
      <c r="S271" s="65" t="s">
        <v>11</v>
      </c>
      <c r="T271" s="70" t="s">
        <v>4</v>
      </c>
      <c r="U271" s="65" t="s">
        <v>14</v>
      </c>
      <c r="V271" s="65" t="s">
        <v>1918</v>
      </c>
      <c r="W271" s="65" t="s">
        <v>1919</v>
      </c>
      <c r="X271" s="65" t="s">
        <v>2822</v>
      </c>
      <c r="Y271" s="65" t="s">
        <v>2999</v>
      </c>
      <c r="Z271" s="65" t="s">
        <v>4</v>
      </c>
      <c r="AA271" s="65" t="s">
        <v>3404</v>
      </c>
    </row>
    <row r="272" spans="1:27" ht="17.45" customHeight="1">
      <c r="A272" s="131" t="str">
        <f>IF(priority(Main[[#This Row],[Comments]])&lt;&gt;0, priority(Main[[#This Row],[Comments]]),"")</f>
        <v/>
      </c>
      <c r="B272" s="99" t="s">
        <v>1113</v>
      </c>
      <c r="C272" s="65" t="s">
        <v>159</v>
      </c>
      <c r="D272" s="66" t="s">
        <v>160</v>
      </c>
      <c r="E272" s="67"/>
      <c r="F272" s="67">
        <v>40513</v>
      </c>
      <c r="G272" s="64" t="str">
        <f>IF(stdProdLT(Main[[#This Row],[Comments]])=0.1,"N/A",IF(stdProdLT(Main[[#This Row],[Comments]])=0,"",stdProdLT(Main[[#This Row],[Comments]])))</f>
        <v/>
      </c>
      <c r="H272" s="68" t="str">
        <f>IF(AND(Main[[#This Row],[In Stock Date]]&lt;&gt;"",Main[[#This Row],[Revised Due Date]]&lt;&gt;""),Main[[#This Row],[In Stock Date]]-Main[[#This Row],[Revised Due Date]],"")</f>
        <v/>
      </c>
      <c r="I272" s="65" t="s">
        <v>4</v>
      </c>
      <c r="J272" s="65" t="s">
        <v>28</v>
      </c>
      <c r="K272" s="65" t="s">
        <v>4</v>
      </c>
      <c r="L272" s="67"/>
      <c r="M272" s="69" t="str">
        <f>IF(Main[[#This Row],[Tech Start Date]]&lt;1/1/1990,"",IF(Main[[#This Row],[Class]]="C",WORKDAY(Main[[#This Row],[Tech Start Date]],9),IF(Main[[#This Row],[Class]]="B", WORKDAY(Main[[#This Row],[Tech Start Date]],6),IF(Main[[#This Row],[Class]]="A",WORKDAY(Main[[#This Row],[Tech Start Date]],2),""))))</f>
        <v/>
      </c>
      <c r="N272" s="69" t="str">
        <f>IF(Main[[#This Row],[Tech Start Date]]&lt;1/1/1990,"",IF(Main[[#This Row],[Class]]="C",WORKDAY(Main[[#This Row],[Tech Start Date]],19),IF(Main[[#This Row],[Class]]="B", WORKDAY(Main[[#This Row],[Tech Start Date]],12),IF(Main[[#This Row],[Class]]="A",WORKDAY(Main[[#This Row],[Tech Start Date]],4),""))))</f>
        <v/>
      </c>
      <c r="O272" s="69" t="str">
        <f>IF(Main[[#This Row],[Tech Start Date]]&lt;1/1/1990,"",IF(Main[[#This Row],[Class]]="C",WORKDAY(Main[[#This Row],[Tech Start Date]],23),IF(Main[[#This Row],[Class]]="B", WORKDAY(Main[[#This Row],[Tech Start Date]],15),IF(Main[[#This Row],[Class]]="A",WORKDAY(Main[[#This Row],[Tech Start Date]],5),""))))</f>
        <v/>
      </c>
      <c r="P272" s="69" t="str">
        <f>IF(Main[[#This Row],[Tech Start Date]]&lt;1/1/1990,"",IF(Main[[#This Row],[Class]]="C",WORKDAY(Main[[#This Row],[Tech Start Date]],28),IF(Main[[#This Row],[Class]]="B", WORKDAY(Main[[#This Row],[Tech Start Date]],19),IF(Main[[#This Row],[Class]]="A",WORKDAY(Main[[#This Row],[Tech Start Date]],9),""))))</f>
        <v/>
      </c>
      <c r="Q272" s="67">
        <v>40382</v>
      </c>
      <c r="R272" s="67"/>
      <c r="S272" s="65" t="s">
        <v>11</v>
      </c>
      <c r="T272" s="70" t="s">
        <v>4</v>
      </c>
      <c r="U272" s="65" t="s">
        <v>14</v>
      </c>
      <c r="V272" s="65" t="s">
        <v>1917</v>
      </c>
      <c r="W272" s="65" t="s">
        <v>1925</v>
      </c>
      <c r="X272" s="65" t="s">
        <v>2861</v>
      </c>
      <c r="Y272" s="65" t="s">
        <v>3000</v>
      </c>
      <c r="Z272" s="65" t="s">
        <v>129</v>
      </c>
      <c r="AA272" s="65" t="s">
        <v>2861</v>
      </c>
    </row>
    <row r="273" spans="1:27" ht="17.45" customHeight="1">
      <c r="A273" s="131" t="str">
        <f>IF(priority(Main[[#This Row],[Comments]])&lt;&gt;0, priority(Main[[#This Row],[Comments]]),"")</f>
        <v/>
      </c>
      <c r="B273" s="99" t="s">
        <v>2172</v>
      </c>
      <c r="C273" s="65" t="s">
        <v>4</v>
      </c>
      <c r="D273" s="66" t="s">
        <v>2173</v>
      </c>
      <c r="E273" s="67">
        <v>40781.644953703704</v>
      </c>
      <c r="F273" s="67"/>
      <c r="G273" s="64" t="str">
        <f>IF(stdProdLT(Main[[#This Row],[Comments]])=0.1,"N/A",IF(stdProdLT(Main[[#This Row],[Comments]])=0,"",stdProdLT(Main[[#This Row],[Comments]])))</f>
        <v/>
      </c>
      <c r="H273" s="68" t="str">
        <f>IF(AND(Main[[#This Row],[In Stock Date]]&lt;&gt;"",Main[[#This Row],[Revised Due Date]]&lt;&gt;""),Main[[#This Row],[In Stock Date]]-Main[[#This Row],[Revised Due Date]],"")</f>
        <v/>
      </c>
      <c r="I273" s="65" t="s">
        <v>4</v>
      </c>
      <c r="J273" s="65" t="s">
        <v>4</v>
      </c>
      <c r="K273" s="65" t="s">
        <v>4</v>
      </c>
      <c r="L273" s="67"/>
      <c r="M273" s="69" t="str">
        <f>IF(Main[[#This Row],[Tech Start Date]]&lt;1/1/1990,"",IF(Main[[#This Row],[Class]]="C",WORKDAY(Main[[#This Row],[Tech Start Date]],9),IF(Main[[#This Row],[Class]]="B", WORKDAY(Main[[#This Row],[Tech Start Date]],6),IF(Main[[#This Row],[Class]]="A",WORKDAY(Main[[#This Row],[Tech Start Date]],2),""))))</f>
        <v/>
      </c>
      <c r="N273" s="69" t="str">
        <f>IF(Main[[#This Row],[Tech Start Date]]&lt;1/1/1990,"",IF(Main[[#This Row],[Class]]="C",WORKDAY(Main[[#This Row],[Tech Start Date]],19),IF(Main[[#This Row],[Class]]="B", WORKDAY(Main[[#This Row],[Tech Start Date]],12),IF(Main[[#This Row],[Class]]="A",WORKDAY(Main[[#This Row],[Tech Start Date]],4),""))))</f>
        <v/>
      </c>
      <c r="O273" s="69" t="str">
        <f>IF(Main[[#This Row],[Tech Start Date]]&lt;1/1/1990,"",IF(Main[[#This Row],[Class]]="C",WORKDAY(Main[[#This Row],[Tech Start Date]],23),IF(Main[[#This Row],[Class]]="B", WORKDAY(Main[[#This Row],[Tech Start Date]],15),IF(Main[[#This Row],[Class]]="A",WORKDAY(Main[[#This Row],[Tech Start Date]],5),""))))</f>
        <v/>
      </c>
      <c r="P273" s="69" t="str">
        <f>IF(Main[[#This Row],[Tech Start Date]]&lt;1/1/1990,"",IF(Main[[#This Row],[Class]]="C",WORKDAY(Main[[#This Row],[Tech Start Date]],28),IF(Main[[#This Row],[Class]]="B", WORKDAY(Main[[#This Row],[Tech Start Date]],19),IF(Main[[#This Row],[Class]]="A",WORKDAY(Main[[#This Row],[Tech Start Date]],9),""))))</f>
        <v/>
      </c>
      <c r="Q273" s="67">
        <v>40809</v>
      </c>
      <c r="R273" s="67"/>
      <c r="S273" s="65" t="s">
        <v>6</v>
      </c>
      <c r="T273" s="70" t="s">
        <v>4</v>
      </c>
      <c r="U273" s="65" t="s">
        <v>7</v>
      </c>
      <c r="V273" s="65" t="s">
        <v>1917</v>
      </c>
      <c r="W273" s="65" t="s">
        <v>4</v>
      </c>
      <c r="X273" s="65" t="s">
        <v>2825</v>
      </c>
      <c r="Y273" s="65" t="s">
        <v>2938</v>
      </c>
      <c r="Z273" s="65" t="s">
        <v>4</v>
      </c>
      <c r="AA273" s="65" t="s">
        <v>2825</v>
      </c>
    </row>
    <row r="274" spans="1:27" ht="17.45" customHeight="1">
      <c r="A274" s="131" t="str">
        <f>IF(priority(Main[[#This Row],[Comments]])&lt;&gt;0, priority(Main[[#This Row],[Comments]]),"")</f>
        <v/>
      </c>
      <c r="B274" s="99" t="s">
        <v>2707</v>
      </c>
      <c r="C274" s="65" t="s">
        <v>4</v>
      </c>
      <c r="D274" s="66" t="s">
        <v>2708</v>
      </c>
      <c r="E274" s="67">
        <v>40892.147916666669</v>
      </c>
      <c r="F274" s="67"/>
      <c r="G274" s="64" t="str">
        <f>IF(stdProdLT(Main[[#This Row],[Comments]])=0.1,"N/A",IF(stdProdLT(Main[[#This Row],[Comments]])=0,"",stdProdLT(Main[[#This Row],[Comments]])))</f>
        <v/>
      </c>
      <c r="H274" s="68" t="str">
        <f>IF(AND(Main[[#This Row],[In Stock Date]]&lt;&gt;"",Main[[#This Row],[Revised Due Date]]&lt;&gt;""),Main[[#This Row],[In Stock Date]]-Main[[#This Row],[Revised Due Date]],"")</f>
        <v/>
      </c>
      <c r="I274" s="65" t="s">
        <v>69</v>
      </c>
      <c r="J274" s="65" t="s">
        <v>70</v>
      </c>
      <c r="K274" s="65" t="s">
        <v>1926</v>
      </c>
      <c r="L274" s="67"/>
      <c r="M274" s="69" t="str">
        <f>IF(Main[[#This Row],[Tech Start Date]]&lt;1/1/1990,"",IF(Main[[#This Row],[Class]]="C",WORKDAY(Main[[#This Row],[Tech Start Date]],9),IF(Main[[#This Row],[Class]]="B", WORKDAY(Main[[#This Row],[Tech Start Date]],6),IF(Main[[#This Row],[Class]]="A",WORKDAY(Main[[#This Row],[Tech Start Date]],2),""))))</f>
        <v/>
      </c>
      <c r="N274" s="69" t="str">
        <f>IF(Main[[#This Row],[Tech Start Date]]&lt;1/1/1990,"",IF(Main[[#This Row],[Class]]="C",WORKDAY(Main[[#This Row],[Tech Start Date]],19),IF(Main[[#This Row],[Class]]="B", WORKDAY(Main[[#This Row],[Tech Start Date]],12),IF(Main[[#This Row],[Class]]="A",WORKDAY(Main[[#This Row],[Tech Start Date]],4),""))))</f>
        <v/>
      </c>
      <c r="O274" s="69" t="str">
        <f>IF(Main[[#This Row],[Tech Start Date]]&lt;1/1/1990,"",IF(Main[[#This Row],[Class]]="C",WORKDAY(Main[[#This Row],[Tech Start Date]],23),IF(Main[[#This Row],[Class]]="B", WORKDAY(Main[[#This Row],[Tech Start Date]],15),IF(Main[[#This Row],[Class]]="A",WORKDAY(Main[[#This Row],[Tech Start Date]],5),""))))</f>
        <v/>
      </c>
      <c r="P274" s="69" t="str">
        <f>IF(Main[[#This Row],[Tech Start Date]]&lt;1/1/1990,"",IF(Main[[#This Row],[Class]]="C",WORKDAY(Main[[#This Row],[Tech Start Date]],28),IF(Main[[#This Row],[Class]]="B", WORKDAY(Main[[#This Row],[Tech Start Date]],19),IF(Main[[#This Row],[Class]]="A",WORKDAY(Main[[#This Row],[Tech Start Date]],9),""))))</f>
        <v/>
      </c>
      <c r="Q274" s="67">
        <v>40914</v>
      </c>
      <c r="R274" s="67"/>
      <c r="S274" s="65" t="s">
        <v>6</v>
      </c>
      <c r="T274" s="70" t="s">
        <v>4</v>
      </c>
      <c r="U274" s="65" t="s">
        <v>29</v>
      </c>
      <c r="V274" s="65" t="s">
        <v>1920</v>
      </c>
      <c r="W274" s="65" t="s">
        <v>1921</v>
      </c>
      <c r="X274" s="65" t="s">
        <v>2857</v>
      </c>
      <c r="Y274" s="65" t="s">
        <v>2992</v>
      </c>
      <c r="Z274" s="65" t="s">
        <v>30</v>
      </c>
      <c r="AA274" s="65" t="s">
        <v>2857</v>
      </c>
    </row>
    <row r="275" spans="1:27" ht="17.45" customHeight="1">
      <c r="A275" s="131" t="str">
        <f>IF(priority(Main[[#This Row],[Comments]])&lt;&gt;0, priority(Main[[#This Row],[Comments]]),"")</f>
        <v/>
      </c>
      <c r="B275" s="99" t="s">
        <v>2347</v>
      </c>
      <c r="C275" s="65" t="s">
        <v>4</v>
      </c>
      <c r="D275" s="66" t="s">
        <v>2348</v>
      </c>
      <c r="E275" s="67">
        <v>40876.410104166665</v>
      </c>
      <c r="F275" s="67"/>
      <c r="G275" s="64" t="str">
        <f>IF(stdProdLT(Main[[#This Row],[Comments]])=0.1,"N/A",IF(stdProdLT(Main[[#This Row],[Comments]])=0,"",stdProdLT(Main[[#This Row],[Comments]])))</f>
        <v/>
      </c>
      <c r="H275" s="68" t="str">
        <f>IF(AND(Main[[#This Row],[In Stock Date]]&lt;&gt;"",Main[[#This Row],[Revised Due Date]]&lt;&gt;""),Main[[#This Row],[In Stock Date]]-Main[[#This Row],[Revised Due Date]],"")</f>
        <v/>
      </c>
      <c r="I275" s="65" t="s">
        <v>4</v>
      </c>
      <c r="J275" s="65" t="s">
        <v>4</v>
      </c>
      <c r="K275" s="65" t="s">
        <v>4</v>
      </c>
      <c r="L275" s="67"/>
      <c r="M275" s="69" t="str">
        <f>IF(Main[[#This Row],[Tech Start Date]]&lt;1/1/1990,"",IF(Main[[#This Row],[Class]]="C",WORKDAY(Main[[#This Row],[Tech Start Date]],9),IF(Main[[#This Row],[Class]]="B", WORKDAY(Main[[#This Row],[Tech Start Date]],6),IF(Main[[#This Row],[Class]]="A",WORKDAY(Main[[#This Row],[Tech Start Date]],2),""))))</f>
        <v/>
      </c>
      <c r="N275" s="69" t="str">
        <f>IF(Main[[#This Row],[Tech Start Date]]&lt;1/1/1990,"",IF(Main[[#This Row],[Class]]="C",WORKDAY(Main[[#This Row],[Tech Start Date]],19),IF(Main[[#This Row],[Class]]="B", WORKDAY(Main[[#This Row],[Tech Start Date]],12),IF(Main[[#This Row],[Class]]="A",WORKDAY(Main[[#This Row],[Tech Start Date]],4),""))))</f>
        <v/>
      </c>
      <c r="O275" s="69" t="str">
        <f>IF(Main[[#This Row],[Tech Start Date]]&lt;1/1/1990,"",IF(Main[[#This Row],[Class]]="C",WORKDAY(Main[[#This Row],[Tech Start Date]],23),IF(Main[[#This Row],[Class]]="B", WORKDAY(Main[[#This Row],[Tech Start Date]],15),IF(Main[[#This Row],[Class]]="A",WORKDAY(Main[[#This Row],[Tech Start Date]],5),""))))</f>
        <v/>
      </c>
      <c r="P275" s="69" t="str">
        <f>IF(Main[[#This Row],[Tech Start Date]]&lt;1/1/1990,"",IF(Main[[#This Row],[Class]]="C",WORKDAY(Main[[#This Row],[Tech Start Date]],28),IF(Main[[#This Row],[Class]]="B", WORKDAY(Main[[#This Row],[Tech Start Date]],19),IF(Main[[#This Row],[Class]]="A",WORKDAY(Main[[#This Row],[Tech Start Date]],9),""))))</f>
        <v/>
      </c>
      <c r="Q275" s="67">
        <v>40879</v>
      </c>
      <c r="R275" s="67"/>
      <c r="S275" s="65" t="s">
        <v>6</v>
      </c>
      <c r="T275" s="70" t="s">
        <v>4</v>
      </c>
      <c r="U275" s="65" t="s">
        <v>29</v>
      </c>
      <c r="V275" s="65" t="s">
        <v>1918</v>
      </c>
      <c r="W275" s="65" t="s">
        <v>1921</v>
      </c>
      <c r="X275" s="65" t="s">
        <v>943</v>
      </c>
      <c r="Y275" s="65" t="s">
        <v>3001</v>
      </c>
      <c r="Z275" s="65" t="s">
        <v>4</v>
      </c>
      <c r="AA275" s="65" t="s">
        <v>943</v>
      </c>
    </row>
    <row r="276" spans="1:27" ht="17.45" customHeight="1">
      <c r="A276" s="131" t="str">
        <f>IF(priority(Main[[#This Row],[Comments]])&lt;&gt;0, priority(Main[[#This Row],[Comments]]),"")</f>
        <v/>
      </c>
      <c r="B276" s="99" t="s">
        <v>2467</v>
      </c>
      <c r="C276" s="65" t="s">
        <v>4</v>
      </c>
      <c r="D276" s="66" t="s">
        <v>2468</v>
      </c>
      <c r="E276" s="67">
        <v>40876.411770833336</v>
      </c>
      <c r="F276" s="67"/>
      <c r="G276" s="64" t="str">
        <f>IF(stdProdLT(Main[[#This Row],[Comments]])=0.1,"N/A",IF(stdProdLT(Main[[#This Row],[Comments]])=0,"",stdProdLT(Main[[#This Row],[Comments]])))</f>
        <v/>
      </c>
      <c r="H276" s="68" t="str">
        <f>IF(AND(Main[[#This Row],[In Stock Date]]&lt;&gt;"",Main[[#This Row],[Revised Due Date]]&lt;&gt;""),Main[[#This Row],[In Stock Date]]-Main[[#This Row],[Revised Due Date]],"")</f>
        <v/>
      </c>
      <c r="I276" s="65" t="s">
        <v>4</v>
      </c>
      <c r="J276" s="65" t="s">
        <v>4</v>
      </c>
      <c r="K276" s="65" t="s">
        <v>4</v>
      </c>
      <c r="L276" s="67"/>
      <c r="M276" s="69" t="str">
        <f>IF(Main[[#This Row],[Tech Start Date]]&lt;1/1/1990,"",IF(Main[[#This Row],[Class]]="C",WORKDAY(Main[[#This Row],[Tech Start Date]],9),IF(Main[[#This Row],[Class]]="B", WORKDAY(Main[[#This Row],[Tech Start Date]],6),IF(Main[[#This Row],[Class]]="A",WORKDAY(Main[[#This Row],[Tech Start Date]],2),""))))</f>
        <v/>
      </c>
      <c r="N276" s="69" t="str">
        <f>IF(Main[[#This Row],[Tech Start Date]]&lt;1/1/1990,"",IF(Main[[#This Row],[Class]]="C",WORKDAY(Main[[#This Row],[Tech Start Date]],19),IF(Main[[#This Row],[Class]]="B", WORKDAY(Main[[#This Row],[Tech Start Date]],12),IF(Main[[#This Row],[Class]]="A",WORKDAY(Main[[#This Row],[Tech Start Date]],4),""))))</f>
        <v/>
      </c>
      <c r="O276" s="69" t="str">
        <f>IF(Main[[#This Row],[Tech Start Date]]&lt;1/1/1990,"",IF(Main[[#This Row],[Class]]="C",WORKDAY(Main[[#This Row],[Tech Start Date]],23),IF(Main[[#This Row],[Class]]="B", WORKDAY(Main[[#This Row],[Tech Start Date]],15),IF(Main[[#This Row],[Class]]="A",WORKDAY(Main[[#This Row],[Tech Start Date]],5),""))))</f>
        <v/>
      </c>
      <c r="P276" s="69" t="str">
        <f>IF(Main[[#This Row],[Tech Start Date]]&lt;1/1/1990,"",IF(Main[[#This Row],[Class]]="C",WORKDAY(Main[[#This Row],[Tech Start Date]],28),IF(Main[[#This Row],[Class]]="B", WORKDAY(Main[[#This Row],[Tech Start Date]],19),IF(Main[[#This Row],[Class]]="A",WORKDAY(Main[[#This Row],[Tech Start Date]],9),""))))</f>
        <v/>
      </c>
      <c r="Q276" s="67"/>
      <c r="R276" s="67"/>
      <c r="S276" s="65" t="s">
        <v>6</v>
      </c>
      <c r="T276" s="70" t="s">
        <v>4</v>
      </c>
      <c r="U276" s="65" t="s">
        <v>7</v>
      </c>
      <c r="V276" s="65" t="s">
        <v>1917</v>
      </c>
      <c r="W276" s="65" t="s">
        <v>1925</v>
      </c>
      <c r="X276" s="65" t="s">
        <v>306</v>
      </c>
      <c r="Y276" s="65" t="s">
        <v>4</v>
      </c>
      <c r="Z276" s="65" t="s">
        <v>4</v>
      </c>
      <c r="AA276" s="65" t="s">
        <v>3405</v>
      </c>
    </row>
    <row r="277" spans="1:27" ht="17.45" customHeight="1">
      <c r="A277" s="131" t="str">
        <f>IF(priority(Main[[#This Row],[Comments]])&lt;&gt;0, priority(Main[[#This Row],[Comments]]),"")</f>
        <v/>
      </c>
      <c r="B277" s="99" t="s">
        <v>1983</v>
      </c>
      <c r="C277" s="65" t="s">
        <v>1978</v>
      </c>
      <c r="D277" s="66" t="s">
        <v>1984</v>
      </c>
      <c r="E277" s="67"/>
      <c r="F277" s="67"/>
      <c r="G277" s="64" t="str">
        <f>IF(stdProdLT(Main[[#This Row],[Comments]])=0.1,"N/A",IF(stdProdLT(Main[[#This Row],[Comments]])=0,"",stdProdLT(Main[[#This Row],[Comments]])))</f>
        <v/>
      </c>
      <c r="H277" s="68" t="str">
        <f>IF(AND(Main[[#This Row],[In Stock Date]]&lt;&gt;"",Main[[#This Row],[Revised Due Date]]&lt;&gt;""),Main[[#This Row],[In Stock Date]]-Main[[#This Row],[Revised Due Date]],"")</f>
        <v/>
      </c>
      <c r="I277" s="65" t="s">
        <v>4</v>
      </c>
      <c r="J277" s="65" t="s">
        <v>4</v>
      </c>
      <c r="K277" s="65" t="s">
        <v>4</v>
      </c>
      <c r="L277" s="67"/>
      <c r="M277" s="69" t="str">
        <f>IF(Main[[#This Row],[Tech Start Date]]&lt;1/1/1990,"",IF(Main[[#This Row],[Class]]="C",WORKDAY(Main[[#This Row],[Tech Start Date]],9),IF(Main[[#This Row],[Class]]="B", WORKDAY(Main[[#This Row],[Tech Start Date]],6),IF(Main[[#This Row],[Class]]="A",WORKDAY(Main[[#This Row],[Tech Start Date]],2),""))))</f>
        <v/>
      </c>
      <c r="N277" s="69" t="str">
        <f>IF(Main[[#This Row],[Tech Start Date]]&lt;1/1/1990,"",IF(Main[[#This Row],[Class]]="C",WORKDAY(Main[[#This Row],[Tech Start Date]],19),IF(Main[[#This Row],[Class]]="B", WORKDAY(Main[[#This Row],[Tech Start Date]],12),IF(Main[[#This Row],[Class]]="A",WORKDAY(Main[[#This Row],[Tech Start Date]],4),""))))</f>
        <v/>
      </c>
      <c r="O277" s="69" t="str">
        <f>IF(Main[[#This Row],[Tech Start Date]]&lt;1/1/1990,"",IF(Main[[#This Row],[Class]]="C",WORKDAY(Main[[#This Row],[Tech Start Date]],23),IF(Main[[#This Row],[Class]]="B", WORKDAY(Main[[#This Row],[Tech Start Date]],15),IF(Main[[#This Row],[Class]]="A",WORKDAY(Main[[#This Row],[Tech Start Date]],5),""))))</f>
        <v/>
      </c>
      <c r="P277" s="69" t="str">
        <f>IF(Main[[#This Row],[Tech Start Date]]&lt;1/1/1990,"",IF(Main[[#This Row],[Class]]="C",WORKDAY(Main[[#This Row],[Tech Start Date]],28),IF(Main[[#This Row],[Class]]="B", WORKDAY(Main[[#This Row],[Tech Start Date]],19),IF(Main[[#This Row],[Class]]="A",WORKDAY(Main[[#This Row],[Tech Start Date]],9),""))))</f>
        <v/>
      </c>
      <c r="Q277" s="67">
        <v>40745</v>
      </c>
      <c r="R277" s="67"/>
      <c r="S277" s="65" t="s">
        <v>11</v>
      </c>
      <c r="T277" s="70" t="s">
        <v>4</v>
      </c>
      <c r="U277" s="65" t="s">
        <v>14</v>
      </c>
      <c r="V277" s="65" t="s">
        <v>1918</v>
      </c>
      <c r="W277" s="65" t="s">
        <v>1919</v>
      </c>
      <c r="X277" s="65" t="s">
        <v>2822</v>
      </c>
      <c r="Y277" s="65" t="s">
        <v>4</v>
      </c>
      <c r="Z277" s="65" t="s">
        <v>4</v>
      </c>
      <c r="AA277" s="65" t="s">
        <v>2822</v>
      </c>
    </row>
    <row r="278" spans="1:27" ht="17.45" customHeight="1">
      <c r="A278" s="131" t="str">
        <f>IF(priority(Main[[#This Row],[Comments]])&lt;&gt;0, priority(Main[[#This Row],[Comments]]),"")</f>
        <v/>
      </c>
      <c r="B278" s="99" t="s">
        <v>1117</v>
      </c>
      <c r="C278" s="65" t="s">
        <v>4</v>
      </c>
      <c r="D278" s="66" t="s">
        <v>164</v>
      </c>
      <c r="E278" s="67">
        <v>40315.288738425923</v>
      </c>
      <c r="F278" s="67"/>
      <c r="G278" s="64" t="str">
        <f>IF(stdProdLT(Main[[#This Row],[Comments]])=0.1,"N/A",IF(stdProdLT(Main[[#This Row],[Comments]])=0,"",stdProdLT(Main[[#This Row],[Comments]])))</f>
        <v/>
      </c>
      <c r="H278" s="68" t="str">
        <f>IF(AND(Main[[#This Row],[In Stock Date]]&lt;&gt;"",Main[[#This Row],[Revised Due Date]]&lt;&gt;""),Main[[#This Row],[In Stock Date]]-Main[[#This Row],[Revised Due Date]],"")</f>
        <v/>
      </c>
      <c r="I278" s="65" t="s">
        <v>129</v>
      </c>
      <c r="J278" s="65" t="s">
        <v>4</v>
      </c>
      <c r="K278" s="65" t="s">
        <v>4</v>
      </c>
      <c r="L278" s="67"/>
      <c r="M278" s="69" t="str">
        <f>IF(Main[[#This Row],[Tech Start Date]]&lt;1/1/1990,"",IF(Main[[#This Row],[Class]]="C",WORKDAY(Main[[#This Row],[Tech Start Date]],9),IF(Main[[#This Row],[Class]]="B", WORKDAY(Main[[#This Row],[Tech Start Date]],6),IF(Main[[#This Row],[Class]]="A",WORKDAY(Main[[#This Row],[Tech Start Date]],2),""))))</f>
        <v/>
      </c>
      <c r="N278" s="69" t="str">
        <f>IF(Main[[#This Row],[Tech Start Date]]&lt;1/1/1990,"",IF(Main[[#This Row],[Class]]="C",WORKDAY(Main[[#This Row],[Tech Start Date]],19),IF(Main[[#This Row],[Class]]="B", WORKDAY(Main[[#This Row],[Tech Start Date]],12),IF(Main[[#This Row],[Class]]="A",WORKDAY(Main[[#This Row],[Tech Start Date]],4),""))))</f>
        <v/>
      </c>
      <c r="O278" s="69" t="str">
        <f>IF(Main[[#This Row],[Tech Start Date]]&lt;1/1/1990,"",IF(Main[[#This Row],[Class]]="C",WORKDAY(Main[[#This Row],[Tech Start Date]],23),IF(Main[[#This Row],[Class]]="B", WORKDAY(Main[[#This Row],[Tech Start Date]],15),IF(Main[[#This Row],[Class]]="A",WORKDAY(Main[[#This Row],[Tech Start Date]],5),""))))</f>
        <v/>
      </c>
      <c r="P278" s="69" t="str">
        <f>IF(Main[[#This Row],[Tech Start Date]]&lt;1/1/1990,"",IF(Main[[#This Row],[Class]]="C",WORKDAY(Main[[#This Row],[Tech Start Date]],28),IF(Main[[#This Row],[Class]]="B", WORKDAY(Main[[#This Row],[Tech Start Date]],19),IF(Main[[#This Row],[Class]]="A",WORKDAY(Main[[#This Row],[Tech Start Date]],9),""))))</f>
        <v/>
      </c>
      <c r="Q278" s="67">
        <v>40359</v>
      </c>
      <c r="R278" s="67"/>
      <c r="S278" s="65" t="s">
        <v>6</v>
      </c>
      <c r="T278" s="70" t="s">
        <v>4</v>
      </c>
      <c r="U278" s="65" t="s">
        <v>7</v>
      </c>
      <c r="V278" s="65" t="s">
        <v>1917</v>
      </c>
      <c r="W278" s="65" t="s">
        <v>4</v>
      </c>
      <c r="X278" s="65" t="s">
        <v>2828</v>
      </c>
      <c r="Y278" s="65" t="s">
        <v>2944</v>
      </c>
      <c r="Z278" s="65" t="s">
        <v>4</v>
      </c>
      <c r="AA278" s="65" t="s">
        <v>2828</v>
      </c>
    </row>
    <row r="279" spans="1:27" ht="17.45" customHeight="1">
      <c r="A279" s="131" t="str">
        <f>IF(priority(Main[[#This Row],[Comments]])&lt;&gt;0, priority(Main[[#This Row],[Comments]]),"")</f>
        <v/>
      </c>
      <c r="B279" s="99" t="s">
        <v>1118</v>
      </c>
      <c r="C279" s="65" t="s">
        <v>31</v>
      </c>
      <c r="D279" s="66" t="s">
        <v>165</v>
      </c>
      <c r="E279" s="67">
        <v>40490.313692129632</v>
      </c>
      <c r="F279" s="67">
        <v>40546</v>
      </c>
      <c r="G279" s="64" t="str">
        <f>IF(stdProdLT(Main[[#This Row],[Comments]])=0.1,"N/A",IF(stdProdLT(Main[[#This Row],[Comments]])=0,"",stdProdLT(Main[[#This Row],[Comments]])))</f>
        <v/>
      </c>
      <c r="H279" s="68" t="str">
        <f>IF(AND(Main[[#This Row],[In Stock Date]]&lt;&gt;"",Main[[#This Row],[Revised Due Date]]&lt;&gt;""),Main[[#This Row],[In Stock Date]]-Main[[#This Row],[Revised Due Date]],"")</f>
        <v/>
      </c>
      <c r="I279" s="65" t="s">
        <v>4</v>
      </c>
      <c r="J279" s="65" t="s">
        <v>4</v>
      </c>
      <c r="K279" s="65" t="s">
        <v>4</v>
      </c>
      <c r="L279" s="67"/>
      <c r="M279" s="69" t="str">
        <f>IF(Main[[#This Row],[Tech Start Date]]&lt;1/1/1990,"",IF(Main[[#This Row],[Class]]="C",WORKDAY(Main[[#This Row],[Tech Start Date]],9),IF(Main[[#This Row],[Class]]="B", WORKDAY(Main[[#This Row],[Tech Start Date]],6),IF(Main[[#This Row],[Class]]="A",WORKDAY(Main[[#This Row],[Tech Start Date]],2),""))))</f>
        <v/>
      </c>
      <c r="N279" s="69" t="str">
        <f>IF(Main[[#This Row],[Tech Start Date]]&lt;1/1/1990,"",IF(Main[[#This Row],[Class]]="C",WORKDAY(Main[[#This Row],[Tech Start Date]],19),IF(Main[[#This Row],[Class]]="B", WORKDAY(Main[[#This Row],[Tech Start Date]],12),IF(Main[[#This Row],[Class]]="A",WORKDAY(Main[[#This Row],[Tech Start Date]],4),""))))</f>
        <v/>
      </c>
      <c r="O279" s="69" t="str">
        <f>IF(Main[[#This Row],[Tech Start Date]]&lt;1/1/1990,"",IF(Main[[#This Row],[Class]]="C",WORKDAY(Main[[#This Row],[Tech Start Date]],23),IF(Main[[#This Row],[Class]]="B", WORKDAY(Main[[#This Row],[Tech Start Date]],15),IF(Main[[#This Row],[Class]]="A",WORKDAY(Main[[#This Row],[Tech Start Date]],5),""))))</f>
        <v/>
      </c>
      <c r="P279" s="69" t="str">
        <f>IF(Main[[#This Row],[Tech Start Date]]&lt;1/1/1990,"",IF(Main[[#This Row],[Class]]="C",WORKDAY(Main[[#This Row],[Tech Start Date]],28),IF(Main[[#This Row],[Class]]="B", WORKDAY(Main[[#This Row],[Tech Start Date]],19),IF(Main[[#This Row],[Class]]="A",WORKDAY(Main[[#This Row],[Tech Start Date]],9),""))))</f>
        <v/>
      </c>
      <c r="Q279" s="67">
        <v>40543</v>
      </c>
      <c r="R279" s="67"/>
      <c r="S279" s="65" t="s">
        <v>17</v>
      </c>
      <c r="T279" s="70" t="s">
        <v>4</v>
      </c>
      <c r="U279" s="65" t="s">
        <v>7</v>
      </c>
      <c r="V279" s="65" t="s">
        <v>1920</v>
      </c>
      <c r="W279" s="65" t="s">
        <v>4</v>
      </c>
      <c r="X279" s="65" t="s">
        <v>2862</v>
      </c>
      <c r="Y279" s="65" t="s">
        <v>3003</v>
      </c>
      <c r="Z279" s="65" t="s">
        <v>4</v>
      </c>
      <c r="AA279" s="65" t="s">
        <v>2862</v>
      </c>
    </row>
    <row r="280" spans="1:27" ht="17.45" customHeight="1">
      <c r="A280" s="131" t="str">
        <f>IF(priority(Main[[#This Row],[Comments]])&lt;&gt;0, priority(Main[[#This Row],[Comments]]),"")</f>
        <v/>
      </c>
      <c r="B280" s="99" t="s">
        <v>1119</v>
      </c>
      <c r="C280" s="65" t="s">
        <v>4</v>
      </c>
      <c r="D280" s="66" t="s">
        <v>166</v>
      </c>
      <c r="E280" s="67">
        <v>40455.90861111111</v>
      </c>
      <c r="F280" s="67"/>
      <c r="G280" s="64" t="str">
        <f>IF(stdProdLT(Main[[#This Row],[Comments]])=0.1,"N/A",IF(stdProdLT(Main[[#This Row],[Comments]])=0,"",stdProdLT(Main[[#This Row],[Comments]])))</f>
        <v/>
      </c>
      <c r="H280" s="68" t="str">
        <f>IF(AND(Main[[#This Row],[In Stock Date]]&lt;&gt;"",Main[[#This Row],[Revised Due Date]]&lt;&gt;""),Main[[#This Row],[In Stock Date]]-Main[[#This Row],[Revised Due Date]],"")</f>
        <v/>
      </c>
      <c r="I280" s="65" t="s">
        <v>4</v>
      </c>
      <c r="J280" s="65" t="s">
        <v>28</v>
      </c>
      <c r="K280" s="65" t="s">
        <v>1929</v>
      </c>
      <c r="L280" s="67"/>
      <c r="M280" s="69" t="str">
        <f>IF(Main[[#This Row],[Tech Start Date]]&lt;1/1/1990,"",IF(Main[[#This Row],[Class]]="C",WORKDAY(Main[[#This Row],[Tech Start Date]],9),IF(Main[[#This Row],[Class]]="B", WORKDAY(Main[[#This Row],[Tech Start Date]],6),IF(Main[[#This Row],[Class]]="A",WORKDAY(Main[[#This Row],[Tech Start Date]],2),""))))</f>
        <v/>
      </c>
      <c r="N280" s="69" t="str">
        <f>IF(Main[[#This Row],[Tech Start Date]]&lt;1/1/1990,"",IF(Main[[#This Row],[Class]]="C",WORKDAY(Main[[#This Row],[Tech Start Date]],19),IF(Main[[#This Row],[Class]]="B", WORKDAY(Main[[#This Row],[Tech Start Date]],12),IF(Main[[#This Row],[Class]]="A",WORKDAY(Main[[#This Row],[Tech Start Date]],4),""))))</f>
        <v/>
      </c>
      <c r="O280" s="69" t="str">
        <f>IF(Main[[#This Row],[Tech Start Date]]&lt;1/1/1990,"",IF(Main[[#This Row],[Class]]="C",WORKDAY(Main[[#This Row],[Tech Start Date]],23),IF(Main[[#This Row],[Class]]="B", WORKDAY(Main[[#This Row],[Tech Start Date]],15),IF(Main[[#This Row],[Class]]="A",WORKDAY(Main[[#This Row],[Tech Start Date]],5),""))))</f>
        <v/>
      </c>
      <c r="P280" s="69" t="str">
        <f>IF(Main[[#This Row],[Tech Start Date]]&lt;1/1/1990,"",IF(Main[[#This Row],[Class]]="C",WORKDAY(Main[[#This Row],[Tech Start Date]],28),IF(Main[[#This Row],[Class]]="B", WORKDAY(Main[[#This Row],[Tech Start Date]],19),IF(Main[[#This Row],[Class]]="A",WORKDAY(Main[[#This Row],[Tech Start Date]],9),""))))</f>
        <v/>
      </c>
      <c r="Q280" s="67">
        <v>40512</v>
      </c>
      <c r="R280" s="67"/>
      <c r="S280" s="65" t="s">
        <v>17</v>
      </c>
      <c r="T280" s="70" t="s">
        <v>4</v>
      </c>
      <c r="U280" s="65" t="s">
        <v>7</v>
      </c>
      <c r="V280" s="65" t="s">
        <v>1917</v>
      </c>
      <c r="W280" s="65" t="s">
        <v>1922</v>
      </c>
      <c r="X280" s="65" t="s">
        <v>129</v>
      </c>
      <c r="Y280" s="65" t="s">
        <v>2939</v>
      </c>
      <c r="Z280" s="65" t="s">
        <v>129</v>
      </c>
      <c r="AA280" s="65" t="s">
        <v>129</v>
      </c>
    </row>
    <row r="281" spans="1:27" ht="17.45" customHeight="1">
      <c r="A281" s="131" t="str">
        <f>IF(priority(Main[[#This Row],[Comments]])&lt;&gt;0, priority(Main[[#This Row],[Comments]]),"")</f>
        <v/>
      </c>
      <c r="B281" s="99" t="s">
        <v>1120</v>
      </c>
      <c r="C281" s="65" t="s">
        <v>4</v>
      </c>
      <c r="D281" s="66" t="s">
        <v>167</v>
      </c>
      <c r="E281" s="67"/>
      <c r="F281" s="67"/>
      <c r="G281" s="64" t="str">
        <f>IF(stdProdLT(Main[[#This Row],[Comments]])=0.1,"N/A",IF(stdProdLT(Main[[#This Row],[Comments]])=0,"",stdProdLT(Main[[#This Row],[Comments]])))</f>
        <v/>
      </c>
      <c r="H281" s="68" t="str">
        <f>IF(AND(Main[[#This Row],[In Stock Date]]&lt;&gt;"",Main[[#This Row],[Revised Due Date]]&lt;&gt;""),Main[[#This Row],[In Stock Date]]-Main[[#This Row],[Revised Due Date]],"")</f>
        <v/>
      </c>
      <c r="I281" s="65" t="s">
        <v>4</v>
      </c>
      <c r="J281" s="65" t="s">
        <v>28</v>
      </c>
      <c r="K281" s="65" t="s">
        <v>1929</v>
      </c>
      <c r="L281" s="67"/>
      <c r="M281" s="69" t="str">
        <f>IF(Main[[#This Row],[Tech Start Date]]&lt;1/1/1990,"",IF(Main[[#This Row],[Class]]="C",WORKDAY(Main[[#This Row],[Tech Start Date]],9),IF(Main[[#This Row],[Class]]="B", WORKDAY(Main[[#This Row],[Tech Start Date]],6),IF(Main[[#This Row],[Class]]="A",WORKDAY(Main[[#This Row],[Tech Start Date]],2),""))))</f>
        <v/>
      </c>
      <c r="N281" s="69" t="str">
        <f>IF(Main[[#This Row],[Tech Start Date]]&lt;1/1/1990,"",IF(Main[[#This Row],[Class]]="C",WORKDAY(Main[[#This Row],[Tech Start Date]],19),IF(Main[[#This Row],[Class]]="B", WORKDAY(Main[[#This Row],[Tech Start Date]],12),IF(Main[[#This Row],[Class]]="A",WORKDAY(Main[[#This Row],[Tech Start Date]],4),""))))</f>
        <v/>
      </c>
      <c r="O281" s="69" t="str">
        <f>IF(Main[[#This Row],[Tech Start Date]]&lt;1/1/1990,"",IF(Main[[#This Row],[Class]]="C",WORKDAY(Main[[#This Row],[Tech Start Date]],23),IF(Main[[#This Row],[Class]]="B", WORKDAY(Main[[#This Row],[Tech Start Date]],15),IF(Main[[#This Row],[Class]]="A",WORKDAY(Main[[#This Row],[Tech Start Date]],5),""))))</f>
        <v/>
      </c>
      <c r="P281" s="69" t="str">
        <f>IF(Main[[#This Row],[Tech Start Date]]&lt;1/1/1990,"",IF(Main[[#This Row],[Class]]="C",WORKDAY(Main[[#This Row],[Tech Start Date]],28),IF(Main[[#This Row],[Class]]="B", WORKDAY(Main[[#This Row],[Tech Start Date]],19),IF(Main[[#This Row],[Class]]="A",WORKDAY(Main[[#This Row],[Tech Start Date]],9),""))))</f>
        <v/>
      </c>
      <c r="Q281" s="67"/>
      <c r="R281" s="67"/>
      <c r="S281" s="65" t="s">
        <v>17</v>
      </c>
      <c r="T281" s="70" t="s">
        <v>4</v>
      </c>
      <c r="U281" s="65" t="s">
        <v>14</v>
      </c>
      <c r="V281" s="65" t="s">
        <v>1920</v>
      </c>
      <c r="W281" s="65" t="s">
        <v>1922</v>
      </c>
      <c r="X281" s="65" t="s">
        <v>554</v>
      </c>
      <c r="Y281" s="65" t="s">
        <v>2958</v>
      </c>
      <c r="Z281" s="65" t="s">
        <v>970</v>
      </c>
      <c r="AA281" s="65" t="s">
        <v>554</v>
      </c>
    </row>
    <row r="282" spans="1:27" ht="17.45" customHeight="1">
      <c r="A282" s="131" t="str">
        <f>IF(priority(Main[[#This Row],[Comments]])&lt;&gt;0, priority(Main[[#This Row],[Comments]]),"")</f>
        <v/>
      </c>
      <c r="B282" s="99" t="s">
        <v>2676</v>
      </c>
      <c r="C282" s="65" t="s">
        <v>4</v>
      </c>
      <c r="D282" s="66" t="s">
        <v>2709</v>
      </c>
      <c r="E282" s="67">
        <v>40879.610138888886</v>
      </c>
      <c r="F282" s="67"/>
      <c r="G282" s="64" t="str">
        <f>IF(stdProdLT(Main[[#This Row],[Comments]])=0.1,"N/A",IF(stdProdLT(Main[[#This Row],[Comments]])=0,"",stdProdLT(Main[[#This Row],[Comments]])))</f>
        <v/>
      </c>
      <c r="H282" s="68" t="str">
        <f>IF(AND(Main[[#This Row],[In Stock Date]]&lt;&gt;"",Main[[#This Row],[Revised Due Date]]&lt;&gt;""),Main[[#This Row],[In Stock Date]]-Main[[#This Row],[Revised Due Date]],"")</f>
        <v/>
      </c>
      <c r="I282" s="65" t="s">
        <v>69</v>
      </c>
      <c r="J282" s="65" t="s">
        <v>21</v>
      </c>
      <c r="K282" s="65" t="s">
        <v>1926</v>
      </c>
      <c r="L282" s="67"/>
      <c r="M282" s="69" t="str">
        <f>IF(Main[[#This Row],[Tech Start Date]]&lt;1/1/1990,"",IF(Main[[#This Row],[Class]]="C",WORKDAY(Main[[#This Row],[Tech Start Date]],9),IF(Main[[#This Row],[Class]]="B", WORKDAY(Main[[#This Row],[Tech Start Date]],6),IF(Main[[#This Row],[Class]]="A",WORKDAY(Main[[#This Row],[Tech Start Date]],2),""))))</f>
        <v/>
      </c>
      <c r="N282" s="69" t="str">
        <f>IF(Main[[#This Row],[Tech Start Date]]&lt;1/1/1990,"",IF(Main[[#This Row],[Class]]="C",WORKDAY(Main[[#This Row],[Tech Start Date]],19),IF(Main[[#This Row],[Class]]="B", WORKDAY(Main[[#This Row],[Tech Start Date]],12),IF(Main[[#This Row],[Class]]="A",WORKDAY(Main[[#This Row],[Tech Start Date]],4),""))))</f>
        <v/>
      </c>
      <c r="O282" s="69" t="str">
        <f>IF(Main[[#This Row],[Tech Start Date]]&lt;1/1/1990,"",IF(Main[[#This Row],[Class]]="C",WORKDAY(Main[[#This Row],[Tech Start Date]],23),IF(Main[[#This Row],[Class]]="B", WORKDAY(Main[[#This Row],[Tech Start Date]],15),IF(Main[[#This Row],[Class]]="A",WORKDAY(Main[[#This Row],[Tech Start Date]],5),""))))</f>
        <v/>
      </c>
      <c r="P282" s="69" t="str">
        <f>IF(Main[[#This Row],[Tech Start Date]]&lt;1/1/1990,"",IF(Main[[#This Row],[Class]]="C",WORKDAY(Main[[#This Row],[Tech Start Date]],28),IF(Main[[#This Row],[Class]]="B", WORKDAY(Main[[#This Row],[Tech Start Date]],19),IF(Main[[#This Row],[Class]]="A",WORKDAY(Main[[#This Row],[Tech Start Date]],9),""))))</f>
        <v/>
      </c>
      <c r="Q282" s="67">
        <v>40921</v>
      </c>
      <c r="R282" s="67"/>
      <c r="S282" s="65" t="s">
        <v>6</v>
      </c>
      <c r="T282" s="70" t="s">
        <v>4</v>
      </c>
      <c r="U282" s="65" t="s">
        <v>29</v>
      </c>
      <c r="V282" s="65" t="s">
        <v>1927</v>
      </c>
      <c r="W282" s="65" t="s">
        <v>1921</v>
      </c>
      <c r="X282" s="65" t="s">
        <v>2824</v>
      </c>
      <c r="Y282" s="65" t="s">
        <v>2935</v>
      </c>
      <c r="Z282" s="65" t="s">
        <v>30</v>
      </c>
      <c r="AA282" s="65" t="s">
        <v>2824</v>
      </c>
    </row>
    <row r="283" spans="1:27" ht="17.45" customHeight="1">
      <c r="A283" s="131" t="str">
        <f>IF(priority(Main[[#This Row],[Comments]])&lt;&gt;0, priority(Main[[#This Row],[Comments]]),"")</f>
        <v/>
      </c>
      <c r="B283" s="99" t="s">
        <v>3601</v>
      </c>
      <c r="C283" s="65" t="s">
        <v>4</v>
      </c>
      <c r="D283" s="66" t="s">
        <v>3602</v>
      </c>
      <c r="E283" s="67"/>
      <c r="F283" s="67">
        <v>40982</v>
      </c>
      <c r="G283" s="64" t="str">
        <f>IF(stdProdLT(Main[[#This Row],[Comments]])=0.1,"N/A",IF(stdProdLT(Main[[#This Row],[Comments]])=0,"",stdProdLT(Main[[#This Row],[Comments]])))</f>
        <v/>
      </c>
      <c r="H283" s="68" t="str">
        <f>IF(AND(Main[[#This Row],[In Stock Date]]&lt;&gt;"",Main[[#This Row],[Revised Due Date]]&lt;&gt;""),Main[[#This Row],[In Stock Date]]-Main[[#This Row],[Revised Due Date]],"")</f>
        <v/>
      </c>
      <c r="I283" s="65" t="s">
        <v>4</v>
      </c>
      <c r="J283" s="65" t="s">
        <v>4</v>
      </c>
      <c r="K283" s="71" t="s">
        <v>4</v>
      </c>
      <c r="L283" s="67"/>
      <c r="M283" s="69" t="str">
        <f>IF(Main[[#This Row],[Tech Start Date]]&lt;1/1/1990,"",IF(Main[[#This Row],[Class]]="C",WORKDAY(Main[[#This Row],[Tech Start Date]],9),IF(Main[[#This Row],[Class]]="B", WORKDAY(Main[[#This Row],[Tech Start Date]],6),IF(Main[[#This Row],[Class]]="A",WORKDAY(Main[[#This Row],[Tech Start Date]],2),""))))</f>
        <v/>
      </c>
      <c r="N283" s="69" t="str">
        <f>IF(Main[[#This Row],[Tech Start Date]]&lt;1/1/1990,"",IF(Main[[#This Row],[Class]]="C",WORKDAY(Main[[#This Row],[Tech Start Date]],19),IF(Main[[#This Row],[Class]]="B", WORKDAY(Main[[#This Row],[Tech Start Date]],12),IF(Main[[#This Row],[Class]]="A",WORKDAY(Main[[#This Row],[Tech Start Date]],4),""))))</f>
        <v/>
      </c>
      <c r="O283" s="69" t="str">
        <f>IF(Main[[#This Row],[Tech Start Date]]&lt;1/1/1990,"",IF(Main[[#This Row],[Class]]="C",WORKDAY(Main[[#This Row],[Tech Start Date]],23),IF(Main[[#This Row],[Class]]="B", WORKDAY(Main[[#This Row],[Tech Start Date]],15),IF(Main[[#This Row],[Class]]="A",WORKDAY(Main[[#This Row],[Tech Start Date]],5),""))))</f>
        <v/>
      </c>
      <c r="P283" s="69" t="str">
        <f>IF(Main[[#This Row],[Tech Start Date]]&lt;1/1/1990,"",IF(Main[[#This Row],[Class]]="C",WORKDAY(Main[[#This Row],[Tech Start Date]],28),IF(Main[[#This Row],[Class]]="B", WORKDAY(Main[[#This Row],[Tech Start Date]],19),IF(Main[[#This Row],[Class]]="A",WORKDAY(Main[[#This Row],[Tech Start Date]],9),""))))</f>
        <v/>
      </c>
      <c r="Q283" s="67"/>
      <c r="R283" s="67"/>
      <c r="S283" s="65" t="s">
        <v>11</v>
      </c>
      <c r="T283" s="70" t="s">
        <v>4</v>
      </c>
      <c r="U283" s="65" t="s">
        <v>12</v>
      </c>
      <c r="V283" s="65" t="s">
        <v>1920</v>
      </c>
      <c r="W283" s="65" t="s">
        <v>1922</v>
      </c>
      <c r="X283" s="65" t="s">
        <v>2840</v>
      </c>
      <c r="Y283" s="65" t="s">
        <v>3603</v>
      </c>
      <c r="Z283" s="65" t="s">
        <v>4</v>
      </c>
      <c r="AA283" s="65" t="s">
        <v>2840</v>
      </c>
    </row>
    <row r="284" spans="1:27" ht="17.45" customHeight="1">
      <c r="A284" s="131" t="str">
        <f>IF(priority(Main[[#This Row],[Comments]])&lt;&gt;0, priority(Main[[#This Row],[Comments]]),"")</f>
        <v/>
      </c>
      <c r="B284" s="99" t="s">
        <v>1307</v>
      </c>
      <c r="C284" s="65" t="s">
        <v>47</v>
      </c>
      <c r="D284" s="66" t="s">
        <v>2015</v>
      </c>
      <c r="E284" s="67">
        <v>39952.315729166665</v>
      </c>
      <c r="F284" s="67"/>
      <c r="G284" s="64" t="str">
        <f>IF(stdProdLT(Main[[#This Row],[Comments]])=0.1,"N/A",IF(stdProdLT(Main[[#This Row],[Comments]])=0,"",stdProdLT(Main[[#This Row],[Comments]])))</f>
        <v/>
      </c>
      <c r="H284" s="68" t="str">
        <f>IF(AND(Main[[#This Row],[In Stock Date]]&lt;&gt;"",Main[[#This Row],[Revised Due Date]]&lt;&gt;""),Main[[#This Row],[In Stock Date]]-Main[[#This Row],[Revised Due Date]],"")</f>
        <v/>
      </c>
      <c r="I284" s="65" t="s">
        <v>2016</v>
      </c>
      <c r="J284" s="65" t="s">
        <v>28</v>
      </c>
      <c r="K284" s="71" t="s">
        <v>4</v>
      </c>
      <c r="L284" s="67"/>
      <c r="M284" s="69" t="str">
        <f>IF(Main[[#This Row],[Tech Start Date]]&lt;1/1/1990,"",IF(Main[[#This Row],[Class]]="C",WORKDAY(Main[[#This Row],[Tech Start Date]],9),IF(Main[[#This Row],[Class]]="B", WORKDAY(Main[[#This Row],[Tech Start Date]],6),IF(Main[[#This Row],[Class]]="A",WORKDAY(Main[[#This Row],[Tech Start Date]],2),""))))</f>
        <v/>
      </c>
      <c r="N284" s="69" t="str">
        <f>IF(Main[[#This Row],[Tech Start Date]]&lt;1/1/1990,"",IF(Main[[#This Row],[Class]]="C",WORKDAY(Main[[#This Row],[Tech Start Date]],19),IF(Main[[#This Row],[Class]]="B", WORKDAY(Main[[#This Row],[Tech Start Date]],12),IF(Main[[#This Row],[Class]]="A",WORKDAY(Main[[#This Row],[Tech Start Date]],4),""))))</f>
        <v/>
      </c>
      <c r="O284" s="69" t="str">
        <f>IF(Main[[#This Row],[Tech Start Date]]&lt;1/1/1990,"",IF(Main[[#This Row],[Class]]="C",WORKDAY(Main[[#This Row],[Tech Start Date]],23),IF(Main[[#This Row],[Class]]="B", WORKDAY(Main[[#This Row],[Tech Start Date]],15),IF(Main[[#This Row],[Class]]="A",WORKDAY(Main[[#This Row],[Tech Start Date]],5),""))))</f>
        <v/>
      </c>
      <c r="P284" s="69" t="str">
        <f>IF(Main[[#This Row],[Tech Start Date]]&lt;1/1/1990,"",IF(Main[[#This Row],[Class]]="C",WORKDAY(Main[[#This Row],[Tech Start Date]],28),IF(Main[[#This Row],[Class]]="B", WORKDAY(Main[[#This Row],[Tech Start Date]],19),IF(Main[[#This Row],[Class]]="A",WORKDAY(Main[[#This Row],[Tech Start Date]],9),""))))</f>
        <v/>
      </c>
      <c r="Q284" s="67"/>
      <c r="R284" s="67"/>
      <c r="S284" s="65" t="s">
        <v>17</v>
      </c>
      <c r="T284" s="70" t="s">
        <v>4</v>
      </c>
      <c r="U284" s="65" t="s">
        <v>7</v>
      </c>
      <c r="V284" s="65" t="s">
        <v>1932</v>
      </c>
      <c r="W284" s="65" t="s">
        <v>1922</v>
      </c>
      <c r="X284" s="65" t="s">
        <v>2865</v>
      </c>
      <c r="Y284" s="65" t="s">
        <v>2954</v>
      </c>
      <c r="Z284" s="65" t="s">
        <v>2214</v>
      </c>
      <c r="AA284" s="65" t="s">
        <v>2865</v>
      </c>
    </row>
    <row r="285" spans="1:27" ht="17.45" customHeight="1">
      <c r="A285" s="131" t="str">
        <f>IF(priority(Main[[#This Row],[Comments]])&lt;&gt;0, priority(Main[[#This Row],[Comments]]),"")</f>
        <v/>
      </c>
      <c r="B285" s="99" t="s">
        <v>1155</v>
      </c>
      <c r="C285" s="65" t="s">
        <v>4</v>
      </c>
      <c r="D285" s="66" t="s">
        <v>209</v>
      </c>
      <c r="E285" s="67"/>
      <c r="F285" s="67"/>
      <c r="G285" s="64" t="str">
        <f>IF(stdProdLT(Main[[#This Row],[Comments]])=0.1,"N/A",IF(stdProdLT(Main[[#This Row],[Comments]])=0,"",stdProdLT(Main[[#This Row],[Comments]])))</f>
        <v/>
      </c>
      <c r="H285" s="68" t="str">
        <f>IF(AND(Main[[#This Row],[In Stock Date]]&lt;&gt;"",Main[[#This Row],[Revised Due Date]]&lt;&gt;""),Main[[#This Row],[In Stock Date]]-Main[[#This Row],[Revised Due Date]],"")</f>
        <v/>
      </c>
      <c r="I285" s="65" t="s">
        <v>4</v>
      </c>
      <c r="J285" s="65" t="s">
        <v>4</v>
      </c>
      <c r="K285" s="71" t="s">
        <v>4</v>
      </c>
      <c r="L285" s="67"/>
      <c r="M285" s="69" t="str">
        <f>IF(Main[[#This Row],[Tech Start Date]]&lt;1/1/1990,"",IF(Main[[#This Row],[Class]]="C",WORKDAY(Main[[#This Row],[Tech Start Date]],9),IF(Main[[#This Row],[Class]]="B", WORKDAY(Main[[#This Row],[Tech Start Date]],6),IF(Main[[#This Row],[Class]]="A",WORKDAY(Main[[#This Row],[Tech Start Date]],2),""))))</f>
        <v/>
      </c>
      <c r="N285" s="69" t="str">
        <f>IF(Main[[#This Row],[Tech Start Date]]&lt;1/1/1990,"",IF(Main[[#This Row],[Class]]="C",WORKDAY(Main[[#This Row],[Tech Start Date]],19),IF(Main[[#This Row],[Class]]="B", WORKDAY(Main[[#This Row],[Tech Start Date]],12),IF(Main[[#This Row],[Class]]="A",WORKDAY(Main[[#This Row],[Tech Start Date]],4),""))))</f>
        <v/>
      </c>
      <c r="O285" s="69" t="str">
        <f>IF(Main[[#This Row],[Tech Start Date]]&lt;1/1/1990,"",IF(Main[[#This Row],[Class]]="C",WORKDAY(Main[[#This Row],[Tech Start Date]],23),IF(Main[[#This Row],[Class]]="B", WORKDAY(Main[[#This Row],[Tech Start Date]],15),IF(Main[[#This Row],[Class]]="A",WORKDAY(Main[[#This Row],[Tech Start Date]],5),""))))</f>
        <v/>
      </c>
      <c r="P285" s="69" t="str">
        <f>IF(Main[[#This Row],[Tech Start Date]]&lt;1/1/1990,"",IF(Main[[#This Row],[Class]]="C",WORKDAY(Main[[#This Row],[Tech Start Date]],28),IF(Main[[#This Row],[Class]]="B", WORKDAY(Main[[#This Row],[Tech Start Date]],19),IF(Main[[#This Row],[Class]]="A",WORKDAY(Main[[#This Row],[Tech Start Date]],9),""))))</f>
        <v/>
      </c>
      <c r="Q285" s="67"/>
      <c r="R285" s="67"/>
      <c r="S285" s="65" t="s">
        <v>23</v>
      </c>
      <c r="T285" s="70" t="s">
        <v>4</v>
      </c>
      <c r="U285" s="65" t="s">
        <v>14</v>
      </c>
      <c r="V285" s="65" t="s">
        <v>1920</v>
      </c>
      <c r="W285" s="65" t="s">
        <v>1921</v>
      </c>
      <c r="X285" s="65" t="s">
        <v>306</v>
      </c>
      <c r="Y285" s="65" t="s">
        <v>4</v>
      </c>
      <c r="Z285" s="65" t="s">
        <v>4</v>
      </c>
      <c r="AA285" s="65" t="s">
        <v>3395</v>
      </c>
    </row>
    <row r="286" spans="1:27" ht="17.45" customHeight="1">
      <c r="A286" s="131" t="str">
        <f>IF(priority(Main[[#This Row],[Comments]])&lt;&gt;0, priority(Main[[#This Row],[Comments]]),"")</f>
        <v/>
      </c>
      <c r="B286" s="99" t="s">
        <v>1156</v>
      </c>
      <c r="C286" s="65" t="s">
        <v>4</v>
      </c>
      <c r="D286" s="66" t="s">
        <v>210</v>
      </c>
      <c r="E286" s="67"/>
      <c r="F286" s="67"/>
      <c r="G286" s="64" t="str">
        <f>IF(stdProdLT(Main[[#This Row],[Comments]])=0.1,"N/A",IF(stdProdLT(Main[[#This Row],[Comments]])=0,"",stdProdLT(Main[[#This Row],[Comments]])))</f>
        <v/>
      </c>
      <c r="H286" s="68" t="str">
        <f>IF(AND(Main[[#This Row],[In Stock Date]]&lt;&gt;"",Main[[#This Row],[Revised Due Date]]&lt;&gt;""),Main[[#This Row],[In Stock Date]]-Main[[#This Row],[Revised Due Date]],"")</f>
        <v/>
      </c>
      <c r="I286" s="65" t="s">
        <v>4</v>
      </c>
      <c r="J286" s="65" t="s">
        <v>4</v>
      </c>
      <c r="K286" s="71" t="s">
        <v>4</v>
      </c>
      <c r="L286" s="67"/>
      <c r="M286" s="69" t="str">
        <f>IF(Main[[#This Row],[Tech Start Date]]&lt;1/1/1990,"",IF(Main[[#This Row],[Class]]="C",WORKDAY(Main[[#This Row],[Tech Start Date]],9),IF(Main[[#This Row],[Class]]="B", WORKDAY(Main[[#This Row],[Tech Start Date]],6),IF(Main[[#This Row],[Class]]="A",WORKDAY(Main[[#This Row],[Tech Start Date]],2),""))))</f>
        <v/>
      </c>
      <c r="N286" s="69" t="str">
        <f>IF(Main[[#This Row],[Tech Start Date]]&lt;1/1/1990,"",IF(Main[[#This Row],[Class]]="C",WORKDAY(Main[[#This Row],[Tech Start Date]],19),IF(Main[[#This Row],[Class]]="B", WORKDAY(Main[[#This Row],[Tech Start Date]],12),IF(Main[[#This Row],[Class]]="A",WORKDAY(Main[[#This Row],[Tech Start Date]],4),""))))</f>
        <v/>
      </c>
      <c r="O286" s="69" t="str">
        <f>IF(Main[[#This Row],[Tech Start Date]]&lt;1/1/1990,"",IF(Main[[#This Row],[Class]]="C",WORKDAY(Main[[#This Row],[Tech Start Date]],23),IF(Main[[#This Row],[Class]]="B", WORKDAY(Main[[#This Row],[Tech Start Date]],15),IF(Main[[#This Row],[Class]]="A",WORKDAY(Main[[#This Row],[Tech Start Date]],5),""))))</f>
        <v/>
      </c>
      <c r="P286" s="69" t="str">
        <f>IF(Main[[#This Row],[Tech Start Date]]&lt;1/1/1990,"",IF(Main[[#This Row],[Class]]="C",WORKDAY(Main[[#This Row],[Tech Start Date]],28),IF(Main[[#This Row],[Class]]="B", WORKDAY(Main[[#This Row],[Tech Start Date]],19),IF(Main[[#This Row],[Class]]="A",WORKDAY(Main[[#This Row],[Tech Start Date]],9),""))))</f>
        <v/>
      </c>
      <c r="Q286" s="67"/>
      <c r="R286" s="67"/>
      <c r="S286" s="65" t="s">
        <v>23</v>
      </c>
      <c r="T286" s="70" t="s">
        <v>4</v>
      </c>
      <c r="U286" s="65" t="s">
        <v>14</v>
      </c>
      <c r="V286" s="65" t="s">
        <v>1920</v>
      </c>
      <c r="W286" s="65" t="s">
        <v>1921</v>
      </c>
      <c r="X286" s="65" t="s">
        <v>399</v>
      </c>
      <c r="Y286" s="65" t="s">
        <v>4</v>
      </c>
      <c r="Z286" s="65" t="s">
        <v>4</v>
      </c>
      <c r="AA286" s="65" t="s">
        <v>3409</v>
      </c>
    </row>
    <row r="287" spans="1:27" ht="17.45" customHeight="1">
      <c r="A287" s="131" t="str">
        <f>IF(priority(Main[[#This Row],[Comments]])&lt;&gt;0, priority(Main[[#This Row],[Comments]]),"")</f>
        <v/>
      </c>
      <c r="B287" s="99" t="s">
        <v>1220</v>
      </c>
      <c r="C287" s="65" t="s">
        <v>277</v>
      </c>
      <c r="D287" s="66" t="s">
        <v>278</v>
      </c>
      <c r="E287" s="67"/>
      <c r="F287" s="67">
        <v>40680</v>
      </c>
      <c r="G287" s="64" t="str">
        <f>IF(stdProdLT(Main[[#This Row],[Comments]])=0.1,"N/A",IF(stdProdLT(Main[[#This Row],[Comments]])=0,"",stdProdLT(Main[[#This Row],[Comments]])))</f>
        <v/>
      </c>
      <c r="H287" s="68" t="str">
        <f>IF(AND(Main[[#This Row],[In Stock Date]]&lt;&gt;"",Main[[#This Row],[Revised Due Date]]&lt;&gt;""),Main[[#This Row],[In Stock Date]]-Main[[#This Row],[Revised Due Date]],"")</f>
        <v/>
      </c>
      <c r="I287" s="65" t="s">
        <v>4</v>
      </c>
      <c r="J287" s="65" t="s">
        <v>28</v>
      </c>
      <c r="K287" s="65" t="s">
        <v>4</v>
      </c>
      <c r="L287" s="67"/>
      <c r="M287" s="69" t="str">
        <f>IF(Main[[#This Row],[Tech Start Date]]&lt;1/1/1990,"",IF(Main[[#This Row],[Class]]="C",WORKDAY(Main[[#This Row],[Tech Start Date]],9),IF(Main[[#This Row],[Class]]="B", WORKDAY(Main[[#This Row],[Tech Start Date]],6),IF(Main[[#This Row],[Class]]="A",WORKDAY(Main[[#This Row],[Tech Start Date]],2),""))))</f>
        <v/>
      </c>
      <c r="N287" s="69" t="str">
        <f>IF(Main[[#This Row],[Tech Start Date]]&lt;1/1/1990,"",IF(Main[[#This Row],[Class]]="C",WORKDAY(Main[[#This Row],[Tech Start Date]],19),IF(Main[[#This Row],[Class]]="B", WORKDAY(Main[[#This Row],[Tech Start Date]],12),IF(Main[[#This Row],[Class]]="A",WORKDAY(Main[[#This Row],[Tech Start Date]],4),""))))</f>
        <v/>
      </c>
      <c r="O287" s="69" t="str">
        <f>IF(Main[[#This Row],[Tech Start Date]]&lt;1/1/1990,"",IF(Main[[#This Row],[Class]]="C",WORKDAY(Main[[#This Row],[Tech Start Date]],23),IF(Main[[#This Row],[Class]]="B", WORKDAY(Main[[#This Row],[Tech Start Date]],15),IF(Main[[#This Row],[Class]]="A",WORKDAY(Main[[#This Row],[Tech Start Date]],5),""))))</f>
        <v/>
      </c>
      <c r="P287" s="69" t="str">
        <f>IF(Main[[#This Row],[Tech Start Date]]&lt;1/1/1990,"",IF(Main[[#This Row],[Class]]="C",WORKDAY(Main[[#This Row],[Tech Start Date]],28),IF(Main[[#This Row],[Class]]="B", WORKDAY(Main[[#This Row],[Tech Start Date]],19),IF(Main[[#This Row],[Class]]="A",WORKDAY(Main[[#This Row],[Tech Start Date]],9),""))))</f>
        <v/>
      </c>
      <c r="Q287" s="67">
        <v>40540</v>
      </c>
      <c r="R287" s="67"/>
      <c r="S287" s="65" t="s">
        <v>11</v>
      </c>
      <c r="T287" s="70" t="s">
        <v>4</v>
      </c>
      <c r="U287" s="65" t="s">
        <v>14</v>
      </c>
      <c r="V287" s="65" t="s">
        <v>1918</v>
      </c>
      <c r="W287" s="65" t="s">
        <v>1922</v>
      </c>
      <c r="X287" s="65" t="s">
        <v>2866</v>
      </c>
      <c r="Y287" s="65" t="s">
        <v>3010</v>
      </c>
      <c r="Z287" s="65" t="s">
        <v>4</v>
      </c>
      <c r="AA287" s="65" t="s">
        <v>2866</v>
      </c>
    </row>
    <row r="288" spans="1:27" ht="17.45" customHeight="1">
      <c r="A288" s="131" t="str">
        <f>IF(priority(Main[[#This Row],[Comments]])&lt;&gt;0, priority(Main[[#This Row],[Comments]]),"")</f>
        <v/>
      </c>
      <c r="B288" s="99" t="s">
        <v>2183</v>
      </c>
      <c r="C288" s="65" t="s">
        <v>4</v>
      </c>
      <c r="D288" s="66" t="s">
        <v>2184</v>
      </c>
      <c r="E288" s="67"/>
      <c r="F288" s="67"/>
      <c r="G288" s="64" t="str">
        <f>IF(stdProdLT(Main[[#This Row],[Comments]])=0.1,"N/A",IF(stdProdLT(Main[[#This Row],[Comments]])=0,"",stdProdLT(Main[[#This Row],[Comments]])))</f>
        <v/>
      </c>
      <c r="H288" s="68" t="str">
        <f>IF(AND(Main[[#This Row],[In Stock Date]]&lt;&gt;"",Main[[#This Row],[Revised Due Date]]&lt;&gt;""),Main[[#This Row],[In Stock Date]]-Main[[#This Row],[Revised Due Date]],"")</f>
        <v/>
      </c>
      <c r="I288" s="65" t="s">
        <v>4</v>
      </c>
      <c r="J288" s="65" t="s">
        <v>4</v>
      </c>
      <c r="K288" s="65" t="s">
        <v>4</v>
      </c>
      <c r="L288" s="67"/>
      <c r="M288" s="69" t="str">
        <f>IF(Main[[#This Row],[Tech Start Date]]&lt;1/1/1990,"",IF(Main[[#This Row],[Class]]="C",WORKDAY(Main[[#This Row],[Tech Start Date]],9),IF(Main[[#This Row],[Class]]="B", WORKDAY(Main[[#This Row],[Tech Start Date]],6),IF(Main[[#This Row],[Class]]="A",WORKDAY(Main[[#This Row],[Tech Start Date]],2),""))))</f>
        <v/>
      </c>
      <c r="N288" s="69" t="str">
        <f>IF(Main[[#This Row],[Tech Start Date]]&lt;1/1/1990,"",IF(Main[[#This Row],[Class]]="C",WORKDAY(Main[[#This Row],[Tech Start Date]],19),IF(Main[[#This Row],[Class]]="B", WORKDAY(Main[[#This Row],[Tech Start Date]],12),IF(Main[[#This Row],[Class]]="A",WORKDAY(Main[[#This Row],[Tech Start Date]],4),""))))</f>
        <v/>
      </c>
      <c r="O288" s="69" t="str">
        <f>IF(Main[[#This Row],[Tech Start Date]]&lt;1/1/1990,"",IF(Main[[#This Row],[Class]]="C",WORKDAY(Main[[#This Row],[Tech Start Date]],23),IF(Main[[#This Row],[Class]]="B", WORKDAY(Main[[#This Row],[Tech Start Date]],15),IF(Main[[#This Row],[Class]]="A",WORKDAY(Main[[#This Row],[Tech Start Date]],5),""))))</f>
        <v/>
      </c>
      <c r="P288" s="69" t="str">
        <f>IF(Main[[#This Row],[Tech Start Date]]&lt;1/1/1990,"",IF(Main[[#This Row],[Class]]="C",WORKDAY(Main[[#This Row],[Tech Start Date]],28),IF(Main[[#This Row],[Class]]="B", WORKDAY(Main[[#This Row],[Tech Start Date]],19),IF(Main[[#This Row],[Class]]="A",WORKDAY(Main[[#This Row],[Tech Start Date]],9),""))))</f>
        <v/>
      </c>
      <c r="Q288" s="67"/>
      <c r="R288" s="67"/>
      <c r="S288" s="65" t="s">
        <v>6</v>
      </c>
      <c r="T288" s="70" t="s">
        <v>4</v>
      </c>
      <c r="U288" s="65" t="s">
        <v>14</v>
      </c>
      <c r="V288" s="65" t="s">
        <v>1917</v>
      </c>
      <c r="W288" s="65" t="s">
        <v>1919</v>
      </c>
      <c r="X288" s="65" t="s">
        <v>306</v>
      </c>
      <c r="Y288" s="65" t="s">
        <v>4</v>
      </c>
      <c r="Z288" s="65" t="s">
        <v>4</v>
      </c>
      <c r="AA288" s="65" t="s">
        <v>4</v>
      </c>
    </row>
    <row r="289" spans="1:27" ht="17.45" customHeight="1">
      <c r="A289" s="131" t="str">
        <f>IF(priority(Main[[#This Row],[Comments]])&lt;&gt;0, priority(Main[[#This Row],[Comments]]),"")</f>
        <v/>
      </c>
      <c r="B289" s="99" t="s">
        <v>1142</v>
      </c>
      <c r="C289" s="65" t="s">
        <v>93</v>
      </c>
      <c r="D289" s="66" t="s">
        <v>194</v>
      </c>
      <c r="E289" s="67"/>
      <c r="F289" s="67">
        <v>40203</v>
      </c>
      <c r="G289" s="64" t="str">
        <f>IF(stdProdLT(Main[[#This Row],[Comments]])=0.1,"N/A",IF(stdProdLT(Main[[#This Row],[Comments]])=0,"",stdProdLT(Main[[#This Row],[Comments]])))</f>
        <v/>
      </c>
      <c r="H289" s="68" t="str">
        <f>IF(AND(Main[[#This Row],[In Stock Date]]&lt;&gt;"",Main[[#This Row],[Revised Due Date]]&lt;&gt;""),Main[[#This Row],[In Stock Date]]-Main[[#This Row],[Revised Due Date]],"")</f>
        <v/>
      </c>
      <c r="I289" s="65" t="s">
        <v>4</v>
      </c>
      <c r="J289" s="65" t="s">
        <v>4</v>
      </c>
      <c r="K289" s="65" t="s">
        <v>4</v>
      </c>
      <c r="L289" s="67"/>
      <c r="M289" s="69" t="str">
        <f>IF(Main[[#This Row],[Tech Start Date]]&lt;1/1/1990,"",IF(Main[[#This Row],[Class]]="C",WORKDAY(Main[[#This Row],[Tech Start Date]],9),IF(Main[[#This Row],[Class]]="B", WORKDAY(Main[[#This Row],[Tech Start Date]],6),IF(Main[[#This Row],[Class]]="A",WORKDAY(Main[[#This Row],[Tech Start Date]],2),""))))</f>
        <v/>
      </c>
      <c r="N289" s="69" t="str">
        <f>IF(Main[[#This Row],[Tech Start Date]]&lt;1/1/1990,"",IF(Main[[#This Row],[Class]]="C",WORKDAY(Main[[#This Row],[Tech Start Date]],19),IF(Main[[#This Row],[Class]]="B", WORKDAY(Main[[#This Row],[Tech Start Date]],12),IF(Main[[#This Row],[Class]]="A",WORKDAY(Main[[#This Row],[Tech Start Date]],4),""))))</f>
        <v/>
      </c>
      <c r="O289" s="69" t="str">
        <f>IF(Main[[#This Row],[Tech Start Date]]&lt;1/1/1990,"",IF(Main[[#This Row],[Class]]="C",WORKDAY(Main[[#This Row],[Tech Start Date]],23),IF(Main[[#This Row],[Class]]="B", WORKDAY(Main[[#This Row],[Tech Start Date]],15),IF(Main[[#This Row],[Class]]="A",WORKDAY(Main[[#This Row],[Tech Start Date]],5),""))))</f>
        <v/>
      </c>
      <c r="P289" s="69" t="str">
        <f>IF(Main[[#This Row],[Tech Start Date]]&lt;1/1/1990,"",IF(Main[[#This Row],[Class]]="C",WORKDAY(Main[[#This Row],[Tech Start Date]],28),IF(Main[[#This Row],[Class]]="B", WORKDAY(Main[[#This Row],[Tech Start Date]],19),IF(Main[[#This Row],[Class]]="A",WORKDAY(Main[[#This Row],[Tech Start Date]],9),""))))</f>
        <v/>
      </c>
      <c r="Q289" s="67">
        <v>40046</v>
      </c>
      <c r="R289" s="67"/>
      <c r="S289" s="65" t="s">
        <v>11</v>
      </c>
      <c r="T289" s="70" t="s">
        <v>4</v>
      </c>
      <c r="U289" s="65" t="s">
        <v>14</v>
      </c>
      <c r="V289" s="65" t="s">
        <v>1917</v>
      </c>
      <c r="W289" s="65" t="s">
        <v>1923</v>
      </c>
      <c r="X289" s="65" t="s">
        <v>2859</v>
      </c>
      <c r="Y289" s="65" t="s">
        <v>2997</v>
      </c>
      <c r="Z289" s="65" t="s">
        <v>4</v>
      </c>
      <c r="AA289" s="65" t="s">
        <v>2859</v>
      </c>
    </row>
    <row r="290" spans="1:27" ht="17.45" customHeight="1">
      <c r="A290" s="131" t="str">
        <f>IF(priority(Main[[#This Row],[Comments]])&lt;&gt;0, priority(Main[[#This Row],[Comments]]),"")</f>
        <v/>
      </c>
      <c r="B290" s="99" t="s">
        <v>1143</v>
      </c>
      <c r="C290" s="65" t="s">
        <v>4</v>
      </c>
      <c r="D290" s="66" t="s">
        <v>195</v>
      </c>
      <c r="E290" s="67"/>
      <c r="F290" s="67"/>
      <c r="G290" s="64" t="str">
        <f>IF(stdProdLT(Main[[#This Row],[Comments]])=0.1,"N/A",IF(stdProdLT(Main[[#This Row],[Comments]])=0,"",stdProdLT(Main[[#This Row],[Comments]])))</f>
        <v/>
      </c>
      <c r="H290" s="68" t="str">
        <f>IF(AND(Main[[#This Row],[In Stock Date]]&lt;&gt;"",Main[[#This Row],[Revised Due Date]]&lt;&gt;""),Main[[#This Row],[In Stock Date]]-Main[[#This Row],[Revised Due Date]],"")</f>
        <v/>
      </c>
      <c r="I290" s="65" t="s">
        <v>4</v>
      </c>
      <c r="J290" s="65" t="s">
        <v>4</v>
      </c>
      <c r="K290" s="65" t="s">
        <v>4</v>
      </c>
      <c r="L290" s="67"/>
      <c r="M290" s="69" t="str">
        <f>IF(Main[[#This Row],[Tech Start Date]]&lt;1/1/1990,"",IF(Main[[#This Row],[Class]]="C",WORKDAY(Main[[#This Row],[Tech Start Date]],9),IF(Main[[#This Row],[Class]]="B", WORKDAY(Main[[#This Row],[Tech Start Date]],6),IF(Main[[#This Row],[Class]]="A",WORKDAY(Main[[#This Row],[Tech Start Date]],2),""))))</f>
        <v/>
      </c>
      <c r="N290" s="69" t="str">
        <f>IF(Main[[#This Row],[Tech Start Date]]&lt;1/1/1990,"",IF(Main[[#This Row],[Class]]="C",WORKDAY(Main[[#This Row],[Tech Start Date]],19),IF(Main[[#This Row],[Class]]="B", WORKDAY(Main[[#This Row],[Tech Start Date]],12),IF(Main[[#This Row],[Class]]="A",WORKDAY(Main[[#This Row],[Tech Start Date]],4),""))))</f>
        <v/>
      </c>
      <c r="O290" s="69" t="str">
        <f>IF(Main[[#This Row],[Tech Start Date]]&lt;1/1/1990,"",IF(Main[[#This Row],[Class]]="C",WORKDAY(Main[[#This Row],[Tech Start Date]],23),IF(Main[[#This Row],[Class]]="B", WORKDAY(Main[[#This Row],[Tech Start Date]],15),IF(Main[[#This Row],[Class]]="A",WORKDAY(Main[[#This Row],[Tech Start Date]],5),""))))</f>
        <v/>
      </c>
      <c r="P290" s="69" t="str">
        <f>IF(Main[[#This Row],[Tech Start Date]]&lt;1/1/1990,"",IF(Main[[#This Row],[Class]]="C",WORKDAY(Main[[#This Row],[Tech Start Date]],28),IF(Main[[#This Row],[Class]]="B", WORKDAY(Main[[#This Row],[Tech Start Date]],19),IF(Main[[#This Row],[Class]]="A",WORKDAY(Main[[#This Row],[Tech Start Date]],9),""))))</f>
        <v/>
      </c>
      <c r="Q290" s="67">
        <v>40543</v>
      </c>
      <c r="R290" s="67"/>
      <c r="S290" s="65" t="s">
        <v>11</v>
      </c>
      <c r="T290" s="70" t="s">
        <v>4</v>
      </c>
      <c r="U290" s="65" t="s">
        <v>14</v>
      </c>
      <c r="V290" s="65" t="s">
        <v>1917</v>
      </c>
      <c r="W290" s="65" t="s">
        <v>1928</v>
      </c>
      <c r="X290" s="65" t="s">
        <v>2867</v>
      </c>
      <c r="Y290" s="65" t="s">
        <v>3011</v>
      </c>
      <c r="Z290" s="65" t="s">
        <v>4</v>
      </c>
      <c r="AA290" s="65" t="s">
        <v>2867</v>
      </c>
    </row>
    <row r="291" spans="1:27" ht="17.45" customHeight="1">
      <c r="A291" s="131" t="str">
        <f>IF(priority(Main[[#This Row],[Comments]])&lt;&gt;0, priority(Main[[#This Row],[Comments]]),"")</f>
        <v/>
      </c>
      <c r="B291" s="99" t="s">
        <v>2574</v>
      </c>
      <c r="C291" s="65" t="s">
        <v>4</v>
      </c>
      <c r="D291" s="66" t="s">
        <v>2575</v>
      </c>
      <c r="E291" s="67">
        <v>40876.146770833337</v>
      </c>
      <c r="F291" s="67"/>
      <c r="G291" s="64" t="str">
        <f>IF(stdProdLT(Main[[#This Row],[Comments]])=0.1,"N/A",IF(stdProdLT(Main[[#This Row],[Comments]])=0,"",stdProdLT(Main[[#This Row],[Comments]])))</f>
        <v/>
      </c>
      <c r="H291" s="68" t="str">
        <f>IF(AND(Main[[#This Row],[In Stock Date]]&lt;&gt;"",Main[[#This Row],[Revised Due Date]]&lt;&gt;""),Main[[#This Row],[In Stock Date]]-Main[[#This Row],[Revised Due Date]],"")</f>
        <v/>
      </c>
      <c r="I291" s="65" t="s">
        <v>4</v>
      </c>
      <c r="J291" s="65" t="s">
        <v>4</v>
      </c>
      <c r="K291" s="65" t="s">
        <v>4</v>
      </c>
      <c r="L291" s="67"/>
      <c r="M291" s="69" t="str">
        <f>IF(Main[[#This Row],[Tech Start Date]]&lt;1/1/1990,"",IF(Main[[#This Row],[Class]]="C",WORKDAY(Main[[#This Row],[Tech Start Date]],9),IF(Main[[#This Row],[Class]]="B", WORKDAY(Main[[#This Row],[Tech Start Date]],6),IF(Main[[#This Row],[Class]]="A",WORKDAY(Main[[#This Row],[Tech Start Date]],2),""))))</f>
        <v/>
      </c>
      <c r="N291" s="69" t="str">
        <f>IF(Main[[#This Row],[Tech Start Date]]&lt;1/1/1990,"",IF(Main[[#This Row],[Class]]="C",WORKDAY(Main[[#This Row],[Tech Start Date]],19),IF(Main[[#This Row],[Class]]="B", WORKDAY(Main[[#This Row],[Tech Start Date]],12),IF(Main[[#This Row],[Class]]="A",WORKDAY(Main[[#This Row],[Tech Start Date]],4),""))))</f>
        <v/>
      </c>
      <c r="O291" s="69" t="str">
        <f>IF(Main[[#This Row],[Tech Start Date]]&lt;1/1/1990,"",IF(Main[[#This Row],[Class]]="C",WORKDAY(Main[[#This Row],[Tech Start Date]],23),IF(Main[[#This Row],[Class]]="B", WORKDAY(Main[[#This Row],[Tech Start Date]],15),IF(Main[[#This Row],[Class]]="A",WORKDAY(Main[[#This Row],[Tech Start Date]],5),""))))</f>
        <v/>
      </c>
      <c r="P291" s="69" t="str">
        <f>IF(Main[[#This Row],[Tech Start Date]]&lt;1/1/1990,"",IF(Main[[#This Row],[Class]]="C",WORKDAY(Main[[#This Row],[Tech Start Date]],28),IF(Main[[#This Row],[Class]]="B", WORKDAY(Main[[#This Row],[Tech Start Date]],19),IF(Main[[#This Row],[Class]]="A",WORKDAY(Main[[#This Row],[Tech Start Date]],9),""))))</f>
        <v/>
      </c>
      <c r="Q291" s="67">
        <v>40882</v>
      </c>
      <c r="R291" s="67"/>
      <c r="S291" s="65" t="s">
        <v>6</v>
      </c>
      <c r="T291" s="70" t="s">
        <v>4</v>
      </c>
      <c r="U291" s="65" t="s">
        <v>7</v>
      </c>
      <c r="V291" s="65" t="s">
        <v>1917</v>
      </c>
      <c r="W291" s="65" t="s">
        <v>4</v>
      </c>
      <c r="X291" s="65" t="s">
        <v>2828</v>
      </c>
      <c r="Y291" s="65" t="s">
        <v>2944</v>
      </c>
      <c r="Z291" s="65" t="s">
        <v>4</v>
      </c>
      <c r="AA291" s="65" t="s">
        <v>2828</v>
      </c>
    </row>
    <row r="292" spans="1:27" ht="17.45" customHeight="1">
      <c r="A292" s="131" t="str">
        <f>IF(priority(Main[[#This Row],[Comments]])&lt;&gt;0, priority(Main[[#This Row],[Comments]]),"")</f>
        <v/>
      </c>
      <c r="B292" s="99" t="s">
        <v>1144</v>
      </c>
      <c r="C292" s="65" t="s">
        <v>4</v>
      </c>
      <c r="D292" s="66" t="s">
        <v>196</v>
      </c>
      <c r="E292" s="67"/>
      <c r="F292" s="67"/>
      <c r="G292" s="64" t="str">
        <f>IF(stdProdLT(Main[[#This Row],[Comments]])=0.1,"N/A",IF(stdProdLT(Main[[#This Row],[Comments]])=0,"",stdProdLT(Main[[#This Row],[Comments]])))</f>
        <v/>
      </c>
      <c r="H292" s="68" t="str">
        <f>IF(AND(Main[[#This Row],[In Stock Date]]&lt;&gt;"",Main[[#This Row],[Revised Due Date]]&lt;&gt;""),Main[[#This Row],[In Stock Date]]-Main[[#This Row],[Revised Due Date]],"")</f>
        <v/>
      </c>
      <c r="I292" s="65" t="s">
        <v>4</v>
      </c>
      <c r="J292" s="65" t="s">
        <v>4</v>
      </c>
      <c r="K292" s="65" t="s">
        <v>4</v>
      </c>
      <c r="L292" s="67"/>
      <c r="M292" s="69" t="str">
        <f>IF(Main[[#This Row],[Tech Start Date]]&lt;1/1/1990,"",IF(Main[[#This Row],[Class]]="C",WORKDAY(Main[[#This Row],[Tech Start Date]],9),IF(Main[[#This Row],[Class]]="B", WORKDAY(Main[[#This Row],[Tech Start Date]],6),IF(Main[[#This Row],[Class]]="A",WORKDAY(Main[[#This Row],[Tech Start Date]],2),""))))</f>
        <v/>
      </c>
      <c r="N292" s="69" t="str">
        <f>IF(Main[[#This Row],[Tech Start Date]]&lt;1/1/1990,"",IF(Main[[#This Row],[Class]]="C",WORKDAY(Main[[#This Row],[Tech Start Date]],19),IF(Main[[#This Row],[Class]]="B", WORKDAY(Main[[#This Row],[Tech Start Date]],12),IF(Main[[#This Row],[Class]]="A",WORKDAY(Main[[#This Row],[Tech Start Date]],4),""))))</f>
        <v/>
      </c>
      <c r="O292" s="69" t="str">
        <f>IF(Main[[#This Row],[Tech Start Date]]&lt;1/1/1990,"",IF(Main[[#This Row],[Class]]="C",WORKDAY(Main[[#This Row],[Tech Start Date]],23),IF(Main[[#This Row],[Class]]="B", WORKDAY(Main[[#This Row],[Tech Start Date]],15),IF(Main[[#This Row],[Class]]="A",WORKDAY(Main[[#This Row],[Tech Start Date]],5),""))))</f>
        <v/>
      </c>
      <c r="P292" s="69" t="str">
        <f>IF(Main[[#This Row],[Tech Start Date]]&lt;1/1/1990,"",IF(Main[[#This Row],[Class]]="C",WORKDAY(Main[[#This Row],[Tech Start Date]],28),IF(Main[[#This Row],[Class]]="B", WORKDAY(Main[[#This Row],[Tech Start Date]],19),IF(Main[[#This Row],[Class]]="A",WORKDAY(Main[[#This Row],[Tech Start Date]],9),""))))</f>
        <v/>
      </c>
      <c r="Q292" s="67"/>
      <c r="R292" s="67"/>
      <c r="S292" s="65" t="s">
        <v>17</v>
      </c>
      <c r="T292" s="70" t="s">
        <v>4</v>
      </c>
      <c r="U292" s="65" t="s">
        <v>14</v>
      </c>
      <c r="V292" s="65" t="s">
        <v>1920</v>
      </c>
      <c r="W292" s="65" t="s">
        <v>1922</v>
      </c>
      <c r="X292" s="65" t="s">
        <v>554</v>
      </c>
      <c r="Y292" s="65" t="s">
        <v>2958</v>
      </c>
      <c r="Z292" s="65" t="s">
        <v>4</v>
      </c>
      <c r="AA292" s="65" t="s">
        <v>554</v>
      </c>
    </row>
    <row r="293" spans="1:27" ht="17.45" customHeight="1">
      <c r="A293" s="131" t="str">
        <f>IF(priority(Main[[#This Row],[Comments]])&lt;&gt;0, priority(Main[[#This Row],[Comments]]),"")</f>
        <v/>
      </c>
      <c r="B293" s="99" t="s">
        <v>1145</v>
      </c>
      <c r="C293" s="65" t="s">
        <v>197</v>
      </c>
      <c r="D293" s="66" t="s">
        <v>198</v>
      </c>
      <c r="E293" s="67"/>
      <c r="F293" s="67"/>
      <c r="G293" s="64" t="str">
        <f>IF(stdProdLT(Main[[#This Row],[Comments]])=0.1,"N/A",IF(stdProdLT(Main[[#This Row],[Comments]])=0,"",stdProdLT(Main[[#This Row],[Comments]])))</f>
        <v/>
      </c>
      <c r="H293" s="68" t="str">
        <f>IF(AND(Main[[#This Row],[In Stock Date]]&lt;&gt;"",Main[[#This Row],[Revised Due Date]]&lt;&gt;""),Main[[#This Row],[In Stock Date]]-Main[[#This Row],[Revised Due Date]],"")</f>
        <v/>
      </c>
      <c r="I293" s="65" t="s">
        <v>4</v>
      </c>
      <c r="J293" s="65" t="s">
        <v>4</v>
      </c>
      <c r="K293" s="65" t="s">
        <v>4</v>
      </c>
      <c r="L293" s="67"/>
      <c r="M293" s="69" t="str">
        <f>IF(Main[[#This Row],[Tech Start Date]]&lt;1/1/1990,"",IF(Main[[#This Row],[Class]]="C",WORKDAY(Main[[#This Row],[Tech Start Date]],9),IF(Main[[#This Row],[Class]]="B", WORKDAY(Main[[#This Row],[Tech Start Date]],6),IF(Main[[#This Row],[Class]]="A",WORKDAY(Main[[#This Row],[Tech Start Date]],2),""))))</f>
        <v/>
      </c>
      <c r="N293" s="69" t="str">
        <f>IF(Main[[#This Row],[Tech Start Date]]&lt;1/1/1990,"",IF(Main[[#This Row],[Class]]="C",WORKDAY(Main[[#This Row],[Tech Start Date]],19),IF(Main[[#This Row],[Class]]="B", WORKDAY(Main[[#This Row],[Tech Start Date]],12),IF(Main[[#This Row],[Class]]="A",WORKDAY(Main[[#This Row],[Tech Start Date]],4),""))))</f>
        <v/>
      </c>
      <c r="O293" s="69" t="str">
        <f>IF(Main[[#This Row],[Tech Start Date]]&lt;1/1/1990,"",IF(Main[[#This Row],[Class]]="C",WORKDAY(Main[[#This Row],[Tech Start Date]],23),IF(Main[[#This Row],[Class]]="B", WORKDAY(Main[[#This Row],[Tech Start Date]],15),IF(Main[[#This Row],[Class]]="A",WORKDAY(Main[[#This Row],[Tech Start Date]],5),""))))</f>
        <v/>
      </c>
      <c r="P293" s="69" t="str">
        <f>IF(Main[[#This Row],[Tech Start Date]]&lt;1/1/1990,"",IF(Main[[#This Row],[Class]]="C",WORKDAY(Main[[#This Row],[Tech Start Date]],28),IF(Main[[#This Row],[Class]]="B", WORKDAY(Main[[#This Row],[Tech Start Date]],19),IF(Main[[#This Row],[Class]]="A",WORKDAY(Main[[#This Row],[Tech Start Date]],9),""))))</f>
        <v/>
      </c>
      <c r="Q293" s="67">
        <v>40165</v>
      </c>
      <c r="R293" s="67"/>
      <c r="S293" s="65" t="s">
        <v>11</v>
      </c>
      <c r="T293" s="70" t="s">
        <v>4</v>
      </c>
      <c r="U293" s="65" t="s">
        <v>14</v>
      </c>
      <c r="V293" s="65" t="s">
        <v>1927</v>
      </c>
      <c r="W293" s="65" t="s">
        <v>1923</v>
      </c>
      <c r="X293" s="65" t="s">
        <v>885</v>
      </c>
      <c r="Y293" s="65" t="s">
        <v>2969</v>
      </c>
      <c r="Z293" s="65" t="s">
        <v>4</v>
      </c>
      <c r="AA293" s="65" t="s">
        <v>885</v>
      </c>
    </row>
    <row r="294" spans="1:27" ht="17.45" customHeight="1">
      <c r="A294" s="131" t="str">
        <f>IF(priority(Main[[#This Row],[Comments]])&lt;&gt;0, priority(Main[[#This Row],[Comments]]),"")</f>
        <v/>
      </c>
      <c r="B294" s="99" t="s">
        <v>1721</v>
      </c>
      <c r="C294" s="65" t="s">
        <v>4</v>
      </c>
      <c r="D294" s="66" t="s">
        <v>774</v>
      </c>
      <c r="E294" s="67"/>
      <c r="F294" s="67"/>
      <c r="G294" s="64" t="str">
        <f>IF(stdProdLT(Main[[#This Row],[Comments]])=0.1,"N/A",IF(stdProdLT(Main[[#This Row],[Comments]])=0,"",stdProdLT(Main[[#This Row],[Comments]])))</f>
        <v/>
      </c>
      <c r="H294" s="68" t="str">
        <f>IF(AND(Main[[#This Row],[In Stock Date]]&lt;&gt;"",Main[[#This Row],[Revised Due Date]]&lt;&gt;""),Main[[#This Row],[In Stock Date]]-Main[[#This Row],[Revised Due Date]],"")</f>
        <v/>
      </c>
      <c r="I294" s="65" t="s">
        <v>4</v>
      </c>
      <c r="J294" s="65" t="s">
        <v>28</v>
      </c>
      <c r="K294" s="65" t="s">
        <v>1929</v>
      </c>
      <c r="L294" s="67"/>
      <c r="M294" s="69" t="str">
        <f>IF(Main[[#This Row],[Tech Start Date]]&lt;1/1/1990,"",IF(Main[[#This Row],[Class]]="C",WORKDAY(Main[[#This Row],[Tech Start Date]],9),IF(Main[[#This Row],[Class]]="B", WORKDAY(Main[[#This Row],[Tech Start Date]],6),IF(Main[[#This Row],[Class]]="A",WORKDAY(Main[[#This Row],[Tech Start Date]],2),""))))</f>
        <v/>
      </c>
      <c r="N294" s="69" t="str">
        <f>IF(Main[[#This Row],[Tech Start Date]]&lt;1/1/1990,"",IF(Main[[#This Row],[Class]]="C",WORKDAY(Main[[#This Row],[Tech Start Date]],19),IF(Main[[#This Row],[Class]]="B", WORKDAY(Main[[#This Row],[Tech Start Date]],12),IF(Main[[#This Row],[Class]]="A",WORKDAY(Main[[#This Row],[Tech Start Date]],4),""))))</f>
        <v/>
      </c>
      <c r="O294" s="69" t="str">
        <f>IF(Main[[#This Row],[Tech Start Date]]&lt;1/1/1990,"",IF(Main[[#This Row],[Class]]="C",WORKDAY(Main[[#This Row],[Tech Start Date]],23),IF(Main[[#This Row],[Class]]="B", WORKDAY(Main[[#This Row],[Tech Start Date]],15),IF(Main[[#This Row],[Class]]="A",WORKDAY(Main[[#This Row],[Tech Start Date]],5),""))))</f>
        <v/>
      </c>
      <c r="P294" s="69" t="str">
        <f>IF(Main[[#This Row],[Tech Start Date]]&lt;1/1/1990,"",IF(Main[[#This Row],[Class]]="C",WORKDAY(Main[[#This Row],[Tech Start Date]],28),IF(Main[[#This Row],[Class]]="B", WORKDAY(Main[[#This Row],[Tech Start Date]],19),IF(Main[[#This Row],[Class]]="A",WORKDAY(Main[[#This Row],[Tech Start Date]],9),""))))</f>
        <v/>
      </c>
      <c r="Q294" s="67">
        <v>40633</v>
      </c>
      <c r="R294" s="67"/>
      <c r="S294" s="65" t="s">
        <v>17</v>
      </c>
      <c r="T294" s="70" t="s">
        <v>4</v>
      </c>
      <c r="U294" s="65" t="s">
        <v>14</v>
      </c>
      <c r="V294" s="65" t="s">
        <v>1917</v>
      </c>
      <c r="W294" s="65" t="s">
        <v>1922</v>
      </c>
      <c r="X294" s="65" t="s">
        <v>129</v>
      </c>
      <c r="Y294" s="65" t="s">
        <v>2939</v>
      </c>
      <c r="Z294" s="65" t="s">
        <v>129</v>
      </c>
      <c r="AA294" s="65" t="s">
        <v>129</v>
      </c>
    </row>
    <row r="295" spans="1:27" ht="17.45" customHeight="1">
      <c r="A295" s="131" t="str">
        <f>IF(priority(Main[[#This Row],[Comments]])&lt;&gt;0, priority(Main[[#This Row],[Comments]]),"")</f>
        <v/>
      </c>
      <c r="B295" s="99" t="s">
        <v>1147</v>
      </c>
      <c r="C295" s="65" t="s">
        <v>93</v>
      </c>
      <c r="D295" s="66" t="s">
        <v>200</v>
      </c>
      <c r="E295" s="67"/>
      <c r="F295" s="67"/>
      <c r="G295" s="64" t="str">
        <f>IF(stdProdLT(Main[[#This Row],[Comments]])=0.1,"N/A",IF(stdProdLT(Main[[#This Row],[Comments]])=0,"",stdProdLT(Main[[#This Row],[Comments]])))</f>
        <v/>
      </c>
      <c r="H295" s="68" t="str">
        <f>IF(AND(Main[[#This Row],[In Stock Date]]&lt;&gt;"",Main[[#This Row],[Revised Due Date]]&lt;&gt;""),Main[[#This Row],[In Stock Date]]-Main[[#This Row],[Revised Due Date]],"")</f>
        <v/>
      </c>
      <c r="I295" s="65" t="s">
        <v>4</v>
      </c>
      <c r="J295" s="65" t="s">
        <v>4</v>
      </c>
      <c r="K295" s="65" t="s">
        <v>4</v>
      </c>
      <c r="L295" s="67"/>
      <c r="M295" s="69" t="str">
        <f>IF(Main[[#This Row],[Tech Start Date]]&lt;1/1/1990,"",IF(Main[[#This Row],[Class]]="C",WORKDAY(Main[[#This Row],[Tech Start Date]],9),IF(Main[[#This Row],[Class]]="B", WORKDAY(Main[[#This Row],[Tech Start Date]],6),IF(Main[[#This Row],[Class]]="A",WORKDAY(Main[[#This Row],[Tech Start Date]],2),""))))</f>
        <v/>
      </c>
      <c r="N295" s="69" t="str">
        <f>IF(Main[[#This Row],[Tech Start Date]]&lt;1/1/1990,"",IF(Main[[#This Row],[Class]]="C",WORKDAY(Main[[#This Row],[Tech Start Date]],19),IF(Main[[#This Row],[Class]]="B", WORKDAY(Main[[#This Row],[Tech Start Date]],12),IF(Main[[#This Row],[Class]]="A",WORKDAY(Main[[#This Row],[Tech Start Date]],4),""))))</f>
        <v/>
      </c>
      <c r="O295" s="69" t="str">
        <f>IF(Main[[#This Row],[Tech Start Date]]&lt;1/1/1990,"",IF(Main[[#This Row],[Class]]="C",WORKDAY(Main[[#This Row],[Tech Start Date]],23),IF(Main[[#This Row],[Class]]="B", WORKDAY(Main[[#This Row],[Tech Start Date]],15),IF(Main[[#This Row],[Class]]="A",WORKDAY(Main[[#This Row],[Tech Start Date]],5),""))))</f>
        <v/>
      </c>
      <c r="P295" s="69" t="str">
        <f>IF(Main[[#This Row],[Tech Start Date]]&lt;1/1/1990,"",IF(Main[[#This Row],[Class]]="C",WORKDAY(Main[[#This Row],[Tech Start Date]],28),IF(Main[[#This Row],[Class]]="B", WORKDAY(Main[[#This Row],[Tech Start Date]],19),IF(Main[[#This Row],[Class]]="A",WORKDAY(Main[[#This Row],[Tech Start Date]],9),""))))</f>
        <v/>
      </c>
      <c r="Q295" s="67"/>
      <c r="R295" s="67"/>
      <c r="S295" s="65" t="s">
        <v>11</v>
      </c>
      <c r="T295" s="70" t="s">
        <v>4</v>
      </c>
      <c r="U295" s="65" t="s">
        <v>14</v>
      </c>
      <c r="V295" s="65" t="s">
        <v>1927</v>
      </c>
      <c r="W295" s="65" t="s">
        <v>1923</v>
      </c>
      <c r="X295" s="65" t="s">
        <v>306</v>
      </c>
      <c r="Y295" s="65" t="s">
        <v>2947</v>
      </c>
      <c r="Z295" s="65" t="s">
        <v>4</v>
      </c>
      <c r="AA295" s="65" t="s">
        <v>3388</v>
      </c>
    </row>
    <row r="296" spans="1:27" ht="17.45" customHeight="1">
      <c r="A296" s="131" t="str">
        <f>IF(priority(Main[[#This Row],[Comments]])&lt;&gt;0, priority(Main[[#This Row],[Comments]]),"")</f>
        <v/>
      </c>
      <c r="B296" s="99" t="s">
        <v>1148</v>
      </c>
      <c r="C296" s="65" t="s">
        <v>42</v>
      </c>
      <c r="D296" s="66" t="s">
        <v>201</v>
      </c>
      <c r="E296" s="67">
        <v>39952.329340277778</v>
      </c>
      <c r="F296" s="67"/>
      <c r="G296" s="64" t="str">
        <f>IF(stdProdLT(Main[[#This Row],[Comments]])=0.1,"N/A",IF(stdProdLT(Main[[#This Row],[Comments]])=0,"",stdProdLT(Main[[#This Row],[Comments]])))</f>
        <v/>
      </c>
      <c r="H296" s="68" t="str">
        <f>IF(AND(Main[[#This Row],[In Stock Date]]&lt;&gt;"",Main[[#This Row],[Revised Due Date]]&lt;&gt;""),Main[[#This Row],[In Stock Date]]-Main[[#This Row],[Revised Due Date]],"")</f>
        <v/>
      </c>
      <c r="I296" s="65" t="s">
        <v>4</v>
      </c>
      <c r="J296" s="65" t="s">
        <v>4</v>
      </c>
      <c r="K296" s="65" t="s">
        <v>4</v>
      </c>
      <c r="L296" s="67"/>
      <c r="M296" s="69" t="str">
        <f>IF(Main[[#This Row],[Tech Start Date]]&lt;1/1/1990,"",IF(Main[[#This Row],[Class]]="C",WORKDAY(Main[[#This Row],[Tech Start Date]],9),IF(Main[[#This Row],[Class]]="B", WORKDAY(Main[[#This Row],[Tech Start Date]],6),IF(Main[[#This Row],[Class]]="A",WORKDAY(Main[[#This Row],[Tech Start Date]],2),""))))</f>
        <v/>
      </c>
      <c r="N296" s="69" t="str">
        <f>IF(Main[[#This Row],[Tech Start Date]]&lt;1/1/1990,"",IF(Main[[#This Row],[Class]]="C",WORKDAY(Main[[#This Row],[Tech Start Date]],19),IF(Main[[#This Row],[Class]]="B", WORKDAY(Main[[#This Row],[Tech Start Date]],12),IF(Main[[#This Row],[Class]]="A",WORKDAY(Main[[#This Row],[Tech Start Date]],4),""))))</f>
        <v/>
      </c>
      <c r="O296" s="69" t="str">
        <f>IF(Main[[#This Row],[Tech Start Date]]&lt;1/1/1990,"",IF(Main[[#This Row],[Class]]="C",WORKDAY(Main[[#This Row],[Tech Start Date]],23),IF(Main[[#This Row],[Class]]="B", WORKDAY(Main[[#This Row],[Tech Start Date]],15),IF(Main[[#This Row],[Class]]="A",WORKDAY(Main[[#This Row],[Tech Start Date]],5),""))))</f>
        <v/>
      </c>
      <c r="P296" s="69" t="str">
        <f>IF(Main[[#This Row],[Tech Start Date]]&lt;1/1/1990,"",IF(Main[[#This Row],[Class]]="C",WORKDAY(Main[[#This Row],[Tech Start Date]],28),IF(Main[[#This Row],[Class]]="B", WORKDAY(Main[[#This Row],[Tech Start Date]],19),IF(Main[[#This Row],[Class]]="A",WORKDAY(Main[[#This Row],[Tech Start Date]],9),""))))</f>
        <v/>
      </c>
      <c r="Q296" s="67"/>
      <c r="R296" s="67"/>
      <c r="S296" s="65" t="s">
        <v>17</v>
      </c>
      <c r="T296" s="70" t="s">
        <v>4</v>
      </c>
      <c r="U296" s="65" t="s">
        <v>7</v>
      </c>
      <c r="V296" s="65" t="s">
        <v>1920</v>
      </c>
      <c r="W296" s="65" t="s">
        <v>4</v>
      </c>
      <c r="X296" s="65" t="s">
        <v>399</v>
      </c>
      <c r="Y296" s="65" t="s">
        <v>4</v>
      </c>
      <c r="Z296" s="65" t="s">
        <v>4</v>
      </c>
      <c r="AA296" s="65" t="s">
        <v>3410</v>
      </c>
    </row>
    <row r="297" spans="1:27" ht="17.45" customHeight="1">
      <c r="A297" s="131" t="str">
        <f>IF(priority(Main[[#This Row],[Comments]])&lt;&gt;0, priority(Main[[#This Row],[Comments]]),"")</f>
        <v/>
      </c>
      <c r="B297" s="99" t="s">
        <v>1149</v>
      </c>
      <c r="C297" s="65" t="s">
        <v>58</v>
      </c>
      <c r="D297" s="66" t="s">
        <v>202</v>
      </c>
      <c r="E297" s="67"/>
      <c r="F297" s="67">
        <v>40697</v>
      </c>
      <c r="G297" s="64" t="str">
        <f>IF(stdProdLT(Main[[#This Row],[Comments]])=0.1,"N/A",IF(stdProdLT(Main[[#This Row],[Comments]])=0,"",stdProdLT(Main[[#This Row],[Comments]])))</f>
        <v/>
      </c>
      <c r="H297" s="68" t="str">
        <f>IF(AND(Main[[#This Row],[In Stock Date]]&lt;&gt;"",Main[[#This Row],[Revised Due Date]]&lt;&gt;""),Main[[#This Row],[In Stock Date]]-Main[[#This Row],[Revised Due Date]],"")</f>
        <v/>
      </c>
      <c r="I297" s="65" t="s">
        <v>4</v>
      </c>
      <c r="J297" s="65" t="s">
        <v>4</v>
      </c>
      <c r="K297" s="65" t="s">
        <v>4</v>
      </c>
      <c r="L297" s="67"/>
      <c r="M297" s="69" t="str">
        <f>IF(Main[[#This Row],[Tech Start Date]]&lt;1/1/1990,"",IF(Main[[#This Row],[Class]]="C",WORKDAY(Main[[#This Row],[Tech Start Date]],9),IF(Main[[#This Row],[Class]]="B", WORKDAY(Main[[#This Row],[Tech Start Date]],6),IF(Main[[#This Row],[Class]]="A",WORKDAY(Main[[#This Row],[Tech Start Date]],2),""))))</f>
        <v/>
      </c>
      <c r="N297" s="69" t="str">
        <f>IF(Main[[#This Row],[Tech Start Date]]&lt;1/1/1990,"",IF(Main[[#This Row],[Class]]="C",WORKDAY(Main[[#This Row],[Tech Start Date]],19),IF(Main[[#This Row],[Class]]="B", WORKDAY(Main[[#This Row],[Tech Start Date]],12),IF(Main[[#This Row],[Class]]="A",WORKDAY(Main[[#This Row],[Tech Start Date]],4),""))))</f>
        <v/>
      </c>
      <c r="O297" s="69" t="str">
        <f>IF(Main[[#This Row],[Tech Start Date]]&lt;1/1/1990,"",IF(Main[[#This Row],[Class]]="C",WORKDAY(Main[[#This Row],[Tech Start Date]],23),IF(Main[[#This Row],[Class]]="B", WORKDAY(Main[[#This Row],[Tech Start Date]],15),IF(Main[[#This Row],[Class]]="A",WORKDAY(Main[[#This Row],[Tech Start Date]],5),""))))</f>
        <v/>
      </c>
      <c r="P297" s="69" t="str">
        <f>IF(Main[[#This Row],[Tech Start Date]]&lt;1/1/1990,"",IF(Main[[#This Row],[Class]]="C",WORKDAY(Main[[#This Row],[Tech Start Date]],28),IF(Main[[#This Row],[Class]]="B", WORKDAY(Main[[#This Row],[Tech Start Date]],19),IF(Main[[#This Row],[Class]]="A",WORKDAY(Main[[#This Row],[Tech Start Date]],9),""))))</f>
        <v/>
      </c>
      <c r="Q297" s="67">
        <v>40539</v>
      </c>
      <c r="R297" s="67"/>
      <c r="S297" s="65" t="s">
        <v>11</v>
      </c>
      <c r="T297" s="70" t="s">
        <v>4</v>
      </c>
      <c r="U297" s="65" t="s">
        <v>14</v>
      </c>
      <c r="V297" s="65" t="s">
        <v>1917</v>
      </c>
      <c r="W297" s="65" t="s">
        <v>1923</v>
      </c>
      <c r="X297" s="65" t="s">
        <v>2835</v>
      </c>
      <c r="Y297" s="65" t="s">
        <v>2957</v>
      </c>
      <c r="Z297" s="65" t="s">
        <v>4</v>
      </c>
      <c r="AA297" s="65" t="s">
        <v>2835</v>
      </c>
    </row>
    <row r="298" spans="1:27" ht="17.45" customHeight="1">
      <c r="A298" s="131" t="str">
        <f>IF(priority(Main[[#This Row],[Comments]])&lt;&gt;0, priority(Main[[#This Row],[Comments]]),"")</f>
        <v/>
      </c>
      <c r="B298" s="99" t="s">
        <v>1150</v>
      </c>
      <c r="C298" s="65" t="s">
        <v>203</v>
      </c>
      <c r="D298" s="66" t="s">
        <v>204</v>
      </c>
      <c r="E298" s="67"/>
      <c r="F298" s="67"/>
      <c r="G298" s="64" t="str">
        <f>IF(stdProdLT(Main[[#This Row],[Comments]])=0.1,"N/A",IF(stdProdLT(Main[[#This Row],[Comments]])=0,"",stdProdLT(Main[[#This Row],[Comments]])))</f>
        <v/>
      </c>
      <c r="H298" s="68" t="str">
        <f>IF(AND(Main[[#This Row],[In Stock Date]]&lt;&gt;"",Main[[#This Row],[Revised Due Date]]&lt;&gt;""),Main[[#This Row],[In Stock Date]]-Main[[#This Row],[Revised Due Date]],"")</f>
        <v/>
      </c>
      <c r="I298" s="65" t="s">
        <v>4</v>
      </c>
      <c r="J298" s="65" t="s">
        <v>4</v>
      </c>
      <c r="K298" s="71" t="s">
        <v>4</v>
      </c>
      <c r="L298" s="67"/>
      <c r="M298" s="69" t="str">
        <f>IF(Main[[#This Row],[Tech Start Date]]&lt;1/1/1990,"",IF(Main[[#This Row],[Class]]="C",WORKDAY(Main[[#This Row],[Tech Start Date]],9),IF(Main[[#This Row],[Class]]="B", WORKDAY(Main[[#This Row],[Tech Start Date]],6),IF(Main[[#This Row],[Class]]="A",WORKDAY(Main[[#This Row],[Tech Start Date]],2),""))))</f>
        <v/>
      </c>
      <c r="N298" s="69" t="str">
        <f>IF(Main[[#This Row],[Tech Start Date]]&lt;1/1/1990,"",IF(Main[[#This Row],[Class]]="C",WORKDAY(Main[[#This Row],[Tech Start Date]],19),IF(Main[[#This Row],[Class]]="B", WORKDAY(Main[[#This Row],[Tech Start Date]],12),IF(Main[[#This Row],[Class]]="A",WORKDAY(Main[[#This Row],[Tech Start Date]],4),""))))</f>
        <v/>
      </c>
      <c r="O298" s="69" t="str">
        <f>IF(Main[[#This Row],[Tech Start Date]]&lt;1/1/1990,"",IF(Main[[#This Row],[Class]]="C",WORKDAY(Main[[#This Row],[Tech Start Date]],23),IF(Main[[#This Row],[Class]]="B", WORKDAY(Main[[#This Row],[Tech Start Date]],15),IF(Main[[#This Row],[Class]]="A",WORKDAY(Main[[#This Row],[Tech Start Date]],5),""))))</f>
        <v/>
      </c>
      <c r="P298" s="69" t="str">
        <f>IF(Main[[#This Row],[Tech Start Date]]&lt;1/1/1990,"",IF(Main[[#This Row],[Class]]="C",WORKDAY(Main[[#This Row],[Tech Start Date]],28),IF(Main[[#This Row],[Class]]="B", WORKDAY(Main[[#This Row],[Tech Start Date]],19),IF(Main[[#This Row],[Class]]="A",WORKDAY(Main[[#This Row],[Tech Start Date]],9),""))))</f>
        <v/>
      </c>
      <c r="Q298" s="67">
        <v>40302</v>
      </c>
      <c r="R298" s="67"/>
      <c r="S298" s="65" t="s">
        <v>11</v>
      </c>
      <c r="T298" s="70" t="s">
        <v>4</v>
      </c>
      <c r="U298" s="65" t="s">
        <v>14</v>
      </c>
      <c r="V298" s="65" t="s">
        <v>1917</v>
      </c>
      <c r="W298" s="65" t="s">
        <v>1919</v>
      </c>
      <c r="X298" s="65" t="s">
        <v>2860</v>
      </c>
      <c r="Y298" s="65" t="s">
        <v>4</v>
      </c>
      <c r="Z298" s="65" t="s">
        <v>4</v>
      </c>
      <c r="AA298" s="65" t="s">
        <v>2860</v>
      </c>
    </row>
    <row r="299" spans="1:27" ht="17.45" customHeight="1">
      <c r="A299" s="131" t="str">
        <f>IF(priority(Main[[#This Row],[Comments]])&lt;&gt;0, priority(Main[[#This Row],[Comments]]),"")</f>
        <v/>
      </c>
      <c r="B299" s="99" t="s">
        <v>2426</v>
      </c>
      <c r="C299" s="65" t="s">
        <v>4</v>
      </c>
      <c r="D299" s="66" t="s">
        <v>2665</v>
      </c>
      <c r="E299" s="67">
        <v>40842.390289351853</v>
      </c>
      <c r="F299" s="67"/>
      <c r="G299" s="64" t="str">
        <f>IF(stdProdLT(Main[[#This Row],[Comments]])=0.1,"N/A",IF(stdProdLT(Main[[#This Row],[Comments]])=0,"",stdProdLT(Main[[#This Row],[Comments]])))</f>
        <v/>
      </c>
      <c r="H299" s="68" t="str">
        <f>IF(AND(Main[[#This Row],[In Stock Date]]&lt;&gt;"",Main[[#This Row],[Revised Due Date]]&lt;&gt;""),Main[[#This Row],[In Stock Date]]-Main[[#This Row],[Revised Due Date]],"")</f>
        <v/>
      </c>
      <c r="I299" s="65" t="s">
        <v>4</v>
      </c>
      <c r="J299" s="65" t="s">
        <v>4</v>
      </c>
      <c r="K299" s="65" t="s">
        <v>4</v>
      </c>
      <c r="L299" s="67"/>
      <c r="M299" s="69" t="str">
        <f>IF(Main[[#This Row],[Tech Start Date]]&lt;1/1/1990,"",IF(Main[[#This Row],[Class]]="C",WORKDAY(Main[[#This Row],[Tech Start Date]],9),IF(Main[[#This Row],[Class]]="B", WORKDAY(Main[[#This Row],[Tech Start Date]],6),IF(Main[[#This Row],[Class]]="A",WORKDAY(Main[[#This Row],[Tech Start Date]],2),""))))</f>
        <v/>
      </c>
      <c r="N299" s="69" t="str">
        <f>IF(Main[[#This Row],[Tech Start Date]]&lt;1/1/1990,"",IF(Main[[#This Row],[Class]]="C",WORKDAY(Main[[#This Row],[Tech Start Date]],19),IF(Main[[#This Row],[Class]]="B", WORKDAY(Main[[#This Row],[Tech Start Date]],12),IF(Main[[#This Row],[Class]]="A",WORKDAY(Main[[#This Row],[Tech Start Date]],4),""))))</f>
        <v/>
      </c>
      <c r="O299" s="69" t="str">
        <f>IF(Main[[#This Row],[Tech Start Date]]&lt;1/1/1990,"",IF(Main[[#This Row],[Class]]="C",WORKDAY(Main[[#This Row],[Tech Start Date]],23),IF(Main[[#This Row],[Class]]="B", WORKDAY(Main[[#This Row],[Tech Start Date]],15),IF(Main[[#This Row],[Class]]="A",WORKDAY(Main[[#This Row],[Tech Start Date]],5),""))))</f>
        <v/>
      </c>
      <c r="P299" s="69" t="str">
        <f>IF(Main[[#This Row],[Tech Start Date]]&lt;1/1/1990,"",IF(Main[[#This Row],[Class]]="C",WORKDAY(Main[[#This Row],[Tech Start Date]],28),IF(Main[[#This Row],[Class]]="B", WORKDAY(Main[[#This Row],[Tech Start Date]],19),IF(Main[[#This Row],[Class]]="A",WORKDAY(Main[[#This Row],[Tech Start Date]],9),""))))</f>
        <v/>
      </c>
      <c r="Q299" s="67"/>
      <c r="R299" s="67"/>
      <c r="S299" s="65" t="s">
        <v>17</v>
      </c>
      <c r="T299" s="70" t="s">
        <v>4</v>
      </c>
      <c r="U299" s="65" t="s">
        <v>29</v>
      </c>
      <c r="V299" s="65" t="s">
        <v>1918</v>
      </c>
      <c r="W299" s="65" t="s">
        <v>1925</v>
      </c>
      <c r="X299" s="65" t="s">
        <v>2868</v>
      </c>
      <c r="Y299" s="65" t="s">
        <v>3012</v>
      </c>
      <c r="Z299" s="65" t="s">
        <v>4</v>
      </c>
      <c r="AA299" s="65" t="s">
        <v>2868</v>
      </c>
    </row>
    <row r="300" spans="1:27" ht="17.45" customHeight="1">
      <c r="A300" s="131" t="str">
        <f>IF(priority(Main[[#This Row],[Comments]])&lt;&gt;0, priority(Main[[#This Row],[Comments]]),"")</f>
        <v/>
      </c>
      <c r="B300" s="99" t="s">
        <v>1151</v>
      </c>
      <c r="C300" s="65" t="s">
        <v>205</v>
      </c>
      <c r="D300" s="66" t="s">
        <v>206</v>
      </c>
      <c r="E300" s="67"/>
      <c r="F300" s="67"/>
      <c r="G300" s="64" t="str">
        <f>IF(stdProdLT(Main[[#This Row],[Comments]])=0.1,"N/A",IF(stdProdLT(Main[[#This Row],[Comments]])=0,"",stdProdLT(Main[[#This Row],[Comments]])))</f>
        <v/>
      </c>
      <c r="H300" s="68" t="str">
        <f>IF(AND(Main[[#This Row],[In Stock Date]]&lt;&gt;"",Main[[#This Row],[Revised Due Date]]&lt;&gt;""),Main[[#This Row],[In Stock Date]]-Main[[#This Row],[Revised Due Date]],"")</f>
        <v/>
      </c>
      <c r="I300" s="65" t="s">
        <v>4</v>
      </c>
      <c r="J300" s="65" t="s">
        <v>4</v>
      </c>
      <c r="K300" s="65" t="s">
        <v>4</v>
      </c>
      <c r="L300" s="67"/>
      <c r="M300" s="69" t="str">
        <f>IF(Main[[#This Row],[Tech Start Date]]&lt;1/1/1990,"",IF(Main[[#This Row],[Class]]="C",WORKDAY(Main[[#This Row],[Tech Start Date]],9),IF(Main[[#This Row],[Class]]="B", WORKDAY(Main[[#This Row],[Tech Start Date]],6),IF(Main[[#This Row],[Class]]="A",WORKDAY(Main[[#This Row],[Tech Start Date]],2),""))))</f>
        <v/>
      </c>
      <c r="N300" s="69" t="str">
        <f>IF(Main[[#This Row],[Tech Start Date]]&lt;1/1/1990,"",IF(Main[[#This Row],[Class]]="C",WORKDAY(Main[[#This Row],[Tech Start Date]],19),IF(Main[[#This Row],[Class]]="B", WORKDAY(Main[[#This Row],[Tech Start Date]],12),IF(Main[[#This Row],[Class]]="A",WORKDAY(Main[[#This Row],[Tech Start Date]],4),""))))</f>
        <v/>
      </c>
      <c r="O300" s="69" t="str">
        <f>IF(Main[[#This Row],[Tech Start Date]]&lt;1/1/1990,"",IF(Main[[#This Row],[Class]]="C",WORKDAY(Main[[#This Row],[Tech Start Date]],23),IF(Main[[#This Row],[Class]]="B", WORKDAY(Main[[#This Row],[Tech Start Date]],15),IF(Main[[#This Row],[Class]]="A",WORKDAY(Main[[#This Row],[Tech Start Date]],5),""))))</f>
        <v/>
      </c>
      <c r="P300" s="69" t="str">
        <f>IF(Main[[#This Row],[Tech Start Date]]&lt;1/1/1990,"",IF(Main[[#This Row],[Class]]="C",WORKDAY(Main[[#This Row],[Tech Start Date]],28),IF(Main[[#This Row],[Class]]="B", WORKDAY(Main[[#This Row],[Tech Start Date]],19),IF(Main[[#This Row],[Class]]="A",WORKDAY(Main[[#This Row],[Tech Start Date]],9),""))))</f>
        <v/>
      </c>
      <c r="Q300" s="67">
        <v>40116</v>
      </c>
      <c r="R300" s="67"/>
      <c r="S300" s="65" t="s">
        <v>11</v>
      </c>
      <c r="T300" s="70" t="s">
        <v>4</v>
      </c>
      <c r="U300" s="65" t="s">
        <v>14</v>
      </c>
      <c r="V300" s="65" t="s">
        <v>1920</v>
      </c>
      <c r="W300" s="65" t="s">
        <v>1919</v>
      </c>
      <c r="X300" s="65" t="s">
        <v>2869</v>
      </c>
      <c r="Y300" s="65" t="s">
        <v>4</v>
      </c>
      <c r="Z300" s="65" t="s">
        <v>4</v>
      </c>
      <c r="AA300" s="65" t="s">
        <v>2869</v>
      </c>
    </row>
    <row r="301" spans="1:27" ht="17.45" customHeight="1">
      <c r="A301" s="131" t="str">
        <f>IF(priority(Main[[#This Row],[Comments]])&lt;&gt;0, priority(Main[[#This Row],[Comments]]),"")</f>
        <v/>
      </c>
      <c r="B301" s="99" t="s">
        <v>1152</v>
      </c>
      <c r="C301" s="65" t="s">
        <v>205</v>
      </c>
      <c r="D301" s="66" t="s">
        <v>207</v>
      </c>
      <c r="E301" s="67"/>
      <c r="F301" s="67"/>
      <c r="G301" s="64" t="str">
        <f>IF(stdProdLT(Main[[#This Row],[Comments]])=0.1,"N/A",IF(stdProdLT(Main[[#This Row],[Comments]])=0,"",stdProdLT(Main[[#This Row],[Comments]])))</f>
        <v/>
      </c>
      <c r="H301" s="68" t="str">
        <f>IF(AND(Main[[#This Row],[In Stock Date]]&lt;&gt;"",Main[[#This Row],[Revised Due Date]]&lt;&gt;""),Main[[#This Row],[In Stock Date]]-Main[[#This Row],[Revised Due Date]],"")</f>
        <v/>
      </c>
      <c r="I301" s="65" t="s">
        <v>4</v>
      </c>
      <c r="J301" s="65" t="s">
        <v>4</v>
      </c>
      <c r="K301" s="65" t="s">
        <v>4</v>
      </c>
      <c r="L301" s="67"/>
      <c r="M301" s="69" t="str">
        <f>IF(Main[[#This Row],[Tech Start Date]]&lt;1/1/1990,"",IF(Main[[#This Row],[Class]]="C",WORKDAY(Main[[#This Row],[Tech Start Date]],9),IF(Main[[#This Row],[Class]]="B", WORKDAY(Main[[#This Row],[Tech Start Date]],6),IF(Main[[#This Row],[Class]]="A",WORKDAY(Main[[#This Row],[Tech Start Date]],2),""))))</f>
        <v/>
      </c>
      <c r="N301" s="69" t="str">
        <f>IF(Main[[#This Row],[Tech Start Date]]&lt;1/1/1990,"",IF(Main[[#This Row],[Class]]="C",WORKDAY(Main[[#This Row],[Tech Start Date]],19),IF(Main[[#This Row],[Class]]="B", WORKDAY(Main[[#This Row],[Tech Start Date]],12),IF(Main[[#This Row],[Class]]="A",WORKDAY(Main[[#This Row],[Tech Start Date]],4),""))))</f>
        <v/>
      </c>
      <c r="O301" s="69" t="str">
        <f>IF(Main[[#This Row],[Tech Start Date]]&lt;1/1/1990,"",IF(Main[[#This Row],[Class]]="C",WORKDAY(Main[[#This Row],[Tech Start Date]],23),IF(Main[[#This Row],[Class]]="B", WORKDAY(Main[[#This Row],[Tech Start Date]],15),IF(Main[[#This Row],[Class]]="A",WORKDAY(Main[[#This Row],[Tech Start Date]],5),""))))</f>
        <v/>
      </c>
      <c r="P301" s="69" t="str">
        <f>IF(Main[[#This Row],[Tech Start Date]]&lt;1/1/1990,"",IF(Main[[#This Row],[Class]]="C",WORKDAY(Main[[#This Row],[Tech Start Date]],28),IF(Main[[#This Row],[Class]]="B", WORKDAY(Main[[#This Row],[Tech Start Date]],19),IF(Main[[#This Row],[Class]]="A",WORKDAY(Main[[#This Row],[Tech Start Date]],9),""))))</f>
        <v/>
      </c>
      <c r="Q301" s="67">
        <v>40116</v>
      </c>
      <c r="R301" s="67"/>
      <c r="S301" s="65" t="s">
        <v>11</v>
      </c>
      <c r="T301" s="70" t="s">
        <v>4</v>
      </c>
      <c r="U301" s="65" t="s">
        <v>14</v>
      </c>
      <c r="V301" s="65" t="s">
        <v>1920</v>
      </c>
      <c r="W301" s="65" t="s">
        <v>1919</v>
      </c>
      <c r="X301" s="65" t="s">
        <v>2869</v>
      </c>
      <c r="Y301" s="65" t="s">
        <v>4</v>
      </c>
      <c r="Z301" s="65" t="s">
        <v>4</v>
      </c>
      <c r="AA301" s="65" t="s">
        <v>2869</v>
      </c>
    </row>
    <row r="302" spans="1:27" ht="17.45" customHeight="1">
      <c r="A302" s="131" t="str">
        <f>IF(priority(Main[[#This Row],[Comments]])&lt;&gt;0, priority(Main[[#This Row],[Comments]]),"")</f>
        <v/>
      </c>
      <c r="B302" s="99" t="s">
        <v>1862</v>
      </c>
      <c r="C302" s="65" t="s">
        <v>31</v>
      </c>
      <c r="D302" s="66" t="s">
        <v>918</v>
      </c>
      <c r="E302" s="67"/>
      <c r="F302" s="67">
        <v>40664</v>
      </c>
      <c r="G302" s="64" t="str">
        <f>IF(stdProdLT(Main[[#This Row],[Comments]])=0.1,"N/A",IF(stdProdLT(Main[[#This Row],[Comments]])=0,"",stdProdLT(Main[[#This Row],[Comments]])))</f>
        <v/>
      </c>
      <c r="H302" s="68">
        <f>IF(AND(Main[[#This Row],[In Stock Date]]&lt;&gt;"",Main[[#This Row],[Revised Due Date]]&lt;&gt;""),Main[[#This Row],[In Stock Date]]-Main[[#This Row],[Revised Due Date]],"")</f>
        <v>87</v>
      </c>
      <c r="I302" s="65" t="s">
        <v>417</v>
      </c>
      <c r="J302" s="65" t="s">
        <v>75</v>
      </c>
      <c r="K302" s="65" t="s">
        <v>1926</v>
      </c>
      <c r="L302" s="67"/>
      <c r="M302" s="69" t="str">
        <f>IF(Main[[#This Row],[Tech Start Date]]&lt;1/1/1990,"",IF(Main[[#This Row],[Class]]="C",WORKDAY(Main[[#This Row],[Tech Start Date]],9),IF(Main[[#This Row],[Class]]="B", WORKDAY(Main[[#This Row],[Tech Start Date]],6),IF(Main[[#This Row],[Class]]="A",WORKDAY(Main[[#This Row],[Tech Start Date]],2),""))))</f>
        <v/>
      </c>
      <c r="N302" s="69" t="str">
        <f>IF(Main[[#This Row],[Tech Start Date]]&lt;1/1/1990,"",IF(Main[[#This Row],[Class]]="C",WORKDAY(Main[[#This Row],[Tech Start Date]],19),IF(Main[[#This Row],[Class]]="B", WORKDAY(Main[[#This Row],[Tech Start Date]],12),IF(Main[[#This Row],[Class]]="A",WORKDAY(Main[[#This Row],[Tech Start Date]],4),""))))</f>
        <v/>
      </c>
      <c r="O302" s="69" t="str">
        <f>IF(Main[[#This Row],[Tech Start Date]]&lt;1/1/1990,"",IF(Main[[#This Row],[Class]]="C",WORKDAY(Main[[#This Row],[Tech Start Date]],23),IF(Main[[#This Row],[Class]]="B", WORKDAY(Main[[#This Row],[Tech Start Date]],15),IF(Main[[#This Row],[Class]]="A",WORKDAY(Main[[#This Row],[Tech Start Date]],5),""))))</f>
        <v/>
      </c>
      <c r="P302" s="69" t="str">
        <f>IF(Main[[#This Row],[Tech Start Date]]&lt;1/1/1990,"",IF(Main[[#This Row],[Class]]="C",WORKDAY(Main[[#This Row],[Tech Start Date]],28),IF(Main[[#This Row],[Class]]="B", WORKDAY(Main[[#This Row],[Tech Start Date]],19),IF(Main[[#This Row],[Class]]="A",WORKDAY(Main[[#This Row],[Tech Start Date]],9),""))))</f>
        <v/>
      </c>
      <c r="Q302" s="67">
        <v>40589</v>
      </c>
      <c r="R302" s="67">
        <v>40577</v>
      </c>
      <c r="S302" s="65" t="s">
        <v>11</v>
      </c>
      <c r="T302" s="70" t="s">
        <v>4</v>
      </c>
      <c r="U302" s="65" t="s">
        <v>14</v>
      </c>
      <c r="V302" s="65" t="s">
        <v>1920</v>
      </c>
      <c r="W302" s="65" t="s">
        <v>1923</v>
      </c>
      <c r="X302" s="65" t="s">
        <v>2831</v>
      </c>
      <c r="Y302" s="65" t="s">
        <v>2973</v>
      </c>
      <c r="Z302" s="65" t="s">
        <v>530</v>
      </c>
      <c r="AA302" s="65" t="s">
        <v>2831</v>
      </c>
    </row>
    <row r="303" spans="1:27" ht="17.45" customHeight="1">
      <c r="A303" s="131" t="str">
        <f>IF(priority(Main[[#This Row],[Comments]])&lt;&gt;0, priority(Main[[#This Row],[Comments]]),"")</f>
        <v/>
      </c>
      <c r="B303" s="99" t="s">
        <v>1159</v>
      </c>
      <c r="C303" s="65" t="s">
        <v>211</v>
      </c>
      <c r="D303" s="66" t="s">
        <v>212</v>
      </c>
      <c r="E303" s="67"/>
      <c r="F303" s="67">
        <v>40391</v>
      </c>
      <c r="G303" s="64" t="str">
        <f>IF(stdProdLT(Main[[#This Row],[Comments]])=0.1,"N/A",IF(stdProdLT(Main[[#This Row],[Comments]])=0,"",stdProdLT(Main[[#This Row],[Comments]])))</f>
        <v/>
      </c>
      <c r="H303" s="68" t="str">
        <f>IF(AND(Main[[#This Row],[In Stock Date]]&lt;&gt;"",Main[[#This Row],[Revised Due Date]]&lt;&gt;""),Main[[#This Row],[In Stock Date]]-Main[[#This Row],[Revised Due Date]],"")</f>
        <v/>
      </c>
      <c r="I303" s="65" t="s">
        <v>4</v>
      </c>
      <c r="J303" s="65" t="s">
        <v>4</v>
      </c>
      <c r="K303" s="71" t="s">
        <v>4</v>
      </c>
      <c r="L303" s="67"/>
      <c r="M303" s="69" t="str">
        <f>IF(Main[[#This Row],[Tech Start Date]]&lt;1/1/1990,"",IF(Main[[#This Row],[Class]]="C",WORKDAY(Main[[#This Row],[Tech Start Date]],9),IF(Main[[#This Row],[Class]]="B", WORKDAY(Main[[#This Row],[Tech Start Date]],6),IF(Main[[#This Row],[Class]]="A",WORKDAY(Main[[#This Row],[Tech Start Date]],2),""))))</f>
        <v/>
      </c>
      <c r="N303" s="69" t="str">
        <f>IF(Main[[#This Row],[Tech Start Date]]&lt;1/1/1990,"",IF(Main[[#This Row],[Class]]="C",WORKDAY(Main[[#This Row],[Tech Start Date]],19),IF(Main[[#This Row],[Class]]="B", WORKDAY(Main[[#This Row],[Tech Start Date]],12),IF(Main[[#This Row],[Class]]="A",WORKDAY(Main[[#This Row],[Tech Start Date]],4),""))))</f>
        <v/>
      </c>
      <c r="O303" s="69" t="str">
        <f>IF(Main[[#This Row],[Tech Start Date]]&lt;1/1/1990,"",IF(Main[[#This Row],[Class]]="C",WORKDAY(Main[[#This Row],[Tech Start Date]],23),IF(Main[[#This Row],[Class]]="B", WORKDAY(Main[[#This Row],[Tech Start Date]],15),IF(Main[[#This Row],[Class]]="A",WORKDAY(Main[[#This Row],[Tech Start Date]],5),""))))</f>
        <v/>
      </c>
      <c r="P303" s="69" t="str">
        <f>IF(Main[[#This Row],[Tech Start Date]]&lt;1/1/1990,"",IF(Main[[#This Row],[Class]]="C",WORKDAY(Main[[#This Row],[Tech Start Date]],28),IF(Main[[#This Row],[Class]]="B", WORKDAY(Main[[#This Row],[Tech Start Date]],19),IF(Main[[#This Row],[Class]]="A",WORKDAY(Main[[#This Row],[Tech Start Date]],9),""))))</f>
        <v/>
      </c>
      <c r="Q303" s="67">
        <v>40296</v>
      </c>
      <c r="R303" s="67"/>
      <c r="S303" s="65" t="s">
        <v>11</v>
      </c>
      <c r="T303" s="70" t="s">
        <v>4</v>
      </c>
      <c r="U303" s="65" t="s">
        <v>12</v>
      </c>
      <c r="V303" s="65" t="s">
        <v>1917</v>
      </c>
      <c r="W303" s="65" t="s">
        <v>1925</v>
      </c>
      <c r="X303" s="65" t="s">
        <v>2839</v>
      </c>
      <c r="Y303" s="65" t="s">
        <v>4</v>
      </c>
      <c r="Z303" s="65" t="s">
        <v>4</v>
      </c>
      <c r="AA303" s="65" t="s">
        <v>2839</v>
      </c>
    </row>
    <row r="304" spans="1:27" ht="17.45" customHeight="1">
      <c r="A304" s="131" t="str">
        <f>IF(priority(Main[[#This Row],[Comments]])&lt;&gt;0, priority(Main[[#This Row],[Comments]]),"")</f>
        <v/>
      </c>
      <c r="B304" s="99" t="s">
        <v>1161</v>
      </c>
      <c r="C304" s="65" t="s">
        <v>213</v>
      </c>
      <c r="D304" s="66" t="s">
        <v>214</v>
      </c>
      <c r="E304" s="67">
        <v>40395.391388888886</v>
      </c>
      <c r="F304" s="67">
        <v>40574</v>
      </c>
      <c r="G304" s="64" t="str">
        <f>IF(stdProdLT(Main[[#This Row],[Comments]])=0.1,"N/A",IF(stdProdLT(Main[[#This Row],[Comments]])=0,"",stdProdLT(Main[[#This Row],[Comments]])))</f>
        <v/>
      </c>
      <c r="H304" s="68" t="str">
        <f>IF(AND(Main[[#This Row],[In Stock Date]]&lt;&gt;"",Main[[#This Row],[Revised Due Date]]&lt;&gt;""),Main[[#This Row],[In Stock Date]]-Main[[#This Row],[Revised Due Date]],"")</f>
        <v/>
      </c>
      <c r="I304" s="65" t="s">
        <v>4</v>
      </c>
      <c r="J304" s="65" t="s">
        <v>28</v>
      </c>
      <c r="K304" s="71" t="s">
        <v>4</v>
      </c>
      <c r="L304" s="67"/>
      <c r="M304" s="69" t="str">
        <f>IF(Main[[#This Row],[Tech Start Date]]&lt;1/1/1990,"",IF(Main[[#This Row],[Class]]="C",WORKDAY(Main[[#This Row],[Tech Start Date]],9),IF(Main[[#This Row],[Class]]="B", WORKDAY(Main[[#This Row],[Tech Start Date]],6),IF(Main[[#This Row],[Class]]="A",WORKDAY(Main[[#This Row],[Tech Start Date]],2),""))))</f>
        <v/>
      </c>
      <c r="N304" s="69" t="str">
        <f>IF(Main[[#This Row],[Tech Start Date]]&lt;1/1/1990,"",IF(Main[[#This Row],[Class]]="C",WORKDAY(Main[[#This Row],[Tech Start Date]],19),IF(Main[[#This Row],[Class]]="B", WORKDAY(Main[[#This Row],[Tech Start Date]],12),IF(Main[[#This Row],[Class]]="A",WORKDAY(Main[[#This Row],[Tech Start Date]],4),""))))</f>
        <v/>
      </c>
      <c r="O304" s="69" t="str">
        <f>IF(Main[[#This Row],[Tech Start Date]]&lt;1/1/1990,"",IF(Main[[#This Row],[Class]]="C",WORKDAY(Main[[#This Row],[Tech Start Date]],23),IF(Main[[#This Row],[Class]]="B", WORKDAY(Main[[#This Row],[Tech Start Date]],15),IF(Main[[#This Row],[Class]]="A",WORKDAY(Main[[#This Row],[Tech Start Date]],5),""))))</f>
        <v/>
      </c>
      <c r="P304" s="69" t="str">
        <f>IF(Main[[#This Row],[Tech Start Date]]&lt;1/1/1990,"",IF(Main[[#This Row],[Class]]="C",WORKDAY(Main[[#This Row],[Tech Start Date]],28),IF(Main[[#This Row],[Class]]="B", WORKDAY(Main[[#This Row],[Tech Start Date]],19),IF(Main[[#This Row],[Class]]="A",WORKDAY(Main[[#This Row],[Tech Start Date]],9),""))))</f>
        <v/>
      </c>
      <c r="Q304" s="67"/>
      <c r="R304" s="67"/>
      <c r="S304" s="65" t="s">
        <v>17</v>
      </c>
      <c r="T304" s="70" t="s">
        <v>4</v>
      </c>
      <c r="U304" s="65" t="s">
        <v>7</v>
      </c>
      <c r="V304" s="65" t="s">
        <v>1917</v>
      </c>
      <c r="W304" s="65" t="s">
        <v>1922</v>
      </c>
      <c r="X304" s="65" t="s">
        <v>50</v>
      </c>
      <c r="Y304" s="65" t="s">
        <v>3013</v>
      </c>
      <c r="Z304" s="65" t="s">
        <v>129</v>
      </c>
      <c r="AA304" s="65" t="s">
        <v>65</v>
      </c>
    </row>
    <row r="305" spans="1:27" ht="17.45" customHeight="1">
      <c r="A305" s="131" t="str">
        <f>IF(priority(Main[[#This Row],[Comments]])&lt;&gt;0, priority(Main[[#This Row],[Comments]]),"")</f>
        <v/>
      </c>
      <c r="B305" s="99" t="s">
        <v>1162</v>
      </c>
      <c r="C305" s="65" t="s">
        <v>169</v>
      </c>
      <c r="D305" s="66" t="s">
        <v>215</v>
      </c>
      <c r="E305" s="67"/>
      <c r="F305" s="67">
        <v>40237</v>
      </c>
      <c r="G305" s="64" t="str">
        <f>IF(stdProdLT(Main[[#This Row],[Comments]])=0.1,"N/A",IF(stdProdLT(Main[[#This Row],[Comments]])=0,"",stdProdLT(Main[[#This Row],[Comments]])))</f>
        <v/>
      </c>
      <c r="H305" s="68" t="str">
        <f>IF(AND(Main[[#This Row],[In Stock Date]]&lt;&gt;"",Main[[#This Row],[Revised Due Date]]&lt;&gt;""),Main[[#This Row],[In Stock Date]]-Main[[#This Row],[Revised Due Date]],"")</f>
        <v/>
      </c>
      <c r="I305" s="65" t="s">
        <v>4</v>
      </c>
      <c r="J305" s="65" t="s">
        <v>4</v>
      </c>
      <c r="K305" s="65" t="s">
        <v>4</v>
      </c>
      <c r="L305" s="67"/>
      <c r="M305" s="69" t="str">
        <f>IF(Main[[#This Row],[Tech Start Date]]&lt;1/1/1990,"",IF(Main[[#This Row],[Class]]="C",WORKDAY(Main[[#This Row],[Tech Start Date]],9),IF(Main[[#This Row],[Class]]="B", WORKDAY(Main[[#This Row],[Tech Start Date]],6),IF(Main[[#This Row],[Class]]="A",WORKDAY(Main[[#This Row],[Tech Start Date]],2),""))))</f>
        <v/>
      </c>
      <c r="N305" s="69" t="str">
        <f>IF(Main[[#This Row],[Tech Start Date]]&lt;1/1/1990,"",IF(Main[[#This Row],[Class]]="C",WORKDAY(Main[[#This Row],[Tech Start Date]],19),IF(Main[[#This Row],[Class]]="B", WORKDAY(Main[[#This Row],[Tech Start Date]],12),IF(Main[[#This Row],[Class]]="A",WORKDAY(Main[[#This Row],[Tech Start Date]],4),""))))</f>
        <v/>
      </c>
      <c r="O305" s="69" t="str">
        <f>IF(Main[[#This Row],[Tech Start Date]]&lt;1/1/1990,"",IF(Main[[#This Row],[Class]]="C",WORKDAY(Main[[#This Row],[Tech Start Date]],23),IF(Main[[#This Row],[Class]]="B", WORKDAY(Main[[#This Row],[Tech Start Date]],15),IF(Main[[#This Row],[Class]]="A",WORKDAY(Main[[#This Row],[Tech Start Date]],5),""))))</f>
        <v/>
      </c>
      <c r="P305" s="69" t="str">
        <f>IF(Main[[#This Row],[Tech Start Date]]&lt;1/1/1990,"",IF(Main[[#This Row],[Class]]="C",WORKDAY(Main[[#This Row],[Tech Start Date]],28),IF(Main[[#This Row],[Class]]="B", WORKDAY(Main[[#This Row],[Tech Start Date]],19),IF(Main[[#This Row],[Class]]="A",WORKDAY(Main[[#This Row],[Tech Start Date]],9),""))))</f>
        <v/>
      </c>
      <c r="Q305" s="67">
        <v>40132</v>
      </c>
      <c r="R305" s="67"/>
      <c r="S305" s="65" t="s">
        <v>11</v>
      </c>
      <c r="T305" s="70" t="s">
        <v>4</v>
      </c>
      <c r="U305" s="65" t="s">
        <v>14</v>
      </c>
      <c r="V305" s="65" t="s">
        <v>1917</v>
      </c>
      <c r="W305" s="65" t="s">
        <v>1922</v>
      </c>
      <c r="X305" s="65" t="s">
        <v>2864</v>
      </c>
      <c r="Y305" s="65" t="s">
        <v>4</v>
      </c>
      <c r="Z305" s="65" t="s">
        <v>4</v>
      </c>
      <c r="AA305" s="65" t="s">
        <v>2864</v>
      </c>
    </row>
    <row r="306" spans="1:27" ht="17.45" customHeight="1">
      <c r="A306" s="131" t="str">
        <f>IF(priority(Main[[#This Row],[Comments]])&lt;&gt;0, priority(Main[[#This Row],[Comments]]),"")</f>
        <v/>
      </c>
      <c r="B306" s="99" t="s">
        <v>1163</v>
      </c>
      <c r="C306" s="65" t="s">
        <v>4</v>
      </c>
      <c r="D306" s="66" t="s">
        <v>216</v>
      </c>
      <c r="E306" s="67"/>
      <c r="F306" s="67"/>
      <c r="G306" s="64" t="str">
        <f>IF(stdProdLT(Main[[#This Row],[Comments]])=0.1,"N/A",IF(stdProdLT(Main[[#This Row],[Comments]])=0,"",stdProdLT(Main[[#This Row],[Comments]])))</f>
        <v/>
      </c>
      <c r="H306" s="68" t="str">
        <f>IF(AND(Main[[#This Row],[In Stock Date]]&lt;&gt;"",Main[[#This Row],[Revised Due Date]]&lt;&gt;""),Main[[#This Row],[In Stock Date]]-Main[[#This Row],[Revised Due Date]],"")</f>
        <v/>
      </c>
      <c r="I306" s="65" t="s">
        <v>4</v>
      </c>
      <c r="J306" s="65" t="s">
        <v>4</v>
      </c>
      <c r="K306" s="65" t="s">
        <v>4</v>
      </c>
      <c r="L306" s="67"/>
      <c r="M306" s="69" t="str">
        <f>IF(Main[[#This Row],[Tech Start Date]]&lt;1/1/1990,"",IF(Main[[#This Row],[Class]]="C",WORKDAY(Main[[#This Row],[Tech Start Date]],9),IF(Main[[#This Row],[Class]]="B", WORKDAY(Main[[#This Row],[Tech Start Date]],6),IF(Main[[#This Row],[Class]]="A",WORKDAY(Main[[#This Row],[Tech Start Date]],2),""))))</f>
        <v/>
      </c>
      <c r="N306" s="69" t="str">
        <f>IF(Main[[#This Row],[Tech Start Date]]&lt;1/1/1990,"",IF(Main[[#This Row],[Class]]="C",WORKDAY(Main[[#This Row],[Tech Start Date]],19),IF(Main[[#This Row],[Class]]="B", WORKDAY(Main[[#This Row],[Tech Start Date]],12),IF(Main[[#This Row],[Class]]="A",WORKDAY(Main[[#This Row],[Tech Start Date]],4),""))))</f>
        <v/>
      </c>
      <c r="O306" s="69" t="str">
        <f>IF(Main[[#This Row],[Tech Start Date]]&lt;1/1/1990,"",IF(Main[[#This Row],[Class]]="C",WORKDAY(Main[[#This Row],[Tech Start Date]],23),IF(Main[[#This Row],[Class]]="B", WORKDAY(Main[[#This Row],[Tech Start Date]],15),IF(Main[[#This Row],[Class]]="A",WORKDAY(Main[[#This Row],[Tech Start Date]],5),""))))</f>
        <v/>
      </c>
      <c r="P306" s="69" t="str">
        <f>IF(Main[[#This Row],[Tech Start Date]]&lt;1/1/1990,"",IF(Main[[#This Row],[Class]]="C",WORKDAY(Main[[#This Row],[Tech Start Date]],28),IF(Main[[#This Row],[Class]]="B", WORKDAY(Main[[#This Row],[Tech Start Date]],19),IF(Main[[#This Row],[Class]]="A",WORKDAY(Main[[#This Row],[Tech Start Date]],9),""))))</f>
        <v/>
      </c>
      <c r="Q306" s="67"/>
      <c r="R306" s="67"/>
      <c r="S306" s="65" t="s">
        <v>17</v>
      </c>
      <c r="T306" s="70" t="s">
        <v>4</v>
      </c>
      <c r="U306" s="65" t="s">
        <v>12</v>
      </c>
      <c r="V306" s="65" t="s">
        <v>1917</v>
      </c>
      <c r="W306" s="65" t="s">
        <v>1921</v>
      </c>
      <c r="X306" s="65" t="s">
        <v>879</v>
      </c>
      <c r="Y306" s="65" t="s">
        <v>4</v>
      </c>
      <c r="Z306" s="65" t="s">
        <v>4</v>
      </c>
      <c r="AA306" s="65" t="s">
        <v>4</v>
      </c>
    </row>
    <row r="307" spans="1:27" ht="17.45" customHeight="1">
      <c r="A307" s="131" t="str">
        <f>IF(priority(Main[[#This Row],[Comments]])&lt;&gt;0, priority(Main[[#This Row],[Comments]]),"")</f>
        <v/>
      </c>
      <c r="B307" s="99" t="s">
        <v>1165</v>
      </c>
      <c r="C307" s="65" t="s">
        <v>93</v>
      </c>
      <c r="D307" s="66" t="s">
        <v>218</v>
      </c>
      <c r="E307" s="67"/>
      <c r="F307" s="67">
        <v>40299</v>
      </c>
      <c r="G307" s="64" t="str">
        <f>IF(stdProdLT(Main[[#This Row],[Comments]])=0.1,"N/A",IF(stdProdLT(Main[[#This Row],[Comments]])=0,"",stdProdLT(Main[[#This Row],[Comments]])))</f>
        <v/>
      </c>
      <c r="H307" s="68" t="str">
        <f>IF(AND(Main[[#This Row],[In Stock Date]]&lt;&gt;"",Main[[#This Row],[Revised Due Date]]&lt;&gt;""),Main[[#This Row],[In Stock Date]]-Main[[#This Row],[Revised Due Date]],"")</f>
        <v/>
      </c>
      <c r="I307" s="65" t="s">
        <v>4</v>
      </c>
      <c r="J307" s="65" t="s">
        <v>4</v>
      </c>
      <c r="K307" s="65" t="s">
        <v>4</v>
      </c>
      <c r="L307" s="67"/>
      <c r="M307" s="69" t="str">
        <f>IF(Main[[#This Row],[Tech Start Date]]&lt;1/1/1990,"",IF(Main[[#This Row],[Class]]="C",WORKDAY(Main[[#This Row],[Tech Start Date]],9),IF(Main[[#This Row],[Class]]="B", WORKDAY(Main[[#This Row],[Tech Start Date]],6),IF(Main[[#This Row],[Class]]="A",WORKDAY(Main[[#This Row],[Tech Start Date]],2),""))))</f>
        <v/>
      </c>
      <c r="N307" s="69" t="str">
        <f>IF(Main[[#This Row],[Tech Start Date]]&lt;1/1/1990,"",IF(Main[[#This Row],[Class]]="C",WORKDAY(Main[[#This Row],[Tech Start Date]],19),IF(Main[[#This Row],[Class]]="B", WORKDAY(Main[[#This Row],[Tech Start Date]],12),IF(Main[[#This Row],[Class]]="A",WORKDAY(Main[[#This Row],[Tech Start Date]],4),""))))</f>
        <v/>
      </c>
      <c r="O307" s="69" t="str">
        <f>IF(Main[[#This Row],[Tech Start Date]]&lt;1/1/1990,"",IF(Main[[#This Row],[Class]]="C",WORKDAY(Main[[#This Row],[Tech Start Date]],23),IF(Main[[#This Row],[Class]]="B", WORKDAY(Main[[#This Row],[Tech Start Date]],15),IF(Main[[#This Row],[Class]]="A",WORKDAY(Main[[#This Row],[Tech Start Date]],5),""))))</f>
        <v/>
      </c>
      <c r="P307" s="69" t="str">
        <f>IF(Main[[#This Row],[Tech Start Date]]&lt;1/1/1990,"",IF(Main[[#This Row],[Class]]="C",WORKDAY(Main[[#This Row],[Tech Start Date]],28),IF(Main[[#This Row],[Class]]="B", WORKDAY(Main[[#This Row],[Tech Start Date]],19),IF(Main[[#This Row],[Class]]="A",WORKDAY(Main[[#This Row],[Tech Start Date]],9),""))))</f>
        <v/>
      </c>
      <c r="Q307" s="67">
        <v>40214</v>
      </c>
      <c r="R307" s="67"/>
      <c r="S307" s="65" t="s">
        <v>11</v>
      </c>
      <c r="T307" s="70" t="s">
        <v>4</v>
      </c>
      <c r="U307" s="65" t="s">
        <v>12</v>
      </c>
      <c r="V307" s="65" t="s">
        <v>1917</v>
      </c>
      <c r="W307" s="65" t="s">
        <v>1923</v>
      </c>
      <c r="X307" s="65" t="s">
        <v>2851</v>
      </c>
      <c r="Y307" s="65" t="s">
        <v>4</v>
      </c>
      <c r="Z307" s="65" t="s">
        <v>4</v>
      </c>
      <c r="AA307" s="65" t="s">
        <v>2851</v>
      </c>
    </row>
    <row r="308" spans="1:27" ht="17.45" customHeight="1">
      <c r="A308" s="131" t="str">
        <f>IF(priority(Main[[#This Row],[Comments]])&lt;&gt;0, priority(Main[[#This Row],[Comments]]),"")</f>
        <v/>
      </c>
      <c r="B308" s="99" t="s">
        <v>1166</v>
      </c>
      <c r="C308" s="65" t="s">
        <v>113</v>
      </c>
      <c r="D308" s="66" t="s">
        <v>219</v>
      </c>
      <c r="E308" s="67"/>
      <c r="F308" s="67">
        <v>40193</v>
      </c>
      <c r="G308" s="64" t="str">
        <f>IF(stdProdLT(Main[[#This Row],[Comments]])=0.1,"N/A",IF(stdProdLT(Main[[#This Row],[Comments]])=0,"",stdProdLT(Main[[#This Row],[Comments]])))</f>
        <v/>
      </c>
      <c r="H308" s="68" t="str">
        <f>IF(AND(Main[[#This Row],[In Stock Date]]&lt;&gt;"",Main[[#This Row],[Revised Due Date]]&lt;&gt;""),Main[[#This Row],[In Stock Date]]-Main[[#This Row],[Revised Due Date]],"")</f>
        <v/>
      </c>
      <c r="I308" s="65" t="s">
        <v>4</v>
      </c>
      <c r="J308" s="65" t="s">
        <v>4</v>
      </c>
      <c r="K308" s="65" t="s">
        <v>4</v>
      </c>
      <c r="L308" s="67"/>
      <c r="M308" s="69" t="str">
        <f>IF(Main[[#This Row],[Tech Start Date]]&lt;1/1/1990,"",IF(Main[[#This Row],[Class]]="C",WORKDAY(Main[[#This Row],[Tech Start Date]],9),IF(Main[[#This Row],[Class]]="B", WORKDAY(Main[[#This Row],[Tech Start Date]],6),IF(Main[[#This Row],[Class]]="A",WORKDAY(Main[[#This Row],[Tech Start Date]],2),""))))</f>
        <v/>
      </c>
      <c r="N308" s="69" t="str">
        <f>IF(Main[[#This Row],[Tech Start Date]]&lt;1/1/1990,"",IF(Main[[#This Row],[Class]]="C",WORKDAY(Main[[#This Row],[Tech Start Date]],19),IF(Main[[#This Row],[Class]]="B", WORKDAY(Main[[#This Row],[Tech Start Date]],12),IF(Main[[#This Row],[Class]]="A",WORKDAY(Main[[#This Row],[Tech Start Date]],4),""))))</f>
        <v/>
      </c>
      <c r="O308" s="69" t="str">
        <f>IF(Main[[#This Row],[Tech Start Date]]&lt;1/1/1990,"",IF(Main[[#This Row],[Class]]="C",WORKDAY(Main[[#This Row],[Tech Start Date]],23),IF(Main[[#This Row],[Class]]="B", WORKDAY(Main[[#This Row],[Tech Start Date]],15),IF(Main[[#This Row],[Class]]="A",WORKDAY(Main[[#This Row],[Tech Start Date]],5),""))))</f>
        <v/>
      </c>
      <c r="P308" s="69" t="str">
        <f>IF(Main[[#This Row],[Tech Start Date]]&lt;1/1/1990,"",IF(Main[[#This Row],[Class]]="C",WORKDAY(Main[[#This Row],[Tech Start Date]],28),IF(Main[[#This Row],[Class]]="B", WORKDAY(Main[[#This Row],[Tech Start Date]],19),IF(Main[[#This Row],[Class]]="A",WORKDAY(Main[[#This Row],[Tech Start Date]],9),""))))</f>
        <v/>
      </c>
      <c r="Q308" s="67">
        <v>40448</v>
      </c>
      <c r="R308" s="67"/>
      <c r="S308" s="65" t="s">
        <v>11</v>
      </c>
      <c r="T308" s="70" t="s">
        <v>4</v>
      </c>
      <c r="U308" s="65" t="s">
        <v>14</v>
      </c>
      <c r="V308" s="65" t="s">
        <v>1927</v>
      </c>
      <c r="W308" s="65" t="s">
        <v>1923</v>
      </c>
      <c r="X308" s="65" t="s">
        <v>2850</v>
      </c>
      <c r="Y308" s="65" t="s">
        <v>2983</v>
      </c>
      <c r="Z308" s="65" t="s">
        <v>4</v>
      </c>
      <c r="AA308" s="65" t="s">
        <v>2850</v>
      </c>
    </row>
    <row r="309" spans="1:27" ht="17.45" customHeight="1">
      <c r="A309" s="131" t="str">
        <f>IF(priority(Main[[#This Row],[Comments]])&lt;&gt;0, priority(Main[[#This Row],[Comments]]),"")</f>
        <v/>
      </c>
      <c r="B309" s="99" t="s">
        <v>1167</v>
      </c>
      <c r="C309" s="65" t="s">
        <v>4</v>
      </c>
      <c r="D309" s="66" t="s">
        <v>220</v>
      </c>
      <c r="E309" s="67"/>
      <c r="F309" s="67">
        <v>40031</v>
      </c>
      <c r="G309" s="64" t="str">
        <f>IF(stdProdLT(Main[[#This Row],[Comments]])=0.1,"N/A",IF(stdProdLT(Main[[#This Row],[Comments]])=0,"",stdProdLT(Main[[#This Row],[Comments]])))</f>
        <v/>
      </c>
      <c r="H309" s="68" t="str">
        <f>IF(AND(Main[[#This Row],[In Stock Date]]&lt;&gt;"",Main[[#This Row],[Revised Due Date]]&lt;&gt;""),Main[[#This Row],[In Stock Date]]-Main[[#This Row],[Revised Due Date]],"")</f>
        <v/>
      </c>
      <c r="I309" s="65" t="s">
        <v>4</v>
      </c>
      <c r="J309" s="65" t="s">
        <v>4</v>
      </c>
      <c r="K309" s="71" t="s">
        <v>4</v>
      </c>
      <c r="L309" s="67"/>
      <c r="M309" s="69" t="str">
        <f>IF(Main[[#This Row],[Tech Start Date]]&lt;1/1/1990,"",IF(Main[[#This Row],[Class]]="C",WORKDAY(Main[[#This Row],[Tech Start Date]],9),IF(Main[[#This Row],[Class]]="B", WORKDAY(Main[[#This Row],[Tech Start Date]],6),IF(Main[[#This Row],[Class]]="A",WORKDAY(Main[[#This Row],[Tech Start Date]],2),""))))</f>
        <v/>
      </c>
      <c r="N309" s="69" t="str">
        <f>IF(Main[[#This Row],[Tech Start Date]]&lt;1/1/1990,"",IF(Main[[#This Row],[Class]]="C",WORKDAY(Main[[#This Row],[Tech Start Date]],19),IF(Main[[#This Row],[Class]]="B", WORKDAY(Main[[#This Row],[Tech Start Date]],12),IF(Main[[#This Row],[Class]]="A",WORKDAY(Main[[#This Row],[Tech Start Date]],4),""))))</f>
        <v/>
      </c>
      <c r="O309" s="69" t="str">
        <f>IF(Main[[#This Row],[Tech Start Date]]&lt;1/1/1990,"",IF(Main[[#This Row],[Class]]="C",WORKDAY(Main[[#This Row],[Tech Start Date]],23),IF(Main[[#This Row],[Class]]="B", WORKDAY(Main[[#This Row],[Tech Start Date]],15),IF(Main[[#This Row],[Class]]="A",WORKDAY(Main[[#This Row],[Tech Start Date]],5),""))))</f>
        <v/>
      </c>
      <c r="P309" s="69" t="str">
        <f>IF(Main[[#This Row],[Tech Start Date]]&lt;1/1/1990,"",IF(Main[[#This Row],[Class]]="C",WORKDAY(Main[[#This Row],[Tech Start Date]],28),IF(Main[[#This Row],[Class]]="B", WORKDAY(Main[[#This Row],[Tech Start Date]],19),IF(Main[[#This Row],[Class]]="A",WORKDAY(Main[[#This Row],[Tech Start Date]],9),""))))</f>
        <v/>
      </c>
      <c r="Q309" s="67">
        <v>39976</v>
      </c>
      <c r="R309" s="67"/>
      <c r="S309" s="65" t="s">
        <v>11</v>
      </c>
      <c r="T309" s="70" t="s">
        <v>4</v>
      </c>
      <c r="U309" s="65" t="s">
        <v>14</v>
      </c>
      <c r="V309" s="65" t="s">
        <v>1918</v>
      </c>
      <c r="W309" s="65" t="s">
        <v>1925</v>
      </c>
      <c r="X309" s="65" t="s">
        <v>2830</v>
      </c>
      <c r="Y309" s="65" t="s">
        <v>2949</v>
      </c>
      <c r="Z309" s="65" t="s">
        <v>4</v>
      </c>
      <c r="AA309" s="65" t="s">
        <v>2830</v>
      </c>
    </row>
    <row r="310" spans="1:27" ht="17.45" customHeight="1">
      <c r="A310" s="131" t="str">
        <f>IF(priority(Main[[#This Row],[Comments]])&lt;&gt;0, priority(Main[[#This Row],[Comments]]),"")</f>
        <v/>
      </c>
      <c r="B310" s="99" t="s">
        <v>1168</v>
      </c>
      <c r="C310" s="65" t="s">
        <v>4</v>
      </c>
      <c r="D310" s="66" t="s">
        <v>221</v>
      </c>
      <c r="E310" s="67"/>
      <c r="F310" s="67">
        <v>40309</v>
      </c>
      <c r="G310" s="64" t="str">
        <f>IF(stdProdLT(Main[[#This Row],[Comments]])=0.1,"N/A",IF(stdProdLT(Main[[#This Row],[Comments]])=0,"",stdProdLT(Main[[#This Row],[Comments]])))</f>
        <v/>
      </c>
      <c r="H310" s="68" t="str">
        <f>IF(AND(Main[[#This Row],[In Stock Date]]&lt;&gt;"",Main[[#This Row],[Revised Due Date]]&lt;&gt;""),Main[[#This Row],[In Stock Date]]-Main[[#This Row],[Revised Due Date]],"")</f>
        <v/>
      </c>
      <c r="I310" s="65" t="s">
        <v>4</v>
      </c>
      <c r="J310" s="65" t="s">
        <v>4</v>
      </c>
      <c r="K310" s="65" t="s">
        <v>4</v>
      </c>
      <c r="L310" s="67"/>
      <c r="M310" s="69" t="str">
        <f>IF(Main[[#This Row],[Tech Start Date]]&lt;1/1/1990,"",IF(Main[[#This Row],[Class]]="C",WORKDAY(Main[[#This Row],[Tech Start Date]],9),IF(Main[[#This Row],[Class]]="B", WORKDAY(Main[[#This Row],[Tech Start Date]],6),IF(Main[[#This Row],[Class]]="A",WORKDAY(Main[[#This Row],[Tech Start Date]],2),""))))</f>
        <v/>
      </c>
      <c r="N310" s="69" t="str">
        <f>IF(Main[[#This Row],[Tech Start Date]]&lt;1/1/1990,"",IF(Main[[#This Row],[Class]]="C",WORKDAY(Main[[#This Row],[Tech Start Date]],19),IF(Main[[#This Row],[Class]]="B", WORKDAY(Main[[#This Row],[Tech Start Date]],12),IF(Main[[#This Row],[Class]]="A",WORKDAY(Main[[#This Row],[Tech Start Date]],4),""))))</f>
        <v/>
      </c>
      <c r="O310" s="69" t="str">
        <f>IF(Main[[#This Row],[Tech Start Date]]&lt;1/1/1990,"",IF(Main[[#This Row],[Class]]="C",WORKDAY(Main[[#This Row],[Tech Start Date]],23),IF(Main[[#This Row],[Class]]="B", WORKDAY(Main[[#This Row],[Tech Start Date]],15),IF(Main[[#This Row],[Class]]="A",WORKDAY(Main[[#This Row],[Tech Start Date]],5),""))))</f>
        <v/>
      </c>
      <c r="P310" s="69" t="str">
        <f>IF(Main[[#This Row],[Tech Start Date]]&lt;1/1/1990,"",IF(Main[[#This Row],[Class]]="C",WORKDAY(Main[[#This Row],[Tech Start Date]],28),IF(Main[[#This Row],[Class]]="B", WORKDAY(Main[[#This Row],[Tech Start Date]],19),IF(Main[[#This Row],[Class]]="A",WORKDAY(Main[[#This Row],[Tech Start Date]],9),""))))</f>
        <v/>
      </c>
      <c r="Q310" s="67">
        <v>40305</v>
      </c>
      <c r="R310" s="67"/>
      <c r="S310" s="65" t="s">
        <v>6</v>
      </c>
      <c r="T310" s="70" t="s">
        <v>4</v>
      </c>
      <c r="U310" s="65" t="s">
        <v>12</v>
      </c>
      <c r="V310" s="65" t="s">
        <v>1917</v>
      </c>
      <c r="W310" s="65" t="s">
        <v>1925</v>
      </c>
      <c r="X310" s="65" t="s">
        <v>2830</v>
      </c>
      <c r="Y310" s="65" t="s">
        <v>2949</v>
      </c>
      <c r="Z310" s="65" t="s">
        <v>4</v>
      </c>
      <c r="AA310" s="65" t="s">
        <v>2830</v>
      </c>
    </row>
    <row r="311" spans="1:27" ht="17.45" customHeight="1">
      <c r="A311" s="131" t="str">
        <f>IF(priority(Main[[#This Row],[Comments]])&lt;&gt;0, priority(Main[[#This Row],[Comments]]),"")</f>
        <v/>
      </c>
      <c r="B311" s="99" t="s">
        <v>1169</v>
      </c>
      <c r="C311" s="65" t="s">
        <v>31</v>
      </c>
      <c r="D311" s="66" t="s">
        <v>222</v>
      </c>
      <c r="E311" s="67"/>
      <c r="F311" s="67">
        <v>40169</v>
      </c>
      <c r="G311" s="64" t="str">
        <f>IF(stdProdLT(Main[[#This Row],[Comments]])=0.1,"N/A",IF(stdProdLT(Main[[#This Row],[Comments]])=0,"",stdProdLT(Main[[#This Row],[Comments]])))</f>
        <v/>
      </c>
      <c r="H311" s="68" t="str">
        <f>IF(AND(Main[[#This Row],[In Stock Date]]&lt;&gt;"",Main[[#This Row],[Revised Due Date]]&lt;&gt;""),Main[[#This Row],[In Stock Date]]-Main[[#This Row],[Revised Due Date]],"")</f>
        <v/>
      </c>
      <c r="I311" s="65" t="s">
        <v>4</v>
      </c>
      <c r="J311" s="65" t="s">
        <v>4</v>
      </c>
      <c r="K311" s="65" t="s">
        <v>4</v>
      </c>
      <c r="L311" s="67"/>
      <c r="M311" s="69" t="str">
        <f>IF(Main[[#This Row],[Tech Start Date]]&lt;1/1/1990,"",IF(Main[[#This Row],[Class]]="C",WORKDAY(Main[[#This Row],[Tech Start Date]],9),IF(Main[[#This Row],[Class]]="B", WORKDAY(Main[[#This Row],[Tech Start Date]],6),IF(Main[[#This Row],[Class]]="A",WORKDAY(Main[[#This Row],[Tech Start Date]],2),""))))</f>
        <v/>
      </c>
      <c r="N311" s="69" t="str">
        <f>IF(Main[[#This Row],[Tech Start Date]]&lt;1/1/1990,"",IF(Main[[#This Row],[Class]]="C",WORKDAY(Main[[#This Row],[Tech Start Date]],19),IF(Main[[#This Row],[Class]]="B", WORKDAY(Main[[#This Row],[Tech Start Date]],12),IF(Main[[#This Row],[Class]]="A",WORKDAY(Main[[#This Row],[Tech Start Date]],4),""))))</f>
        <v/>
      </c>
      <c r="O311" s="69" t="str">
        <f>IF(Main[[#This Row],[Tech Start Date]]&lt;1/1/1990,"",IF(Main[[#This Row],[Class]]="C",WORKDAY(Main[[#This Row],[Tech Start Date]],23),IF(Main[[#This Row],[Class]]="B", WORKDAY(Main[[#This Row],[Tech Start Date]],15),IF(Main[[#This Row],[Class]]="A",WORKDAY(Main[[#This Row],[Tech Start Date]],5),""))))</f>
        <v/>
      </c>
      <c r="P311" s="69" t="str">
        <f>IF(Main[[#This Row],[Tech Start Date]]&lt;1/1/1990,"",IF(Main[[#This Row],[Class]]="C",WORKDAY(Main[[#This Row],[Tech Start Date]],28),IF(Main[[#This Row],[Class]]="B", WORKDAY(Main[[#This Row],[Tech Start Date]],19),IF(Main[[#This Row],[Class]]="A",WORKDAY(Main[[#This Row],[Tech Start Date]],9),""))))</f>
        <v/>
      </c>
      <c r="Q311" s="67">
        <v>40169</v>
      </c>
      <c r="R311" s="67"/>
      <c r="S311" s="65" t="s">
        <v>11</v>
      </c>
      <c r="T311" s="70" t="s">
        <v>4</v>
      </c>
      <c r="U311" s="65" t="s">
        <v>14</v>
      </c>
      <c r="V311" s="65" t="s">
        <v>1918</v>
      </c>
      <c r="W311" s="65" t="s">
        <v>1925</v>
      </c>
      <c r="X311" s="65" t="s">
        <v>2841</v>
      </c>
      <c r="Y311" s="65" t="s">
        <v>4</v>
      </c>
      <c r="Z311" s="65" t="s">
        <v>4</v>
      </c>
      <c r="AA311" s="65" t="s">
        <v>2841</v>
      </c>
    </row>
    <row r="312" spans="1:27" ht="17.45" customHeight="1">
      <c r="A312" s="131" t="str">
        <f>IF(priority(Main[[#This Row],[Comments]])&lt;&gt;0, priority(Main[[#This Row],[Comments]]),"")</f>
        <v/>
      </c>
      <c r="B312" s="99" t="s">
        <v>1170</v>
      </c>
      <c r="C312" s="65" t="s">
        <v>72</v>
      </c>
      <c r="D312" s="66" t="s">
        <v>223</v>
      </c>
      <c r="E312" s="67"/>
      <c r="F312" s="67">
        <v>40391</v>
      </c>
      <c r="G312" s="64" t="str">
        <f>IF(stdProdLT(Main[[#This Row],[Comments]])=0.1,"N/A",IF(stdProdLT(Main[[#This Row],[Comments]])=0,"",stdProdLT(Main[[#This Row],[Comments]])))</f>
        <v/>
      </c>
      <c r="H312" s="68" t="str">
        <f>IF(AND(Main[[#This Row],[In Stock Date]]&lt;&gt;"",Main[[#This Row],[Revised Due Date]]&lt;&gt;""),Main[[#This Row],[In Stock Date]]-Main[[#This Row],[Revised Due Date]],"")</f>
        <v/>
      </c>
      <c r="I312" s="65" t="s">
        <v>4</v>
      </c>
      <c r="J312" s="65" t="s">
        <v>4</v>
      </c>
      <c r="K312" s="65" t="s">
        <v>4</v>
      </c>
      <c r="L312" s="67"/>
      <c r="M312" s="69" t="str">
        <f>IF(Main[[#This Row],[Tech Start Date]]&lt;1/1/1990,"",IF(Main[[#This Row],[Class]]="C",WORKDAY(Main[[#This Row],[Tech Start Date]],9),IF(Main[[#This Row],[Class]]="B", WORKDAY(Main[[#This Row],[Tech Start Date]],6),IF(Main[[#This Row],[Class]]="A",WORKDAY(Main[[#This Row],[Tech Start Date]],2),""))))</f>
        <v/>
      </c>
      <c r="N312" s="69" t="str">
        <f>IF(Main[[#This Row],[Tech Start Date]]&lt;1/1/1990,"",IF(Main[[#This Row],[Class]]="C",WORKDAY(Main[[#This Row],[Tech Start Date]],19),IF(Main[[#This Row],[Class]]="B", WORKDAY(Main[[#This Row],[Tech Start Date]],12),IF(Main[[#This Row],[Class]]="A",WORKDAY(Main[[#This Row],[Tech Start Date]],4),""))))</f>
        <v/>
      </c>
      <c r="O312" s="69" t="str">
        <f>IF(Main[[#This Row],[Tech Start Date]]&lt;1/1/1990,"",IF(Main[[#This Row],[Class]]="C",WORKDAY(Main[[#This Row],[Tech Start Date]],23),IF(Main[[#This Row],[Class]]="B", WORKDAY(Main[[#This Row],[Tech Start Date]],15),IF(Main[[#This Row],[Class]]="A",WORKDAY(Main[[#This Row],[Tech Start Date]],5),""))))</f>
        <v/>
      </c>
      <c r="P312" s="69" t="str">
        <f>IF(Main[[#This Row],[Tech Start Date]]&lt;1/1/1990,"",IF(Main[[#This Row],[Class]]="C",WORKDAY(Main[[#This Row],[Tech Start Date]],28),IF(Main[[#This Row],[Class]]="B", WORKDAY(Main[[#This Row],[Tech Start Date]],19),IF(Main[[#This Row],[Class]]="A",WORKDAY(Main[[#This Row],[Tech Start Date]],9),""))))</f>
        <v/>
      </c>
      <c r="Q312" s="67">
        <v>40291</v>
      </c>
      <c r="R312" s="67"/>
      <c r="S312" s="65" t="s">
        <v>11</v>
      </c>
      <c r="T312" s="70" t="s">
        <v>4</v>
      </c>
      <c r="U312" s="65" t="s">
        <v>12</v>
      </c>
      <c r="V312" s="65" t="s">
        <v>1918</v>
      </c>
      <c r="W312" s="65" t="s">
        <v>1922</v>
      </c>
      <c r="X312" s="65" t="s">
        <v>2870</v>
      </c>
      <c r="Y312" s="65" t="s">
        <v>4</v>
      </c>
      <c r="Z312" s="65" t="s">
        <v>4</v>
      </c>
      <c r="AA312" s="65" t="s">
        <v>2870</v>
      </c>
    </row>
    <row r="313" spans="1:27" ht="17.45" customHeight="1">
      <c r="A313" s="131" t="str">
        <f>IF(priority(Main[[#This Row],[Comments]])&lt;&gt;0, priority(Main[[#This Row],[Comments]]),"")</f>
        <v/>
      </c>
      <c r="B313" s="99" t="s">
        <v>1172</v>
      </c>
      <c r="C313" s="65" t="s">
        <v>4</v>
      </c>
      <c r="D313" s="66" t="s">
        <v>226</v>
      </c>
      <c r="E313" s="67"/>
      <c r="F313" s="67">
        <v>40574</v>
      </c>
      <c r="G313" s="64" t="str">
        <f>IF(stdProdLT(Main[[#This Row],[Comments]])=0.1,"N/A",IF(stdProdLT(Main[[#This Row],[Comments]])=0,"",stdProdLT(Main[[#This Row],[Comments]])))</f>
        <v/>
      </c>
      <c r="H313" s="68" t="str">
        <f>IF(AND(Main[[#This Row],[In Stock Date]]&lt;&gt;"",Main[[#This Row],[Revised Due Date]]&lt;&gt;""),Main[[#This Row],[In Stock Date]]-Main[[#This Row],[Revised Due Date]],"")</f>
        <v/>
      </c>
      <c r="I313" s="65" t="s">
        <v>4</v>
      </c>
      <c r="J313" s="65" t="s">
        <v>28</v>
      </c>
      <c r="K313" s="65" t="s">
        <v>1926</v>
      </c>
      <c r="L313" s="67"/>
      <c r="M313" s="69" t="str">
        <f>IF(Main[[#This Row],[Tech Start Date]]&lt;1/1/1990,"",IF(Main[[#This Row],[Class]]="C",WORKDAY(Main[[#This Row],[Tech Start Date]],9),IF(Main[[#This Row],[Class]]="B", WORKDAY(Main[[#This Row],[Tech Start Date]],6),IF(Main[[#This Row],[Class]]="A",WORKDAY(Main[[#This Row],[Tech Start Date]],2),""))))</f>
        <v/>
      </c>
      <c r="N313" s="69" t="str">
        <f>IF(Main[[#This Row],[Tech Start Date]]&lt;1/1/1990,"",IF(Main[[#This Row],[Class]]="C",WORKDAY(Main[[#This Row],[Tech Start Date]],19),IF(Main[[#This Row],[Class]]="B", WORKDAY(Main[[#This Row],[Tech Start Date]],12),IF(Main[[#This Row],[Class]]="A",WORKDAY(Main[[#This Row],[Tech Start Date]],4),""))))</f>
        <v/>
      </c>
      <c r="O313" s="69" t="str">
        <f>IF(Main[[#This Row],[Tech Start Date]]&lt;1/1/1990,"",IF(Main[[#This Row],[Class]]="C",WORKDAY(Main[[#This Row],[Tech Start Date]],23),IF(Main[[#This Row],[Class]]="B", WORKDAY(Main[[#This Row],[Tech Start Date]],15),IF(Main[[#This Row],[Class]]="A",WORKDAY(Main[[#This Row],[Tech Start Date]],5),""))))</f>
        <v/>
      </c>
      <c r="P313" s="69" t="str">
        <f>IF(Main[[#This Row],[Tech Start Date]]&lt;1/1/1990,"",IF(Main[[#This Row],[Class]]="C",WORKDAY(Main[[#This Row],[Tech Start Date]],28),IF(Main[[#This Row],[Class]]="B", WORKDAY(Main[[#This Row],[Tech Start Date]],19),IF(Main[[#This Row],[Class]]="A",WORKDAY(Main[[#This Row],[Tech Start Date]],9),""))))</f>
        <v/>
      </c>
      <c r="Q313" s="67">
        <v>40574</v>
      </c>
      <c r="R313" s="67"/>
      <c r="S313" s="65" t="s">
        <v>6</v>
      </c>
      <c r="T313" s="70" t="s">
        <v>4</v>
      </c>
      <c r="U313" s="65" t="s">
        <v>14</v>
      </c>
      <c r="V313" s="65" t="s">
        <v>1920</v>
      </c>
      <c r="W313" s="65" t="s">
        <v>1921</v>
      </c>
      <c r="X313" s="65" t="s">
        <v>2828</v>
      </c>
      <c r="Y313" s="65" t="s">
        <v>2944</v>
      </c>
      <c r="Z313" s="65" t="s">
        <v>530</v>
      </c>
      <c r="AA313" s="65" t="s">
        <v>2828</v>
      </c>
    </row>
    <row r="314" spans="1:27" ht="17.45" customHeight="1">
      <c r="A314" s="131" t="str">
        <f>IF(priority(Main[[#This Row],[Comments]])&lt;&gt;0, priority(Main[[#This Row],[Comments]]),"")</f>
        <v/>
      </c>
      <c r="B314" s="99" t="s">
        <v>1175</v>
      </c>
      <c r="C314" s="65" t="s">
        <v>4</v>
      </c>
      <c r="D314" s="66" t="s">
        <v>228</v>
      </c>
      <c r="E314" s="67"/>
      <c r="F314" s="67"/>
      <c r="G314" s="64" t="str">
        <f>IF(stdProdLT(Main[[#This Row],[Comments]])=0.1,"N/A",IF(stdProdLT(Main[[#This Row],[Comments]])=0,"",stdProdLT(Main[[#This Row],[Comments]])))</f>
        <v/>
      </c>
      <c r="H314" s="68" t="str">
        <f>IF(AND(Main[[#This Row],[In Stock Date]]&lt;&gt;"",Main[[#This Row],[Revised Due Date]]&lt;&gt;""),Main[[#This Row],[In Stock Date]]-Main[[#This Row],[Revised Due Date]],"")</f>
        <v/>
      </c>
      <c r="I314" s="65" t="s">
        <v>4</v>
      </c>
      <c r="J314" s="65" t="s">
        <v>4</v>
      </c>
      <c r="K314" s="65" t="s">
        <v>4</v>
      </c>
      <c r="L314" s="67"/>
      <c r="M314" s="69" t="str">
        <f>IF(Main[[#This Row],[Tech Start Date]]&lt;1/1/1990,"",IF(Main[[#This Row],[Class]]="C",WORKDAY(Main[[#This Row],[Tech Start Date]],9),IF(Main[[#This Row],[Class]]="B", WORKDAY(Main[[#This Row],[Tech Start Date]],6),IF(Main[[#This Row],[Class]]="A",WORKDAY(Main[[#This Row],[Tech Start Date]],2),""))))</f>
        <v/>
      </c>
      <c r="N314" s="69" t="str">
        <f>IF(Main[[#This Row],[Tech Start Date]]&lt;1/1/1990,"",IF(Main[[#This Row],[Class]]="C",WORKDAY(Main[[#This Row],[Tech Start Date]],19),IF(Main[[#This Row],[Class]]="B", WORKDAY(Main[[#This Row],[Tech Start Date]],12),IF(Main[[#This Row],[Class]]="A",WORKDAY(Main[[#This Row],[Tech Start Date]],4),""))))</f>
        <v/>
      </c>
      <c r="O314" s="69" t="str">
        <f>IF(Main[[#This Row],[Tech Start Date]]&lt;1/1/1990,"",IF(Main[[#This Row],[Class]]="C",WORKDAY(Main[[#This Row],[Tech Start Date]],23),IF(Main[[#This Row],[Class]]="B", WORKDAY(Main[[#This Row],[Tech Start Date]],15),IF(Main[[#This Row],[Class]]="A",WORKDAY(Main[[#This Row],[Tech Start Date]],5),""))))</f>
        <v/>
      </c>
      <c r="P314" s="69" t="str">
        <f>IF(Main[[#This Row],[Tech Start Date]]&lt;1/1/1990,"",IF(Main[[#This Row],[Class]]="C",WORKDAY(Main[[#This Row],[Tech Start Date]],28),IF(Main[[#This Row],[Class]]="B", WORKDAY(Main[[#This Row],[Tech Start Date]],19),IF(Main[[#This Row],[Class]]="A",WORKDAY(Main[[#This Row],[Tech Start Date]],9),""))))</f>
        <v/>
      </c>
      <c r="Q314" s="67">
        <v>40724</v>
      </c>
      <c r="R314" s="67"/>
      <c r="S314" s="65" t="s">
        <v>6</v>
      </c>
      <c r="T314" s="70" t="s">
        <v>4</v>
      </c>
      <c r="U314" s="65" t="s">
        <v>12</v>
      </c>
      <c r="V314" s="65" t="s">
        <v>1917</v>
      </c>
      <c r="W314" s="65" t="s">
        <v>1921</v>
      </c>
      <c r="X314" s="65" t="s">
        <v>879</v>
      </c>
      <c r="Y314" s="65" t="s">
        <v>3015</v>
      </c>
      <c r="Z314" s="65" t="s">
        <v>4</v>
      </c>
      <c r="AA314" s="65" t="s">
        <v>879</v>
      </c>
    </row>
    <row r="315" spans="1:27" ht="17.45" customHeight="1">
      <c r="A315" s="131" t="str">
        <f>IF(priority(Main[[#This Row],[Comments]])&lt;&gt;0, priority(Main[[#This Row],[Comments]]),"")</f>
        <v/>
      </c>
      <c r="B315" s="99" t="s">
        <v>2354</v>
      </c>
      <c r="C315" s="65" t="s">
        <v>53</v>
      </c>
      <c r="D315" s="66" t="s">
        <v>2355</v>
      </c>
      <c r="E315" s="67"/>
      <c r="F315" s="67">
        <v>40845</v>
      </c>
      <c r="G315" s="64" t="str">
        <f>IF(stdProdLT(Main[[#This Row],[Comments]])=0.1,"N/A",IF(stdProdLT(Main[[#This Row],[Comments]])=0,"",stdProdLT(Main[[#This Row],[Comments]])))</f>
        <v/>
      </c>
      <c r="H315" s="68" t="str">
        <f>IF(AND(Main[[#This Row],[In Stock Date]]&lt;&gt;"",Main[[#This Row],[Revised Due Date]]&lt;&gt;""),Main[[#This Row],[In Stock Date]]-Main[[#This Row],[Revised Due Date]],"")</f>
        <v/>
      </c>
      <c r="I315" s="65" t="s">
        <v>4</v>
      </c>
      <c r="J315" s="65" t="s">
        <v>28</v>
      </c>
      <c r="K315" s="65" t="s">
        <v>4</v>
      </c>
      <c r="L315" s="67"/>
      <c r="M315" s="69" t="str">
        <f>IF(Main[[#This Row],[Tech Start Date]]&lt;1/1/1990,"",IF(Main[[#This Row],[Class]]="C",WORKDAY(Main[[#This Row],[Tech Start Date]],9),IF(Main[[#This Row],[Class]]="B", WORKDAY(Main[[#This Row],[Tech Start Date]],6),IF(Main[[#This Row],[Class]]="A",WORKDAY(Main[[#This Row],[Tech Start Date]],2),""))))</f>
        <v/>
      </c>
      <c r="N315" s="69" t="str">
        <f>IF(Main[[#This Row],[Tech Start Date]]&lt;1/1/1990,"",IF(Main[[#This Row],[Class]]="C",WORKDAY(Main[[#This Row],[Tech Start Date]],19),IF(Main[[#This Row],[Class]]="B", WORKDAY(Main[[#This Row],[Tech Start Date]],12),IF(Main[[#This Row],[Class]]="A",WORKDAY(Main[[#This Row],[Tech Start Date]],4),""))))</f>
        <v/>
      </c>
      <c r="O315" s="69" t="str">
        <f>IF(Main[[#This Row],[Tech Start Date]]&lt;1/1/1990,"",IF(Main[[#This Row],[Class]]="C",WORKDAY(Main[[#This Row],[Tech Start Date]],23),IF(Main[[#This Row],[Class]]="B", WORKDAY(Main[[#This Row],[Tech Start Date]],15),IF(Main[[#This Row],[Class]]="A",WORKDAY(Main[[#This Row],[Tech Start Date]],5),""))))</f>
        <v/>
      </c>
      <c r="P315" s="69" t="str">
        <f>IF(Main[[#This Row],[Tech Start Date]]&lt;1/1/1990,"",IF(Main[[#This Row],[Class]]="C",WORKDAY(Main[[#This Row],[Tech Start Date]],28),IF(Main[[#This Row],[Class]]="B", WORKDAY(Main[[#This Row],[Tech Start Date]],19),IF(Main[[#This Row],[Class]]="A",WORKDAY(Main[[#This Row],[Tech Start Date]],9),""))))</f>
        <v/>
      </c>
      <c r="Q315" s="67">
        <v>40840</v>
      </c>
      <c r="R315" s="67"/>
      <c r="S315" s="65" t="s">
        <v>11</v>
      </c>
      <c r="T315" s="70" t="s">
        <v>2356</v>
      </c>
      <c r="U315" s="65" t="s">
        <v>12</v>
      </c>
      <c r="V315" s="65" t="s">
        <v>1918</v>
      </c>
      <c r="W315" s="65" t="s">
        <v>1919</v>
      </c>
      <c r="X315" s="65" t="s">
        <v>2254</v>
      </c>
      <c r="Y315" s="65" t="s">
        <v>4</v>
      </c>
      <c r="Z315" s="65" t="s">
        <v>2056</v>
      </c>
      <c r="AA315" s="65" t="s">
        <v>2822</v>
      </c>
    </row>
    <row r="316" spans="1:27" ht="17.45" customHeight="1">
      <c r="A316" s="131" t="str">
        <f>IF(priority(Main[[#This Row],[Comments]])&lt;&gt;0, priority(Main[[#This Row],[Comments]]),"")</f>
        <v/>
      </c>
      <c r="B316" s="99" t="s">
        <v>1178</v>
      </c>
      <c r="C316" s="65" t="s">
        <v>67</v>
      </c>
      <c r="D316" s="66" t="s">
        <v>231</v>
      </c>
      <c r="E316" s="67"/>
      <c r="F316" s="67"/>
      <c r="G316" s="64" t="str">
        <f>IF(stdProdLT(Main[[#This Row],[Comments]])=0.1,"N/A",IF(stdProdLT(Main[[#This Row],[Comments]])=0,"",stdProdLT(Main[[#This Row],[Comments]])))</f>
        <v/>
      </c>
      <c r="H316" s="68" t="str">
        <f>IF(AND(Main[[#This Row],[In Stock Date]]&lt;&gt;"",Main[[#This Row],[Revised Due Date]]&lt;&gt;""),Main[[#This Row],[In Stock Date]]-Main[[#This Row],[Revised Due Date]],"")</f>
        <v/>
      </c>
      <c r="I316" s="65" t="s">
        <v>4</v>
      </c>
      <c r="J316" s="65" t="s">
        <v>4</v>
      </c>
      <c r="K316" s="71" t="s">
        <v>4</v>
      </c>
      <c r="L316" s="67"/>
      <c r="M316" s="69" t="str">
        <f>IF(Main[[#This Row],[Tech Start Date]]&lt;1/1/1990,"",IF(Main[[#This Row],[Class]]="C",WORKDAY(Main[[#This Row],[Tech Start Date]],9),IF(Main[[#This Row],[Class]]="B", WORKDAY(Main[[#This Row],[Tech Start Date]],6),IF(Main[[#This Row],[Class]]="A",WORKDAY(Main[[#This Row],[Tech Start Date]],2),""))))</f>
        <v/>
      </c>
      <c r="N316" s="69" t="str">
        <f>IF(Main[[#This Row],[Tech Start Date]]&lt;1/1/1990,"",IF(Main[[#This Row],[Class]]="C",WORKDAY(Main[[#This Row],[Tech Start Date]],19),IF(Main[[#This Row],[Class]]="B", WORKDAY(Main[[#This Row],[Tech Start Date]],12),IF(Main[[#This Row],[Class]]="A",WORKDAY(Main[[#This Row],[Tech Start Date]],4),""))))</f>
        <v/>
      </c>
      <c r="O316" s="69" t="str">
        <f>IF(Main[[#This Row],[Tech Start Date]]&lt;1/1/1990,"",IF(Main[[#This Row],[Class]]="C",WORKDAY(Main[[#This Row],[Tech Start Date]],23),IF(Main[[#This Row],[Class]]="B", WORKDAY(Main[[#This Row],[Tech Start Date]],15),IF(Main[[#This Row],[Class]]="A",WORKDAY(Main[[#This Row],[Tech Start Date]],5),""))))</f>
        <v/>
      </c>
      <c r="P316" s="69" t="str">
        <f>IF(Main[[#This Row],[Tech Start Date]]&lt;1/1/1990,"",IF(Main[[#This Row],[Class]]="C",WORKDAY(Main[[#This Row],[Tech Start Date]],28),IF(Main[[#This Row],[Class]]="B", WORKDAY(Main[[#This Row],[Tech Start Date]],19),IF(Main[[#This Row],[Class]]="A",WORKDAY(Main[[#This Row],[Tech Start Date]],9),""))))</f>
        <v/>
      </c>
      <c r="Q316" s="67">
        <v>40466</v>
      </c>
      <c r="R316" s="67"/>
      <c r="S316" s="65" t="s">
        <v>17</v>
      </c>
      <c r="T316" s="70" t="s">
        <v>4</v>
      </c>
      <c r="U316" s="65" t="s">
        <v>14</v>
      </c>
      <c r="V316" s="65" t="s">
        <v>1920</v>
      </c>
      <c r="W316" s="65" t="s">
        <v>1925</v>
      </c>
      <c r="X316" s="65" t="s">
        <v>415</v>
      </c>
      <c r="Y316" s="65" t="s">
        <v>2955</v>
      </c>
      <c r="Z316" s="65" t="s">
        <v>415</v>
      </c>
      <c r="AA316" s="65" t="s">
        <v>415</v>
      </c>
    </row>
    <row r="317" spans="1:27" ht="17.45" customHeight="1">
      <c r="A317" s="131" t="str">
        <f>IF(priority(Main[[#This Row],[Comments]])&lt;&gt;0, priority(Main[[#This Row],[Comments]]),"")</f>
        <v/>
      </c>
      <c r="B317" s="99" t="s">
        <v>1179</v>
      </c>
      <c r="C317" s="65" t="s">
        <v>72</v>
      </c>
      <c r="D317" s="66" t="s">
        <v>223</v>
      </c>
      <c r="E317" s="67"/>
      <c r="F317" s="67">
        <v>40391</v>
      </c>
      <c r="G317" s="64" t="str">
        <f>IF(stdProdLT(Main[[#This Row],[Comments]])=0.1,"N/A",IF(stdProdLT(Main[[#This Row],[Comments]])=0,"",stdProdLT(Main[[#This Row],[Comments]])))</f>
        <v/>
      </c>
      <c r="H317" s="68" t="str">
        <f>IF(AND(Main[[#This Row],[In Stock Date]]&lt;&gt;"",Main[[#This Row],[Revised Due Date]]&lt;&gt;""),Main[[#This Row],[In Stock Date]]-Main[[#This Row],[Revised Due Date]],"")</f>
        <v/>
      </c>
      <c r="I317" s="65" t="s">
        <v>4</v>
      </c>
      <c r="J317" s="65" t="s">
        <v>4</v>
      </c>
      <c r="K317" s="65" t="s">
        <v>4</v>
      </c>
      <c r="L317" s="67"/>
      <c r="M317" s="69" t="str">
        <f>IF(Main[[#This Row],[Tech Start Date]]&lt;1/1/1990,"",IF(Main[[#This Row],[Class]]="C",WORKDAY(Main[[#This Row],[Tech Start Date]],9),IF(Main[[#This Row],[Class]]="B", WORKDAY(Main[[#This Row],[Tech Start Date]],6),IF(Main[[#This Row],[Class]]="A",WORKDAY(Main[[#This Row],[Tech Start Date]],2),""))))</f>
        <v/>
      </c>
      <c r="N317" s="69" t="str">
        <f>IF(Main[[#This Row],[Tech Start Date]]&lt;1/1/1990,"",IF(Main[[#This Row],[Class]]="C",WORKDAY(Main[[#This Row],[Tech Start Date]],19),IF(Main[[#This Row],[Class]]="B", WORKDAY(Main[[#This Row],[Tech Start Date]],12),IF(Main[[#This Row],[Class]]="A",WORKDAY(Main[[#This Row],[Tech Start Date]],4),""))))</f>
        <v/>
      </c>
      <c r="O317" s="69" t="str">
        <f>IF(Main[[#This Row],[Tech Start Date]]&lt;1/1/1990,"",IF(Main[[#This Row],[Class]]="C",WORKDAY(Main[[#This Row],[Tech Start Date]],23),IF(Main[[#This Row],[Class]]="B", WORKDAY(Main[[#This Row],[Tech Start Date]],15),IF(Main[[#This Row],[Class]]="A",WORKDAY(Main[[#This Row],[Tech Start Date]],5),""))))</f>
        <v/>
      </c>
      <c r="P317" s="69" t="str">
        <f>IF(Main[[#This Row],[Tech Start Date]]&lt;1/1/1990,"",IF(Main[[#This Row],[Class]]="C",WORKDAY(Main[[#This Row],[Tech Start Date]],28),IF(Main[[#This Row],[Class]]="B", WORKDAY(Main[[#This Row],[Tech Start Date]],19),IF(Main[[#This Row],[Class]]="A",WORKDAY(Main[[#This Row],[Tech Start Date]],9),""))))</f>
        <v/>
      </c>
      <c r="Q317" s="67">
        <v>40291</v>
      </c>
      <c r="R317" s="67"/>
      <c r="S317" s="65" t="s">
        <v>11</v>
      </c>
      <c r="T317" s="70" t="s">
        <v>4</v>
      </c>
      <c r="U317" s="65" t="s">
        <v>12</v>
      </c>
      <c r="V317" s="65" t="s">
        <v>1918</v>
      </c>
      <c r="W317" s="65" t="s">
        <v>1922</v>
      </c>
      <c r="X317" s="65" t="s">
        <v>2870</v>
      </c>
      <c r="Y317" s="65" t="s">
        <v>4</v>
      </c>
      <c r="Z317" s="65" t="s">
        <v>4</v>
      </c>
      <c r="AA317" s="65" t="s">
        <v>2870</v>
      </c>
    </row>
    <row r="318" spans="1:27" ht="17.45" customHeight="1">
      <c r="A318" s="131" t="str">
        <f>IF(priority(Main[[#This Row],[Comments]])&lt;&gt;0, priority(Main[[#This Row],[Comments]]),"")</f>
        <v/>
      </c>
      <c r="B318" s="99" t="s">
        <v>1221</v>
      </c>
      <c r="C318" s="65" t="s">
        <v>4</v>
      </c>
      <c r="D318" s="66" t="s">
        <v>279</v>
      </c>
      <c r="E318" s="67"/>
      <c r="F318" s="67"/>
      <c r="G318" s="64" t="str">
        <f>IF(stdProdLT(Main[[#This Row],[Comments]])=0.1,"N/A",IF(stdProdLT(Main[[#This Row],[Comments]])=0,"",stdProdLT(Main[[#This Row],[Comments]])))</f>
        <v/>
      </c>
      <c r="H318" s="68" t="str">
        <f>IF(AND(Main[[#This Row],[In Stock Date]]&lt;&gt;"",Main[[#This Row],[Revised Due Date]]&lt;&gt;""),Main[[#This Row],[In Stock Date]]-Main[[#This Row],[Revised Due Date]],"")</f>
        <v/>
      </c>
      <c r="I318" s="65" t="s">
        <v>4</v>
      </c>
      <c r="J318" s="65" t="s">
        <v>4</v>
      </c>
      <c r="K318" s="71" t="s">
        <v>4</v>
      </c>
      <c r="L318" s="67"/>
      <c r="M318" s="69" t="str">
        <f>IF(Main[[#This Row],[Tech Start Date]]&lt;1/1/1990,"",IF(Main[[#This Row],[Class]]="C",WORKDAY(Main[[#This Row],[Tech Start Date]],9),IF(Main[[#This Row],[Class]]="B", WORKDAY(Main[[#This Row],[Tech Start Date]],6),IF(Main[[#This Row],[Class]]="A",WORKDAY(Main[[#This Row],[Tech Start Date]],2),""))))</f>
        <v/>
      </c>
      <c r="N318" s="69" t="str">
        <f>IF(Main[[#This Row],[Tech Start Date]]&lt;1/1/1990,"",IF(Main[[#This Row],[Class]]="C",WORKDAY(Main[[#This Row],[Tech Start Date]],19),IF(Main[[#This Row],[Class]]="B", WORKDAY(Main[[#This Row],[Tech Start Date]],12),IF(Main[[#This Row],[Class]]="A",WORKDAY(Main[[#This Row],[Tech Start Date]],4),""))))</f>
        <v/>
      </c>
      <c r="O318" s="69" t="str">
        <f>IF(Main[[#This Row],[Tech Start Date]]&lt;1/1/1990,"",IF(Main[[#This Row],[Class]]="C",WORKDAY(Main[[#This Row],[Tech Start Date]],23),IF(Main[[#This Row],[Class]]="B", WORKDAY(Main[[#This Row],[Tech Start Date]],15),IF(Main[[#This Row],[Class]]="A",WORKDAY(Main[[#This Row],[Tech Start Date]],5),""))))</f>
        <v/>
      </c>
      <c r="P318" s="69" t="str">
        <f>IF(Main[[#This Row],[Tech Start Date]]&lt;1/1/1990,"",IF(Main[[#This Row],[Class]]="C",WORKDAY(Main[[#This Row],[Tech Start Date]],28),IF(Main[[#This Row],[Class]]="B", WORKDAY(Main[[#This Row],[Tech Start Date]],19),IF(Main[[#This Row],[Class]]="A",WORKDAY(Main[[#This Row],[Tech Start Date]],9),""))))</f>
        <v/>
      </c>
      <c r="Q318" s="67"/>
      <c r="R318" s="67"/>
      <c r="S318" s="65" t="s">
        <v>23</v>
      </c>
      <c r="T318" s="70" t="s">
        <v>4</v>
      </c>
      <c r="U318" s="65" t="s">
        <v>12</v>
      </c>
      <c r="V318" s="65" t="s">
        <v>1917</v>
      </c>
      <c r="W318" s="65" t="s">
        <v>1921</v>
      </c>
      <c r="X318" s="65" t="s">
        <v>399</v>
      </c>
      <c r="Y318" s="65" t="s">
        <v>4</v>
      </c>
      <c r="Z318" s="65" t="s">
        <v>4</v>
      </c>
      <c r="AA318" s="65" t="s">
        <v>3390</v>
      </c>
    </row>
    <row r="319" spans="1:27" ht="17.45" customHeight="1">
      <c r="A319" s="131" t="str">
        <f>IF(priority(Main[[#This Row],[Comments]])&lt;&gt;0, priority(Main[[#This Row],[Comments]]),"")</f>
        <v/>
      </c>
      <c r="B319" s="99" t="s">
        <v>1222</v>
      </c>
      <c r="C319" s="65" t="s">
        <v>31</v>
      </c>
      <c r="D319" s="66" t="s">
        <v>280</v>
      </c>
      <c r="E319" s="67"/>
      <c r="F319" s="67"/>
      <c r="G319" s="64" t="str">
        <f>IF(stdProdLT(Main[[#This Row],[Comments]])=0.1,"N/A",IF(stdProdLT(Main[[#This Row],[Comments]])=0,"",stdProdLT(Main[[#This Row],[Comments]])))</f>
        <v/>
      </c>
      <c r="H319" s="68" t="str">
        <f>IF(AND(Main[[#This Row],[In Stock Date]]&lt;&gt;"",Main[[#This Row],[Revised Due Date]]&lt;&gt;""),Main[[#This Row],[In Stock Date]]-Main[[#This Row],[Revised Due Date]],"")</f>
        <v/>
      </c>
      <c r="I319" s="65" t="s">
        <v>4</v>
      </c>
      <c r="J319" s="65" t="s">
        <v>4</v>
      </c>
      <c r="K319" s="65" t="s">
        <v>4</v>
      </c>
      <c r="L319" s="67"/>
      <c r="M319" s="69" t="str">
        <f>IF(Main[[#This Row],[Tech Start Date]]&lt;1/1/1990,"",IF(Main[[#This Row],[Class]]="C",WORKDAY(Main[[#This Row],[Tech Start Date]],9),IF(Main[[#This Row],[Class]]="B", WORKDAY(Main[[#This Row],[Tech Start Date]],6),IF(Main[[#This Row],[Class]]="A",WORKDAY(Main[[#This Row],[Tech Start Date]],2),""))))</f>
        <v/>
      </c>
      <c r="N319" s="69" t="str">
        <f>IF(Main[[#This Row],[Tech Start Date]]&lt;1/1/1990,"",IF(Main[[#This Row],[Class]]="C",WORKDAY(Main[[#This Row],[Tech Start Date]],19),IF(Main[[#This Row],[Class]]="B", WORKDAY(Main[[#This Row],[Tech Start Date]],12),IF(Main[[#This Row],[Class]]="A",WORKDAY(Main[[#This Row],[Tech Start Date]],4),""))))</f>
        <v/>
      </c>
      <c r="O319" s="69" t="str">
        <f>IF(Main[[#This Row],[Tech Start Date]]&lt;1/1/1990,"",IF(Main[[#This Row],[Class]]="C",WORKDAY(Main[[#This Row],[Tech Start Date]],23),IF(Main[[#This Row],[Class]]="B", WORKDAY(Main[[#This Row],[Tech Start Date]],15),IF(Main[[#This Row],[Class]]="A",WORKDAY(Main[[#This Row],[Tech Start Date]],5),""))))</f>
        <v/>
      </c>
      <c r="P319" s="69" t="str">
        <f>IF(Main[[#This Row],[Tech Start Date]]&lt;1/1/1990,"",IF(Main[[#This Row],[Class]]="C",WORKDAY(Main[[#This Row],[Tech Start Date]],28),IF(Main[[#This Row],[Class]]="B", WORKDAY(Main[[#This Row],[Tech Start Date]],19),IF(Main[[#This Row],[Class]]="A",WORKDAY(Main[[#This Row],[Tech Start Date]],9),""))))</f>
        <v/>
      </c>
      <c r="Q319" s="67">
        <v>40318</v>
      </c>
      <c r="R319" s="67"/>
      <c r="S319" s="65" t="s">
        <v>11</v>
      </c>
      <c r="T319" s="70" t="s">
        <v>4</v>
      </c>
      <c r="U319" s="65" t="s">
        <v>14</v>
      </c>
      <c r="V319" s="65" t="s">
        <v>1927</v>
      </c>
      <c r="W319" s="65" t="s">
        <v>1919</v>
      </c>
      <c r="X319" s="65" t="s">
        <v>2836</v>
      </c>
      <c r="Y319" s="65" t="s">
        <v>4</v>
      </c>
      <c r="Z319" s="65" t="s">
        <v>4</v>
      </c>
      <c r="AA319" s="65" t="s">
        <v>2836</v>
      </c>
    </row>
    <row r="320" spans="1:27" ht="17.45" customHeight="1">
      <c r="A320" s="131" t="str">
        <f>IF(priority(Main[[#This Row],[Comments]])&lt;&gt;0, priority(Main[[#This Row],[Comments]]),"")</f>
        <v/>
      </c>
      <c r="B320" s="99" t="s">
        <v>1826</v>
      </c>
      <c r="C320" s="65" t="s">
        <v>79</v>
      </c>
      <c r="D320" s="66" t="s">
        <v>876</v>
      </c>
      <c r="E320" s="67">
        <v>40072.658055555556</v>
      </c>
      <c r="F320" s="67">
        <v>40157</v>
      </c>
      <c r="G320" s="64" t="str">
        <f>IF(stdProdLT(Main[[#This Row],[Comments]])=0.1,"N/A",IF(stdProdLT(Main[[#This Row],[Comments]])=0,"",stdProdLT(Main[[#This Row],[Comments]])))</f>
        <v/>
      </c>
      <c r="H320" s="68">
        <f>IF(AND(Main[[#This Row],[In Stock Date]]&lt;&gt;"",Main[[#This Row],[Revised Due Date]]&lt;&gt;""),Main[[#This Row],[In Stock Date]]-Main[[#This Row],[Revised Due Date]],"")</f>
        <v>-171</v>
      </c>
      <c r="I320" s="65" t="s">
        <v>4</v>
      </c>
      <c r="J320" s="65" t="s">
        <v>4</v>
      </c>
      <c r="K320" s="65" t="s">
        <v>1929</v>
      </c>
      <c r="L320" s="67"/>
      <c r="M320" s="69" t="str">
        <f>IF(Main[[#This Row],[Tech Start Date]]&lt;1/1/1990,"",IF(Main[[#This Row],[Class]]="C",WORKDAY(Main[[#This Row],[Tech Start Date]],9),IF(Main[[#This Row],[Class]]="B", WORKDAY(Main[[#This Row],[Tech Start Date]],6),IF(Main[[#This Row],[Class]]="A",WORKDAY(Main[[#This Row],[Tech Start Date]],2),""))))</f>
        <v/>
      </c>
      <c r="N320" s="69" t="str">
        <f>IF(Main[[#This Row],[Tech Start Date]]&lt;1/1/1990,"",IF(Main[[#This Row],[Class]]="C",WORKDAY(Main[[#This Row],[Tech Start Date]],19),IF(Main[[#This Row],[Class]]="B", WORKDAY(Main[[#This Row],[Tech Start Date]],12),IF(Main[[#This Row],[Class]]="A",WORKDAY(Main[[#This Row],[Tech Start Date]],4),""))))</f>
        <v/>
      </c>
      <c r="O320" s="69" t="str">
        <f>IF(Main[[#This Row],[Tech Start Date]]&lt;1/1/1990,"",IF(Main[[#This Row],[Class]]="C",WORKDAY(Main[[#This Row],[Tech Start Date]],23),IF(Main[[#This Row],[Class]]="B", WORKDAY(Main[[#This Row],[Tech Start Date]],15),IF(Main[[#This Row],[Class]]="A",WORKDAY(Main[[#This Row],[Tech Start Date]],5),""))))</f>
        <v/>
      </c>
      <c r="P320" s="69" t="str">
        <f>IF(Main[[#This Row],[Tech Start Date]]&lt;1/1/1990,"",IF(Main[[#This Row],[Class]]="C",WORKDAY(Main[[#This Row],[Tech Start Date]],28),IF(Main[[#This Row],[Class]]="B", WORKDAY(Main[[#This Row],[Tech Start Date]],19),IF(Main[[#This Row],[Class]]="A",WORKDAY(Main[[#This Row],[Tech Start Date]],9),""))))</f>
        <v/>
      </c>
      <c r="Q320" s="67">
        <v>40117</v>
      </c>
      <c r="R320" s="67">
        <v>40328</v>
      </c>
      <c r="S320" s="65" t="s">
        <v>17</v>
      </c>
      <c r="T320" s="70" t="s">
        <v>4</v>
      </c>
      <c r="U320" s="65" t="s">
        <v>29</v>
      </c>
      <c r="V320" s="65" t="s">
        <v>1918</v>
      </c>
      <c r="W320" s="65" t="s">
        <v>1922</v>
      </c>
      <c r="X320" s="65" t="s">
        <v>2867</v>
      </c>
      <c r="Y320" s="65" t="s">
        <v>2962</v>
      </c>
      <c r="Z320" s="65" t="s">
        <v>4</v>
      </c>
      <c r="AA320" s="65" t="s">
        <v>2867</v>
      </c>
    </row>
    <row r="321" spans="1:27" ht="17.45" customHeight="1">
      <c r="A321" s="131" t="str">
        <f>IF(priority(Main[[#This Row],[Comments]])&lt;&gt;0, priority(Main[[#This Row],[Comments]]),"")</f>
        <v/>
      </c>
      <c r="B321" s="99" t="s">
        <v>1225</v>
      </c>
      <c r="C321" s="65" t="s">
        <v>169</v>
      </c>
      <c r="D321" s="66" t="s">
        <v>232</v>
      </c>
      <c r="E321" s="67"/>
      <c r="F321" s="67">
        <v>40237</v>
      </c>
      <c r="G321" s="64" t="str">
        <f>IF(stdProdLT(Main[[#This Row],[Comments]])=0.1,"N/A",IF(stdProdLT(Main[[#This Row],[Comments]])=0,"",stdProdLT(Main[[#This Row],[Comments]])))</f>
        <v/>
      </c>
      <c r="H321" s="68" t="str">
        <f>IF(AND(Main[[#This Row],[In Stock Date]]&lt;&gt;"",Main[[#This Row],[Revised Due Date]]&lt;&gt;""),Main[[#This Row],[In Stock Date]]-Main[[#This Row],[Revised Due Date]],"")</f>
        <v/>
      </c>
      <c r="I321" s="65" t="s">
        <v>4</v>
      </c>
      <c r="J321" s="65" t="s">
        <v>4</v>
      </c>
      <c r="K321" s="65" t="s">
        <v>4</v>
      </c>
      <c r="L321" s="67"/>
      <c r="M321" s="69" t="str">
        <f>IF(Main[[#This Row],[Tech Start Date]]&lt;1/1/1990,"",IF(Main[[#This Row],[Class]]="C",WORKDAY(Main[[#This Row],[Tech Start Date]],9),IF(Main[[#This Row],[Class]]="B", WORKDAY(Main[[#This Row],[Tech Start Date]],6),IF(Main[[#This Row],[Class]]="A",WORKDAY(Main[[#This Row],[Tech Start Date]],2),""))))</f>
        <v/>
      </c>
      <c r="N321" s="69" t="str">
        <f>IF(Main[[#This Row],[Tech Start Date]]&lt;1/1/1990,"",IF(Main[[#This Row],[Class]]="C",WORKDAY(Main[[#This Row],[Tech Start Date]],19),IF(Main[[#This Row],[Class]]="B", WORKDAY(Main[[#This Row],[Tech Start Date]],12),IF(Main[[#This Row],[Class]]="A",WORKDAY(Main[[#This Row],[Tech Start Date]],4),""))))</f>
        <v/>
      </c>
      <c r="O321" s="69" t="str">
        <f>IF(Main[[#This Row],[Tech Start Date]]&lt;1/1/1990,"",IF(Main[[#This Row],[Class]]="C",WORKDAY(Main[[#This Row],[Tech Start Date]],23),IF(Main[[#This Row],[Class]]="B", WORKDAY(Main[[#This Row],[Tech Start Date]],15),IF(Main[[#This Row],[Class]]="A",WORKDAY(Main[[#This Row],[Tech Start Date]],5),""))))</f>
        <v/>
      </c>
      <c r="P321" s="69" t="str">
        <f>IF(Main[[#This Row],[Tech Start Date]]&lt;1/1/1990,"",IF(Main[[#This Row],[Class]]="C",WORKDAY(Main[[#This Row],[Tech Start Date]],28),IF(Main[[#This Row],[Class]]="B", WORKDAY(Main[[#This Row],[Tech Start Date]],19),IF(Main[[#This Row],[Class]]="A",WORKDAY(Main[[#This Row],[Tech Start Date]],9),""))))</f>
        <v/>
      </c>
      <c r="Q321" s="67">
        <v>40132</v>
      </c>
      <c r="R321" s="67"/>
      <c r="S321" s="65" t="s">
        <v>11</v>
      </c>
      <c r="T321" s="70" t="s">
        <v>4</v>
      </c>
      <c r="U321" s="65" t="s">
        <v>14</v>
      </c>
      <c r="V321" s="65" t="s">
        <v>1917</v>
      </c>
      <c r="W321" s="65" t="s">
        <v>1922</v>
      </c>
      <c r="X321" s="65" t="s">
        <v>2864</v>
      </c>
      <c r="Y321" s="65" t="s">
        <v>4</v>
      </c>
      <c r="Z321" s="65" t="s">
        <v>4</v>
      </c>
      <c r="AA321" s="65" t="s">
        <v>2864</v>
      </c>
    </row>
    <row r="322" spans="1:27" ht="17.45" customHeight="1">
      <c r="A322" s="131" t="str">
        <f>IF(priority(Main[[#This Row],[Comments]])&lt;&gt;0, priority(Main[[#This Row],[Comments]]),"")</f>
        <v/>
      </c>
      <c r="B322" s="99" t="s">
        <v>1226</v>
      </c>
      <c r="C322" s="65" t="s">
        <v>4</v>
      </c>
      <c r="D322" s="66" t="s">
        <v>233</v>
      </c>
      <c r="E322" s="67">
        <v>40403.488668981481</v>
      </c>
      <c r="F322" s="67"/>
      <c r="G322" s="64" t="str">
        <f>IF(stdProdLT(Main[[#This Row],[Comments]])=0.1,"N/A",IF(stdProdLT(Main[[#This Row],[Comments]])=0,"",stdProdLT(Main[[#This Row],[Comments]])))</f>
        <v/>
      </c>
      <c r="H322" s="68" t="str">
        <f>IF(AND(Main[[#This Row],[In Stock Date]]&lt;&gt;"",Main[[#This Row],[Revised Due Date]]&lt;&gt;""),Main[[#This Row],[In Stock Date]]-Main[[#This Row],[Revised Due Date]],"")</f>
        <v/>
      </c>
      <c r="I322" s="65" t="s">
        <v>129</v>
      </c>
      <c r="J322" s="65" t="s">
        <v>28</v>
      </c>
      <c r="K322" s="71" t="s">
        <v>4</v>
      </c>
      <c r="L322" s="67"/>
      <c r="M322" s="69" t="str">
        <f>IF(Main[[#This Row],[Tech Start Date]]&lt;1/1/1990,"",IF(Main[[#This Row],[Class]]="C",WORKDAY(Main[[#This Row],[Tech Start Date]],9),IF(Main[[#This Row],[Class]]="B", WORKDAY(Main[[#This Row],[Tech Start Date]],6),IF(Main[[#This Row],[Class]]="A",WORKDAY(Main[[#This Row],[Tech Start Date]],2),""))))</f>
        <v/>
      </c>
      <c r="N322" s="69" t="str">
        <f>IF(Main[[#This Row],[Tech Start Date]]&lt;1/1/1990,"",IF(Main[[#This Row],[Class]]="C",WORKDAY(Main[[#This Row],[Tech Start Date]],19),IF(Main[[#This Row],[Class]]="B", WORKDAY(Main[[#This Row],[Tech Start Date]],12),IF(Main[[#This Row],[Class]]="A",WORKDAY(Main[[#This Row],[Tech Start Date]],4),""))))</f>
        <v/>
      </c>
      <c r="O322" s="69" t="str">
        <f>IF(Main[[#This Row],[Tech Start Date]]&lt;1/1/1990,"",IF(Main[[#This Row],[Class]]="C",WORKDAY(Main[[#This Row],[Tech Start Date]],23),IF(Main[[#This Row],[Class]]="B", WORKDAY(Main[[#This Row],[Tech Start Date]],15),IF(Main[[#This Row],[Class]]="A",WORKDAY(Main[[#This Row],[Tech Start Date]],5),""))))</f>
        <v/>
      </c>
      <c r="P322" s="69" t="str">
        <f>IF(Main[[#This Row],[Tech Start Date]]&lt;1/1/1990,"",IF(Main[[#This Row],[Class]]="C",WORKDAY(Main[[#This Row],[Tech Start Date]],28),IF(Main[[#This Row],[Class]]="B", WORKDAY(Main[[#This Row],[Tech Start Date]],19),IF(Main[[#This Row],[Class]]="A",WORKDAY(Main[[#This Row],[Tech Start Date]],9),""))))</f>
        <v/>
      </c>
      <c r="Q322" s="67">
        <v>40438</v>
      </c>
      <c r="R322" s="67"/>
      <c r="S322" s="65" t="s">
        <v>6</v>
      </c>
      <c r="T322" s="70" t="s">
        <v>4</v>
      </c>
      <c r="U322" s="65" t="s">
        <v>7</v>
      </c>
      <c r="V322" s="65" t="s">
        <v>1917</v>
      </c>
      <c r="W322" s="65" t="s">
        <v>1921</v>
      </c>
      <c r="X322" s="65" t="s">
        <v>2824</v>
      </c>
      <c r="Y322" s="65" t="s">
        <v>2935</v>
      </c>
      <c r="Z322" s="65" t="s">
        <v>129</v>
      </c>
      <c r="AA322" s="65" t="s">
        <v>2824</v>
      </c>
    </row>
    <row r="323" spans="1:27" ht="17.45" customHeight="1">
      <c r="A323" s="131" t="str">
        <f>IF(priority(Main[[#This Row],[Comments]])&lt;&gt;0, priority(Main[[#This Row],[Comments]]),"")</f>
        <v/>
      </c>
      <c r="B323" s="99" t="s">
        <v>1180</v>
      </c>
      <c r="C323" s="65" t="s">
        <v>234</v>
      </c>
      <c r="D323" s="66" t="s">
        <v>235</v>
      </c>
      <c r="E323" s="67"/>
      <c r="F323" s="67"/>
      <c r="G323" s="64" t="str">
        <f>IF(stdProdLT(Main[[#This Row],[Comments]])=0.1,"N/A",IF(stdProdLT(Main[[#This Row],[Comments]])=0,"",stdProdLT(Main[[#This Row],[Comments]])))</f>
        <v/>
      </c>
      <c r="H323" s="68" t="str">
        <f>IF(AND(Main[[#This Row],[In Stock Date]]&lt;&gt;"",Main[[#This Row],[Revised Due Date]]&lt;&gt;""),Main[[#This Row],[In Stock Date]]-Main[[#This Row],[Revised Due Date]],"")</f>
        <v/>
      </c>
      <c r="I323" s="65" t="s">
        <v>4</v>
      </c>
      <c r="J323" s="65" t="s">
        <v>4</v>
      </c>
      <c r="K323" s="65" t="s">
        <v>4</v>
      </c>
      <c r="L323" s="67"/>
      <c r="M323" s="69" t="str">
        <f>IF(Main[[#This Row],[Tech Start Date]]&lt;1/1/1990,"",IF(Main[[#This Row],[Class]]="C",WORKDAY(Main[[#This Row],[Tech Start Date]],9),IF(Main[[#This Row],[Class]]="B", WORKDAY(Main[[#This Row],[Tech Start Date]],6),IF(Main[[#This Row],[Class]]="A",WORKDAY(Main[[#This Row],[Tech Start Date]],2),""))))</f>
        <v/>
      </c>
      <c r="N323" s="69" t="str">
        <f>IF(Main[[#This Row],[Tech Start Date]]&lt;1/1/1990,"",IF(Main[[#This Row],[Class]]="C",WORKDAY(Main[[#This Row],[Tech Start Date]],19),IF(Main[[#This Row],[Class]]="B", WORKDAY(Main[[#This Row],[Tech Start Date]],12),IF(Main[[#This Row],[Class]]="A",WORKDAY(Main[[#This Row],[Tech Start Date]],4),""))))</f>
        <v/>
      </c>
      <c r="O323" s="69" t="str">
        <f>IF(Main[[#This Row],[Tech Start Date]]&lt;1/1/1990,"",IF(Main[[#This Row],[Class]]="C",WORKDAY(Main[[#This Row],[Tech Start Date]],23),IF(Main[[#This Row],[Class]]="B", WORKDAY(Main[[#This Row],[Tech Start Date]],15),IF(Main[[#This Row],[Class]]="A",WORKDAY(Main[[#This Row],[Tech Start Date]],5),""))))</f>
        <v/>
      </c>
      <c r="P323" s="69" t="str">
        <f>IF(Main[[#This Row],[Tech Start Date]]&lt;1/1/1990,"",IF(Main[[#This Row],[Class]]="C",WORKDAY(Main[[#This Row],[Tech Start Date]],28),IF(Main[[#This Row],[Class]]="B", WORKDAY(Main[[#This Row],[Tech Start Date]],19),IF(Main[[#This Row],[Class]]="A",WORKDAY(Main[[#This Row],[Tech Start Date]],9),""))))</f>
        <v/>
      </c>
      <c r="Q323" s="67">
        <v>40204</v>
      </c>
      <c r="R323" s="67"/>
      <c r="S323" s="65" t="s">
        <v>11</v>
      </c>
      <c r="T323" s="70" t="s">
        <v>4</v>
      </c>
      <c r="U323" s="65" t="s">
        <v>14</v>
      </c>
      <c r="V323" s="65" t="s">
        <v>1920</v>
      </c>
      <c r="W323" s="65" t="s">
        <v>1919</v>
      </c>
      <c r="X323" s="65" t="s">
        <v>65</v>
      </c>
      <c r="Y323" s="65" t="s">
        <v>4</v>
      </c>
      <c r="Z323" s="65" t="s">
        <v>4</v>
      </c>
      <c r="AA323" s="65" t="s">
        <v>65</v>
      </c>
    </row>
    <row r="324" spans="1:27" ht="17.45" customHeight="1">
      <c r="A324" s="131" t="str">
        <f>IF(priority(Main[[#This Row],[Comments]])&lt;&gt;0, priority(Main[[#This Row],[Comments]]),"")</f>
        <v/>
      </c>
      <c r="B324" s="99" t="s">
        <v>3532</v>
      </c>
      <c r="C324" s="65" t="s">
        <v>3533</v>
      </c>
      <c r="D324" s="66" t="s">
        <v>3534</v>
      </c>
      <c r="E324" s="67"/>
      <c r="F324" s="67"/>
      <c r="G324" s="64" t="str">
        <f>IF(stdProdLT(Main[[#This Row],[Comments]])=0.1,"N/A",IF(stdProdLT(Main[[#This Row],[Comments]])=0,"",stdProdLT(Main[[#This Row],[Comments]])))</f>
        <v/>
      </c>
      <c r="H324" s="68" t="str">
        <f>IF(AND(Main[[#This Row],[In Stock Date]]&lt;&gt;"",Main[[#This Row],[Revised Due Date]]&lt;&gt;""),Main[[#This Row],[In Stock Date]]-Main[[#This Row],[Revised Due Date]],"")</f>
        <v/>
      </c>
      <c r="I324" s="65" t="s">
        <v>4</v>
      </c>
      <c r="J324" s="65" t="s">
        <v>4</v>
      </c>
      <c r="K324" s="65" t="s">
        <v>4</v>
      </c>
      <c r="L324" s="67"/>
      <c r="M324" s="69" t="str">
        <f>IF(Main[[#This Row],[Tech Start Date]]&lt;1/1/1990,"",IF(Main[[#This Row],[Class]]="C",WORKDAY(Main[[#This Row],[Tech Start Date]],9),IF(Main[[#This Row],[Class]]="B", WORKDAY(Main[[#This Row],[Tech Start Date]],6),IF(Main[[#This Row],[Class]]="A",WORKDAY(Main[[#This Row],[Tech Start Date]],2),""))))</f>
        <v/>
      </c>
      <c r="N324" s="69" t="str">
        <f>IF(Main[[#This Row],[Tech Start Date]]&lt;1/1/1990,"",IF(Main[[#This Row],[Class]]="C",WORKDAY(Main[[#This Row],[Tech Start Date]],19),IF(Main[[#This Row],[Class]]="B", WORKDAY(Main[[#This Row],[Tech Start Date]],12),IF(Main[[#This Row],[Class]]="A",WORKDAY(Main[[#This Row],[Tech Start Date]],4),""))))</f>
        <v/>
      </c>
      <c r="O324" s="69" t="str">
        <f>IF(Main[[#This Row],[Tech Start Date]]&lt;1/1/1990,"",IF(Main[[#This Row],[Class]]="C",WORKDAY(Main[[#This Row],[Tech Start Date]],23),IF(Main[[#This Row],[Class]]="B", WORKDAY(Main[[#This Row],[Tech Start Date]],15),IF(Main[[#This Row],[Class]]="A",WORKDAY(Main[[#This Row],[Tech Start Date]],5),""))))</f>
        <v/>
      </c>
      <c r="P324" s="69" t="str">
        <f>IF(Main[[#This Row],[Tech Start Date]]&lt;1/1/1990,"",IF(Main[[#This Row],[Class]]="C",WORKDAY(Main[[#This Row],[Tech Start Date]],28),IF(Main[[#This Row],[Class]]="B", WORKDAY(Main[[#This Row],[Tech Start Date]],19),IF(Main[[#This Row],[Class]]="A",WORKDAY(Main[[#This Row],[Tech Start Date]],9),""))))</f>
        <v/>
      </c>
      <c r="Q324" s="67">
        <v>40953</v>
      </c>
      <c r="R324" s="67"/>
      <c r="S324" s="65" t="s">
        <v>11</v>
      </c>
      <c r="T324" s="70" t="s">
        <v>4</v>
      </c>
      <c r="U324" s="65" t="s">
        <v>14</v>
      </c>
      <c r="V324" s="65" t="s">
        <v>1917</v>
      </c>
      <c r="W324" s="65" t="s">
        <v>1928</v>
      </c>
      <c r="X324" s="65" t="s">
        <v>2845</v>
      </c>
      <c r="Y324" s="65" t="s">
        <v>2976</v>
      </c>
      <c r="Z324" s="65" t="s">
        <v>4</v>
      </c>
      <c r="AA324" s="65" t="s">
        <v>2845</v>
      </c>
    </row>
    <row r="325" spans="1:27" ht="17.45" customHeight="1">
      <c r="A325" s="131" t="str">
        <f>IF(priority(Main[[#This Row],[Comments]])&lt;&gt;0, priority(Main[[#This Row],[Comments]]),"")</f>
        <v/>
      </c>
      <c r="B325" s="99" t="s">
        <v>3538</v>
      </c>
      <c r="C325" s="65" t="s">
        <v>47</v>
      </c>
      <c r="D325" s="66" t="s">
        <v>3539</v>
      </c>
      <c r="E325" s="67">
        <v>40947.640497685185</v>
      </c>
      <c r="F325" s="67"/>
      <c r="G325" s="64" t="str">
        <f>IF(stdProdLT(Main[[#This Row],[Comments]])=0.1,"N/A",IF(stdProdLT(Main[[#This Row],[Comments]])=0,"",stdProdLT(Main[[#This Row],[Comments]])))</f>
        <v/>
      </c>
      <c r="H325" s="68" t="str">
        <f>IF(AND(Main[[#This Row],[In Stock Date]]&lt;&gt;"",Main[[#This Row],[Revised Due Date]]&lt;&gt;""),Main[[#This Row],[In Stock Date]]-Main[[#This Row],[Revised Due Date]],"")</f>
        <v/>
      </c>
      <c r="I325" s="65" t="s">
        <v>4</v>
      </c>
      <c r="J325" s="65" t="s">
        <v>4</v>
      </c>
      <c r="K325" s="71" t="s">
        <v>4</v>
      </c>
      <c r="L325" s="67"/>
      <c r="M325" s="69" t="str">
        <f>IF(Main[[#This Row],[Tech Start Date]]&lt;1/1/1990,"",IF(Main[[#This Row],[Class]]="C",WORKDAY(Main[[#This Row],[Tech Start Date]],9),IF(Main[[#This Row],[Class]]="B", WORKDAY(Main[[#This Row],[Tech Start Date]],6),IF(Main[[#This Row],[Class]]="A",WORKDAY(Main[[#This Row],[Tech Start Date]],2),""))))</f>
        <v/>
      </c>
      <c r="N325" s="69" t="str">
        <f>IF(Main[[#This Row],[Tech Start Date]]&lt;1/1/1990,"",IF(Main[[#This Row],[Class]]="C",WORKDAY(Main[[#This Row],[Tech Start Date]],19),IF(Main[[#This Row],[Class]]="B", WORKDAY(Main[[#This Row],[Tech Start Date]],12),IF(Main[[#This Row],[Class]]="A",WORKDAY(Main[[#This Row],[Tech Start Date]],4),""))))</f>
        <v/>
      </c>
      <c r="O325" s="69" t="str">
        <f>IF(Main[[#This Row],[Tech Start Date]]&lt;1/1/1990,"",IF(Main[[#This Row],[Class]]="C",WORKDAY(Main[[#This Row],[Tech Start Date]],23),IF(Main[[#This Row],[Class]]="B", WORKDAY(Main[[#This Row],[Tech Start Date]],15),IF(Main[[#This Row],[Class]]="A",WORKDAY(Main[[#This Row],[Tech Start Date]],5),""))))</f>
        <v/>
      </c>
      <c r="P325" s="69" t="str">
        <f>IF(Main[[#This Row],[Tech Start Date]]&lt;1/1/1990,"",IF(Main[[#This Row],[Class]]="C",WORKDAY(Main[[#This Row],[Tech Start Date]],28),IF(Main[[#This Row],[Class]]="B", WORKDAY(Main[[#This Row],[Tech Start Date]],19),IF(Main[[#This Row],[Class]]="A",WORKDAY(Main[[#This Row],[Tech Start Date]],9),""))))</f>
        <v/>
      </c>
      <c r="Q325" s="67">
        <v>40999</v>
      </c>
      <c r="R325" s="67"/>
      <c r="S325" s="65" t="s">
        <v>6</v>
      </c>
      <c r="T325" s="70" t="s">
        <v>4</v>
      </c>
      <c r="U325" s="65" t="s">
        <v>29</v>
      </c>
      <c r="V325" s="65" t="s">
        <v>2288</v>
      </c>
      <c r="W325" s="65" t="s">
        <v>4</v>
      </c>
      <c r="X325" s="65" t="s">
        <v>2871</v>
      </c>
      <c r="Y325" s="65" t="s">
        <v>3016</v>
      </c>
      <c r="Z325" s="65" t="s">
        <v>4</v>
      </c>
      <c r="AA325" s="65" t="s">
        <v>2871</v>
      </c>
    </row>
    <row r="326" spans="1:27" ht="17.45" customHeight="1">
      <c r="A326" s="131" t="str">
        <f>IF(priority(Main[[#This Row],[Comments]])&lt;&gt;0, priority(Main[[#This Row],[Comments]]),"")</f>
        <v/>
      </c>
      <c r="B326" s="99" t="s">
        <v>1181</v>
      </c>
      <c r="C326" s="65" t="s">
        <v>4</v>
      </c>
      <c r="D326" s="66" t="s">
        <v>236</v>
      </c>
      <c r="E326" s="67">
        <v>40317.337557870371</v>
      </c>
      <c r="F326" s="67"/>
      <c r="G326" s="64" t="str">
        <f>IF(stdProdLT(Main[[#This Row],[Comments]])=0.1,"N/A",IF(stdProdLT(Main[[#This Row],[Comments]])=0,"",stdProdLT(Main[[#This Row],[Comments]])))</f>
        <v/>
      </c>
      <c r="H326" s="68" t="str">
        <f>IF(AND(Main[[#This Row],[In Stock Date]]&lt;&gt;"",Main[[#This Row],[Revised Due Date]]&lt;&gt;""),Main[[#This Row],[In Stock Date]]-Main[[#This Row],[Revised Due Date]],"")</f>
        <v/>
      </c>
      <c r="I326" s="65" t="s">
        <v>4</v>
      </c>
      <c r="J326" s="65" t="s">
        <v>4</v>
      </c>
      <c r="K326" s="65" t="s">
        <v>4</v>
      </c>
      <c r="L326" s="67"/>
      <c r="M326" s="69" t="str">
        <f>IF(Main[[#This Row],[Tech Start Date]]&lt;1/1/1990,"",IF(Main[[#This Row],[Class]]="C",WORKDAY(Main[[#This Row],[Tech Start Date]],9),IF(Main[[#This Row],[Class]]="B", WORKDAY(Main[[#This Row],[Tech Start Date]],6),IF(Main[[#This Row],[Class]]="A",WORKDAY(Main[[#This Row],[Tech Start Date]],2),""))))</f>
        <v/>
      </c>
      <c r="N326" s="69" t="str">
        <f>IF(Main[[#This Row],[Tech Start Date]]&lt;1/1/1990,"",IF(Main[[#This Row],[Class]]="C",WORKDAY(Main[[#This Row],[Tech Start Date]],19),IF(Main[[#This Row],[Class]]="B", WORKDAY(Main[[#This Row],[Tech Start Date]],12),IF(Main[[#This Row],[Class]]="A",WORKDAY(Main[[#This Row],[Tech Start Date]],4),""))))</f>
        <v/>
      </c>
      <c r="O326" s="69" t="str">
        <f>IF(Main[[#This Row],[Tech Start Date]]&lt;1/1/1990,"",IF(Main[[#This Row],[Class]]="C",WORKDAY(Main[[#This Row],[Tech Start Date]],23),IF(Main[[#This Row],[Class]]="B", WORKDAY(Main[[#This Row],[Tech Start Date]],15),IF(Main[[#This Row],[Class]]="A",WORKDAY(Main[[#This Row],[Tech Start Date]],5),""))))</f>
        <v/>
      </c>
      <c r="P326" s="69" t="str">
        <f>IF(Main[[#This Row],[Tech Start Date]]&lt;1/1/1990,"",IF(Main[[#This Row],[Class]]="C",WORKDAY(Main[[#This Row],[Tech Start Date]],28),IF(Main[[#This Row],[Class]]="B", WORKDAY(Main[[#This Row],[Tech Start Date]],19),IF(Main[[#This Row],[Class]]="A",WORKDAY(Main[[#This Row],[Tech Start Date]],9),""))))</f>
        <v/>
      </c>
      <c r="Q326" s="67">
        <v>40330</v>
      </c>
      <c r="R326" s="67"/>
      <c r="S326" s="65" t="s">
        <v>6</v>
      </c>
      <c r="T326" s="70" t="s">
        <v>4</v>
      </c>
      <c r="U326" s="65" t="s">
        <v>7</v>
      </c>
      <c r="V326" s="65" t="s">
        <v>1917</v>
      </c>
      <c r="W326" s="65" t="s">
        <v>1919</v>
      </c>
      <c r="X326" s="65" t="s">
        <v>102</v>
      </c>
      <c r="Y326" s="65" t="s">
        <v>3017</v>
      </c>
      <c r="Z326" s="65" t="s">
        <v>129</v>
      </c>
      <c r="AA326" s="65" t="s">
        <v>102</v>
      </c>
    </row>
    <row r="327" spans="1:27" ht="17.45" customHeight="1">
      <c r="A327" s="131" t="str">
        <f>IF(priority(Main[[#This Row],[Comments]])&lt;&gt;0, priority(Main[[#This Row],[Comments]]),"")</f>
        <v/>
      </c>
      <c r="B327" s="99" t="s">
        <v>1182</v>
      </c>
      <c r="C327" s="65" t="s">
        <v>4</v>
      </c>
      <c r="D327" s="66" t="s">
        <v>237</v>
      </c>
      <c r="E327" s="67"/>
      <c r="F327" s="67"/>
      <c r="G327" s="64" t="str">
        <f>IF(stdProdLT(Main[[#This Row],[Comments]])=0.1,"N/A",IF(stdProdLT(Main[[#This Row],[Comments]])=0,"",stdProdLT(Main[[#This Row],[Comments]])))</f>
        <v/>
      </c>
      <c r="H327" s="68" t="str">
        <f>IF(AND(Main[[#This Row],[In Stock Date]]&lt;&gt;"",Main[[#This Row],[Revised Due Date]]&lt;&gt;""),Main[[#This Row],[In Stock Date]]-Main[[#This Row],[Revised Due Date]],"")</f>
        <v/>
      </c>
      <c r="I327" s="65" t="s">
        <v>4</v>
      </c>
      <c r="J327" s="65" t="s">
        <v>4</v>
      </c>
      <c r="K327" s="65" t="s">
        <v>4</v>
      </c>
      <c r="L327" s="67"/>
      <c r="M327" s="69" t="str">
        <f>IF(Main[[#This Row],[Tech Start Date]]&lt;1/1/1990,"",IF(Main[[#This Row],[Class]]="C",WORKDAY(Main[[#This Row],[Tech Start Date]],9),IF(Main[[#This Row],[Class]]="B", WORKDAY(Main[[#This Row],[Tech Start Date]],6),IF(Main[[#This Row],[Class]]="A",WORKDAY(Main[[#This Row],[Tech Start Date]],2),""))))</f>
        <v/>
      </c>
      <c r="N327" s="69" t="str">
        <f>IF(Main[[#This Row],[Tech Start Date]]&lt;1/1/1990,"",IF(Main[[#This Row],[Class]]="C",WORKDAY(Main[[#This Row],[Tech Start Date]],19),IF(Main[[#This Row],[Class]]="B", WORKDAY(Main[[#This Row],[Tech Start Date]],12),IF(Main[[#This Row],[Class]]="A",WORKDAY(Main[[#This Row],[Tech Start Date]],4),""))))</f>
        <v/>
      </c>
      <c r="O327" s="69" t="str">
        <f>IF(Main[[#This Row],[Tech Start Date]]&lt;1/1/1990,"",IF(Main[[#This Row],[Class]]="C",WORKDAY(Main[[#This Row],[Tech Start Date]],23),IF(Main[[#This Row],[Class]]="B", WORKDAY(Main[[#This Row],[Tech Start Date]],15),IF(Main[[#This Row],[Class]]="A",WORKDAY(Main[[#This Row],[Tech Start Date]],5),""))))</f>
        <v/>
      </c>
      <c r="P327" s="69" t="str">
        <f>IF(Main[[#This Row],[Tech Start Date]]&lt;1/1/1990,"",IF(Main[[#This Row],[Class]]="C",WORKDAY(Main[[#This Row],[Tech Start Date]],28),IF(Main[[#This Row],[Class]]="B", WORKDAY(Main[[#This Row],[Tech Start Date]],19),IF(Main[[#This Row],[Class]]="A",WORKDAY(Main[[#This Row],[Tech Start Date]],9),""))))</f>
        <v/>
      </c>
      <c r="Q327" s="67"/>
      <c r="R327" s="67"/>
      <c r="S327" s="65" t="s">
        <v>11</v>
      </c>
      <c r="T327" s="70" t="s">
        <v>4</v>
      </c>
      <c r="U327" s="65" t="s">
        <v>14</v>
      </c>
      <c r="V327" s="65" t="s">
        <v>1917</v>
      </c>
      <c r="W327" s="65" t="s">
        <v>1921</v>
      </c>
      <c r="X327" s="65" t="s">
        <v>924</v>
      </c>
      <c r="Y327" s="65" t="s">
        <v>2988</v>
      </c>
      <c r="Z327" s="65" t="s">
        <v>4</v>
      </c>
      <c r="AA327" s="65" t="s">
        <v>924</v>
      </c>
    </row>
    <row r="328" spans="1:27" ht="17.45" customHeight="1">
      <c r="A328" s="131" t="str">
        <f>IF(priority(Main[[#This Row],[Comments]])&lt;&gt;0, priority(Main[[#This Row],[Comments]]),"")</f>
        <v/>
      </c>
      <c r="B328" s="99" t="s">
        <v>3604</v>
      </c>
      <c r="C328" s="65" t="s">
        <v>4</v>
      </c>
      <c r="D328" s="66" t="s">
        <v>3605</v>
      </c>
      <c r="E328" s="67">
        <v>40954.397581018522</v>
      </c>
      <c r="F328" s="67"/>
      <c r="G328" s="64" t="str">
        <f>IF(stdProdLT(Main[[#This Row],[Comments]])=0.1,"N/A",IF(stdProdLT(Main[[#This Row],[Comments]])=0,"",stdProdLT(Main[[#This Row],[Comments]])))</f>
        <v/>
      </c>
      <c r="H328" s="68" t="str">
        <f>IF(AND(Main[[#This Row],[In Stock Date]]&lt;&gt;"",Main[[#This Row],[Revised Due Date]]&lt;&gt;""),Main[[#This Row],[In Stock Date]]-Main[[#This Row],[Revised Due Date]],"")</f>
        <v/>
      </c>
      <c r="I328" s="65" t="s">
        <v>2047</v>
      </c>
      <c r="J328" s="65" t="s">
        <v>28</v>
      </c>
      <c r="K328" s="71" t="s">
        <v>4</v>
      </c>
      <c r="L328" s="67"/>
      <c r="M328" s="69" t="str">
        <f>IF(Main[[#This Row],[Tech Start Date]]&lt;1/1/1990,"",IF(Main[[#This Row],[Class]]="C",WORKDAY(Main[[#This Row],[Tech Start Date]],9),IF(Main[[#This Row],[Class]]="B", WORKDAY(Main[[#This Row],[Tech Start Date]],6),IF(Main[[#This Row],[Class]]="A",WORKDAY(Main[[#This Row],[Tech Start Date]],2),""))))</f>
        <v/>
      </c>
      <c r="N328" s="69" t="str">
        <f>IF(Main[[#This Row],[Tech Start Date]]&lt;1/1/1990,"",IF(Main[[#This Row],[Class]]="C",WORKDAY(Main[[#This Row],[Tech Start Date]],19),IF(Main[[#This Row],[Class]]="B", WORKDAY(Main[[#This Row],[Tech Start Date]],12),IF(Main[[#This Row],[Class]]="A",WORKDAY(Main[[#This Row],[Tech Start Date]],4),""))))</f>
        <v/>
      </c>
      <c r="O328" s="69" t="str">
        <f>IF(Main[[#This Row],[Tech Start Date]]&lt;1/1/1990,"",IF(Main[[#This Row],[Class]]="C",WORKDAY(Main[[#This Row],[Tech Start Date]],23),IF(Main[[#This Row],[Class]]="B", WORKDAY(Main[[#This Row],[Tech Start Date]],15),IF(Main[[#This Row],[Class]]="A",WORKDAY(Main[[#This Row],[Tech Start Date]],5),""))))</f>
        <v/>
      </c>
      <c r="P328" s="69" t="str">
        <f>IF(Main[[#This Row],[Tech Start Date]]&lt;1/1/1990,"",IF(Main[[#This Row],[Class]]="C",WORKDAY(Main[[#This Row],[Tech Start Date]],28),IF(Main[[#This Row],[Class]]="B", WORKDAY(Main[[#This Row],[Tech Start Date]],19),IF(Main[[#This Row],[Class]]="A",WORKDAY(Main[[#This Row],[Tech Start Date]],9),""))))</f>
        <v/>
      </c>
      <c r="Q328" s="67"/>
      <c r="R328" s="67"/>
      <c r="S328" s="65" t="s">
        <v>6</v>
      </c>
      <c r="T328" s="70" t="s">
        <v>4</v>
      </c>
      <c r="U328" s="65" t="s">
        <v>29</v>
      </c>
      <c r="V328" s="65" t="s">
        <v>1927</v>
      </c>
      <c r="W328" s="65" t="s">
        <v>1921</v>
      </c>
      <c r="X328" s="65" t="s">
        <v>2047</v>
      </c>
      <c r="Y328" s="65" t="s">
        <v>3162</v>
      </c>
      <c r="Z328" s="65" t="s">
        <v>530</v>
      </c>
      <c r="AA328" s="65" t="s">
        <v>2047</v>
      </c>
    </row>
    <row r="329" spans="1:27" ht="17.45" customHeight="1">
      <c r="A329" s="131" t="str">
        <f>IF(priority(Main[[#This Row],[Comments]])&lt;&gt;0, priority(Main[[#This Row],[Comments]]),"")</f>
        <v/>
      </c>
      <c r="B329" s="99" t="s">
        <v>1127</v>
      </c>
      <c r="C329" s="65" t="s">
        <v>4</v>
      </c>
      <c r="D329" s="66" t="s">
        <v>176</v>
      </c>
      <c r="E329" s="67">
        <v>40655.521435185183</v>
      </c>
      <c r="F329" s="67"/>
      <c r="G329" s="64" t="str">
        <f>IF(stdProdLT(Main[[#This Row],[Comments]])=0.1,"N/A",IF(stdProdLT(Main[[#This Row],[Comments]])=0,"",stdProdLT(Main[[#This Row],[Comments]])))</f>
        <v/>
      </c>
      <c r="H329" s="68" t="str">
        <f>IF(AND(Main[[#This Row],[In Stock Date]]&lt;&gt;"",Main[[#This Row],[Revised Due Date]]&lt;&gt;""),Main[[#This Row],[In Stock Date]]-Main[[#This Row],[Revised Due Date]],"")</f>
        <v/>
      </c>
      <c r="I329" s="65" t="s">
        <v>4</v>
      </c>
      <c r="J329" s="65" t="s">
        <v>4</v>
      </c>
      <c r="K329" s="65" t="s">
        <v>4</v>
      </c>
      <c r="L329" s="67"/>
      <c r="M329" s="69" t="str">
        <f>IF(Main[[#This Row],[Tech Start Date]]&lt;1/1/1990,"",IF(Main[[#This Row],[Class]]="C",WORKDAY(Main[[#This Row],[Tech Start Date]],9),IF(Main[[#This Row],[Class]]="B", WORKDAY(Main[[#This Row],[Tech Start Date]],6),IF(Main[[#This Row],[Class]]="A",WORKDAY(Main[[#This Row],[Tech Start Date]],2),""))))</f>
        <v/>
      </c>
      <c r="N329" s="69" t="str">
        <f>IF(Main[[#This Row],[Tech Start Date]]&lt;1/1/1990,"",IF(Main[[#This Row],[Class]]="C",WORKDAY(Main[[#This Row],[Tech Start Date]],19),IF(Main[[#This Row],[Class]]="B", WORKDAY(Main[[#This Row],[Tech Start Date]],12),IF(Main[[#This Row],[Class]]="A",WORKDAY(Main[[#This Row],[Tech Start Date]],4),""))))</f>
        <v/>
      </c>
      <c r="O329" s="69" t="str">
        <f>IF(Main[[#This Row],[Tech Start Date]]&lt;1/1/1990,"",IF(Main[[#This Row],[Class]]="C",WORKDAY(Main[[#This Row],[Tech Start Date]],23),IF(Main[[#This Row],[Class]]="B", WORKDAY(Main[[#This Row],[Tech Start Date]],15),IF(Main[[#This Row],[Class]]="A",WORKDAY(Main[[#This Row],[Tech Start Date]],5),""))))</f>
        <v/>
      </c>
      <c r="P329" s="69" t="str">
        <f>IF(Main[[#This Row],[Tech Start Date]]&lt;1/1/1990,"",IF(Main[[#This Row],[Class]]="C",WORKDAY(Main[[#This Row],[Tech Start Date]],28),IF(Main[[#This Row],[Class]]="B", WORKDAY(Main[[#This Row],[Tech Start Date]],19),IF(Main[[#This Row],[Class]]="A",WORKDAY(Main[[#This Row],[Tech Start Date]],9),""))))</f>
        <v/>
      </c>
      <c r="Q329" s="67">
        <v>40655</v>
      </c>
      <c r="R329" s="67"/>
      <c r="S329" s="65" t="s">
        <v>6</v>
      </c>
      <c r="T329" s="70" t="s">
        <v>4</v>
      </c>
      <c r="U329" s="65" t="s">
        <v>7</v>
      </c>
      <c r="V329" s="65" t="s">
        <v>1917</v>
      </c>
      <c r="W329" s="65" t="s">
        <v>1919</v>
      </c>
      <c r="X329" s="65" t="s">
        <v>126</v>
      </c>
      <c r="Y329" s="65" t="s">
        <v>3039</v>
      </c>
      <c r="Z329" s="65" t="s">
        <v>4</v>
      </c>
      <c r="AA329" s="65" t="s">
        <v>126</v>
      </c>
    </row>
    <row r="330" spans="1:27" ht="17.45" customHeight="1">
      <c r="A330" s="131" t="str">
        <f>IF(priority(Main[[#This Row],[Comments]])&lt;&gt;0, priority(Main[[#This Row],[Comments]]),"")</f>
        <v/>
      </c>
      <c r="B330" s="99" t="s">
        <v>1128</v>
      </c>
      <c r="C330" s="65" t="s">
        <v>4</v>
      </c>
      <c r="D330" s="66" t="s">
        <v>177</v>
      </c>
      <c r="E330" s="67"/>
      <c r="F330" s="67">
        <v>40598</v>
      </c>
      <c r="G330" s="64" t="str">
        <f>IF(stdProdLT(Main[[#This Row],[Comments]])=0.1,"N/A",IF(stdProdLT(Main[[#This Row],[Comments]])=0,"",stdProdLT(Main[[#This Row],[Comments]])))</f>
        <v/>
      </c>
      <c r="H330" s="68" t="str">
        <f>IF(AND(Main[[#This Row],[In Stock Date]]&lt;&gt;"",Main[[#This Row],[Revised Due Date]]&lt;&gt;""),Main[[#This Row],[In Stock Date]]-Main[[#This Row],[Revised Due Date]],"")</f>
        <v/>
      </c>
      <c r="I330" s="65" t="s">
        <v>4</v>
      </c>
      <c r="J330" s="65" t="s">
        <v>4</v>
      </c>
      <c r="K330" s="65" t="s">
        <v>4</v>
      </c>
      <c r="L330" s="67"/>
      <c r="M330" s="69" t="str">
        <f>IF(Main[[#This Row],[Tech Start Date]]&lt;1/1/1990,"",IF(Main[[#This Row],[Class]]="C",WORKDAY(Main[[#This Row],[Tech Start Date]],9),IF(Main[[#This Row],[Class]]="B", WORKDAY(Main[[#This Row],[Tech Start Date]],6),IF(Main[[#This Row],[Class]]="A",WORKDAY(Main[[#This Row],[Tech Start Date]],2),""))))</f>
        <v/>
      </c>
      <c r="N330" s="69" t="str">
        <f>IF(Main[[#This Row],[Tech Start Date]]&lt;1/1/1990,"",IF(Main[[#This Row],[Class]]="C",WORKDAY(Main[[#This Row],[Tech Start Date]],19),IF(Main[[#This Row],[Class]]="B", WORKDAY(Main[[#This Row],[Tech Start Date]],12),IF(Main[[#This Row],[Class]]="A",WORKDAY(Main[[#This Row],[Tech Start Date]],4),""))))</f>
        <v/>
      </c>
      <c r="O330" s="69" t="str">
        <f>IF(Main[[#This Row],[Tech Start Date]]&lt;1/1/1990,"",IF(Main[[#This Row],[Class]]="C",WORKDAY(Main[[#This Row],[Tech Start Date]],23),IF(Main[[#This Row],[Class]]="B", WORKDAY(Main[[#This Row],[Tech Start Date]],15),IF(Main[[#This Row],[Class]]="A",WORKDAY(Main[[#This Row],[Tech Start Date]],5),""))))</f>
        <v/>
      </c>
      <c r="P330" s="69" t="str">
        <f>IF(Main[[#This Row],[Tech Start Date]]&lt;1/1/1990,"",IF(Main[[#This Row],[Class]]="C",WORKDAY(Main[[#This Row],[Tech Start Date]],28),IF(Main[[#This Row],[Class]]="B", WORKDAY(Main[[#This Row],[Tech Start Date]],19),IF(Main[[#This Row],[Class]]="A",WORKDAY(Main[[#This Row],[Tech Start Date]],9),""))))</f>
        <v/>
      </c>
      <c r="Q330" s="67">
        <v>40598</v>
      </c>
      <c r="R330" s="67"/>
      <c r="S330" s="65" t="s">
        <v>11</v>
      </c>
      <c r="T330" s="70" t="s">
        <v>4</v>
      </c>
      <c r="U330" s="65" t="s">
        <v>14</v>
      </c>
      <c r="V330" s="65" t="s">
        <v>1927</v>
      </c>
      <c r="W330" s="65" t="s">
        <v>1923</v>
      </c>
      <c r="X330" s="65" t="s">
        <v>2854</v>
      </c>
      <c r="Y330" s="65" t="s">
        <v>2985</v>
      </c>
      <c r="Z330" s="65" t="s">
        <v>4</v>
      </c>
      <c r="AA330" s="65" t="s">
        <v>2854</v>
      </c>
    </row>
    <row r="331" spans="1:27" ht="17.45" customHeight="1">
      <c r="A331" s="131" t="str">
        <f>IF(priority(Main[[#This Row],[Comments]])&lt;&gt;0, priority(Main[[#This Row],[Comments]]),"")</f>
        <v/>
      </c>
      <c r="B331" s="99" t="s">
        <v>2710</v>
      </c>
      <c r="C331" s="65" t="s">
        <v>4</v>
      </c>
      <c r="D331" s="66" t="s">
        <v>2711</v>
      </c>
      <c r="E331" s="67">
        <v>40896.649571759262</v>
      </c>
      <c r="F331" s="67"/>
      <c r="G331" s="64" t="str">
        <f>IF(stdProdLT(Main[[#This Row],[Comments]])=0.1,"N/A",IF(stdProdLT(Main[[#This Row],[Comments]])=0,"",stdProdLT(Main[[#This Row],[Comments]])))</f>
        <v/>
      </c>
      <c r="H331" s="68" t="str">
        <f>IF(AND(Main[[#This Row],[In Stock Date]]&lt;&gt;"",Main[[#This Row],[Revised Due Date]]&lt;&gt;""),Main[[#This Row],[In Stock Date]]-Main[[#This Row],[Revised Due Date]],"")</f>
        <v/>
      </c>
      <c r="I331" s="65" t="s">
        <v>530</v>
      </c>
      <c r="J331" s="65" t="s">
        <v>28</v>
      </c>
      <c r="K331" s="71" t="s">
        <v>1926</v>
      </c>
      <c r="L331" s="67"/>
      <c r="M331" s="69" t="str">
        <f>IF(Main[[#This Row],[Tech Start Date]]&lt;1/1/1990,"",IF(Main[[#This Row],[Class]]="C",WORKDAY(Main[[#This Row],[Tech Start Date]],9),IF(Main[[#This Row],[Class]]="B", WORKDAY(Main[[#This Row],[Tech Start Date]],6),IF(Main[[#This Row],[Class]]="A",WORKDAY(Main[[#This Row],[Tech Start Date]],2),""))))</f>
        <v/>
      </c>
      <c r="N331" s="69" t="str">
        <f>IF(Main[[#This Row],[Tech Start Date]]&lt;1/1/1990,"",IF(Main[[#This Row],[Class]]="C",WORKDAY(Main[[#This Row],[Tech Start Date]],19),IF(Main[[#This Row],[Class]]="B", WORKDAY(Main[[#This Row],[Tech Start Date]],12),IF(Main[[#This Row],[Class]]="A",WORKDAY(Main[[#This Row],[Tech Start Date]],4),""))))</f>
        <v/>
      </c>
      <c r="O331" s="69" t="str">
        <f>IF(Main[[#This Row],[Tech Start Date]]&lt;1/1/1990,"",IF(Main[[#This Row],[Class]]="C",WORKDAY(Main[[#This Row],[Tech Start Date]],23),IF(Main[[#This Row],[Class]]="B", WORKDAY(Main[[#This Row],[Tech Start Date]],15),IF(Main[[#This Row],[Class]]="A",WORKDAY(Main[[#This Row],[Tech Start Date]],5),""))))</f>
        <v/>
      </c>
      <c r="P331" s="69" t="str">
        <f>IF(Main[[#This Row],[Tech Start Date]]&lt;1/1/1990,"",IF(Main[[#This Row],[Class]]="C",WORKDAY(Main[[#This Row],[Tech Start Date]],28),IF(Main[[#This Row],[Class]]="B", WORKDAY(Main[[#This Row],[Tech Start Date]],19),IF(Main[[#This Row],[Class]]="A",WORKDAY(Main[[#This Row],[Tech Start Date]],9),""))))</f>
        <v/>
      </c>
      <c r="Q331" s="67">
        <v>40939</v>
      </c>
      <c r="R331" s="67"/>
      <c r="S331" s="65" t="s">
        <v>6</v>
      </c>
      <c r="T331" s="70" t="s">
        <v>4</v>
      </c>
      <c r="U331" s="65" t="s">
        <v>29</v>
      </c>
      <c r="V331" s="65" t="s">
        <v>1920</v>
      </c>
      <c r="W331" s="65" t="s">
        <v>1925</v>
      </c>
      <c r="X331" s="65" t="s">
        <v>885</v>
      </c>
      <c r="Y331" s="65" t="s">
        <v>2969</v>
      </c>
      <c r="Z331" s="65" t="s">
        <v>30</v>
      </c>
      <c r="AA331" s="65" t="s">
        <v>885</v>
      </c>
    </row>
    <row r="332" spans="1:27" ht="17.45" customHeight="1">
      <c r="A332" s="131" t="str">
        <f>IF(priority(Main[[#This Row],[Comments]])&lt;&gt;0, priority(Main[[#This Row],[Comments]]),"")</f>
        <v/>
      </c>
      <c r="B332" s="99" t="s">
        <v>2349</v>
      </c>
      <c r="C332" s="65" t="s">
        <v>2350</v>
      </c>
      <c r="D332" s="66" t="s">
        <v>2351</v>
      </c>
      <c r="E332" s="67"/>
      <c r="F332" s="67"/>
      <c r="G332" s="64" t="str">
        <f>IF(stdProdLT(Main[[#This Row],[Comments]])=0.1,"N/A",IF(stdProdLT(Main[[#This Row],[Comments]])=0,"",stdProdLT(Main[[#This Row],[Comments]])))</f>
        <v/>
      </c>
      <c r="H332" s="68" t="str">
        <f>IF(AND(Main[[#This Row],[In Stock Date]]&lt;&gt;"",Main[[#This Row],[Revised Due Date]]&lt;&gt;""),Main[[#This Row],[In Stock Date]]-Main[[#This Row],[Revised Due Date]],"")</f>
        <v/>
      </c>
      <c r="I332" s="65" t="s">
        <v>4</v>
      </c>
      <c r="J332" s="65" t="s">
        <v>4</v>
      </c>
      <c r="K332" s="71" t="s">
        <v>4</v>
      </c>
      <c r="L332" s="67"/>
      <c r="M332" s="69" t="str">
        <f>IF(Main[[#This Row],[Tech Start Date]]&lt;1/1/1990,"",IF(Main[[#This Row],[Class]]="C",WORKDAY(Main[[#This Row],[Tech Start Date]],9),IF(Main[[#This Row],[Class]]="B", WORKDAY(Main[[#This Row],[Tech Start Date]],6),IF(Main[[#This Row],[Class]]="A",WORKDAY(Main[[#This Row],[Tech Start Date]],2),""))))</f>
        <v/>
      </c>
      <c r="N332" s="69" t="str">
        <f>IF(Main[[#This Row],[Tech Start Date]]&lt;1/1/1990,"",IF(Main[[#This Row],[Class]]="C",WORKDAY(Main[[#This Row],[Tech Start Date]],19),IF(Main[[#This Row],[Class]]="B", WORKDAY(Main[[#This Row],[Tech Start Date]],12),IF(Main[[#This Row],[Class]]="A",WORKDAY(Main[[#This Row],[Tech Start Date]],4),""))))</f>
        <v/>
      </c>
      <c r="O332" s="69" t="str">
        <f>IF(Main[[#This Row],[Tech Start Date]]&lt;1/1/1990,"",IF(Main[[#This Row],[Class]]="C",WORKDAY(Main[[#This Row],[Tech Start Date]],23),IF(Main[[#This Row],[Class]]="B", WORKDAY(Main[[#This Row],[Tech Start Date]],15),IF(Main[[#This Row],[Class]]="A",WORKDAY(Main[[#This Row],[Tech Start Date]],5),""))))</f>
        <v/>
      </c>
      <c r="P332" s="69" t="str">
        <f>IF(Main[[#This Row],[Tech Start Date]]&lt;1/1/1990,"",IF(Main[[#This Row],[Class]]="C",WORKDAY(Main[[#This Row],[Tech Start Date]],28),IF(Main[[#This Row],[Class]]="B", WORKDAY(Main[[#This Row],[Tech Start Date]],19),IF(Main[[#This Row],[Class]]="A",WORKDAY(Main[[#This Row],[Tech Start Date]],9),""))))</f>
        <v/>
      </c>
      <c r="Q332" s="67">
        <v>40840</v>
      </c>
      <c r="R332" s="67"/>
      <c r="S332" s="65" t="s">
        <v>11</v>
      </c>
      <c r="T332" s="70" t="s">
        <v>4</v>
      </c>
      <c r="U332" s="65" t="s">
        <v>12</v>
      </c>
      <c r="V332" s="65" t="s">
        <v>1917</v>
      </c>
      <c r="W332" s="65" t="s">
        <v>1919</v>
      </c>
      <c r="X332" s="65" t="s">
        <v>2861</v>
      </c>
      <c r="Y332" s="65" t="s">
        <v>4</v>
      </c>
      <c r="Z332" s="65" t="s">
        <v>4</v>
      </c>
      <c r="AA332" s="65" t="s">
        <v>2861</v>
      </c>
    </row>
    <row r="333" spans="1:27" ht="17.45" customHeight="1">
      <c r="A333" s="131" t="str">
        <f>IF(priority(Main[[#This Row],[Comments]])&lt;&gt;0, priority(Main[[#This Row],[Comments]]),"")</f>
        <v/>
      </c>
      <c r="B333" s="99" t="s">
        <v>1129</v>
      </c>
      <c r="C333" s="65" t="s">
        <v>4</v>
      </c>
      <c r="D333" s="66" t="s">
        <v>178</v>
      </c>
      <c r="E333" s="67">
        <v>40688.403611111113</v>
      </c>
      <c r="F333" s="67"/>
      <c r="G333" s="64" t="str">
        <f>IF(stdProdLT(Main[[#This Row],[Comments]])=0.1,"N/A",IF(stdProdLT(Main[[#This Row],[Comments]])=0,"",stdProdLT(Main[[#This Row],[Comments]])))</f>
        <v/>
      </c>
      <c r="H333" s="68" t="str">
        <f>IF(AND(Main[[#This Row],[In Stock Date]]&lt;&gt;"",Main[[#This Row],[Revised Due Date]]&lt;&gt;""),Main[[#This Row],[In Stock Date]]-Main[[#This Row],[Revised Due Date]],"")</f>
        <v/>
      </c>
      <c r="I333" s="65" t="s">
        <v>4</v>
      </c>
      <c r="J333" s="65" t="s">
        <v>4</v>
      </c>
      <c r="K333" s="65" t="s">
        <v>4</v>
      </c>
      <c r="L333" s="67"/>
      <c r="M333" s="69" t="str">
        <f>IF(Main[[#This Row],[Tech Start Date]]&lt;1/1/1990,"",IF(Main[[#This Row],[Class]]="C",WORKDAY(Main[[#This Row],[Tech Start Date]],9),IF(Main[[#This Row],[Class]]="B", WORKDAY(Main[[#This Row],[Tech Start Date]],6),IF(Main[[#This Row],[Class]]="A",WORKDAY(Main[[#This Row],[Tech Start Date]],2),""))))</f>
        <v/>
      </c>
      <c r="N333" s="69" t="str">
        <f>IF(Main[[#This Row],[Tech Start Date]]&lt;1/1/1990,"",IF(Main[[#This Row],[Class]]="C",WORKDAY(Main[[#This Row],[Tech Start Date]],19),IF(Main[[#This Row],[Class]]="B", WORKDAY(Main[[#This Row],[Tech Start Date]],12),IF(Main[[#This Row],[Class]]="A",WORKDAY(Main[[#This Row],[Tech Start Date]],4),""))))</f>
        <v/>
      </c>
      <c r="O333" s="69" t="str">
        <f>IF(Main[[#This Row],[Tech Start Date]]&lt;1/1/1990,"",IF(Main[[#This Row],[Class]]="C",WORKDAY(Main[[#This Row],[Tech Start Date]],23),IF(Main[[#This Row],[Class]]="B", WORKDAY(Main[[#This Row],[Tech Start Date]],15),IF(Main[[#This Row],[Class]]="A",WORKDAY(Main[[#This Row],[Tech Start Date]],5),""))))</f>
        <v/>
      </c>
      <c r="P333" s="69" t="str">
        <f>IF(Main[[#This Row],[Tech Start Date]]&lt;1/1/1990,"",IF(Main[[#This Row],[Class]]="C",WORKDAY(Main[[#This Row],[Tech Start Date]],28),IF(Main[[#This Row],[Class]]="B", WORKDAY(Main[[#This Row],[Tech Start Date]],19),IF(Main[[#This Row],[Class]]="A",WORKDAY(Main[[#This Row],[Tech Start Date]],9),""))))</f>
        <v/>
      </c>
      <c r="Q333" s="67">
        <v>40725</v>
      </c>
      <c r="R333" s="67"/>
      <c r="S333" s="65" t="s">
        <v>6</v>
      </c>
      <c r="T333" s="70" t="s">
        <v>4</v>
      </c>
      <c r="U333" s="65" t="s">
        <v>7</v>
      </c>
      <c r="V333" s="65" t="s">
        <v>1917</v>
      </c>
      <c r="W333" s="65" t="s">
        <v>4</v>
      </c>
      <c r="X333" s="65" t="s">
        <v>2824</v>
      </c>
      <c r="Y333" s="65" t="s">
        <v>2935</v>
      </c>
      <c r="Z333" s="65" t="s">
        <v>4</v>
      </c>
      <c r="AA333" s="65" t="s">
        <v>2824</v>
      </c>
    </row>
    <row r="334" spans="1:27" ht="17.45" customHeight="1">
      <c r="A334" s="131" t="str">
        <f>IF(priority(Main[[#This Row],[Comments]])&lt;&gt;0, priority(Main[[#This Row],[Comments]]),"")</f>
        <v/>
      </c>
      <c r="B334" s="99" t="s">
        <v>1130</v>
      </c>
      <c r="C334" s="65" t="s">
        <v>4</v>
      </c>
      <c r="D334" s="66" t="s">
        <v>179</v>
      </c>
      <c r="E334" s="67">
        <v>40644.277719907404</v>
      </c>
      <c r="F334" s="67"/>
      <c r="G334" s="64" t="str">
        <f>IF(stdProdLT(Main[[#This Row],[Comments]])=0.1,"N/A",IF(stdProdLT(Main[[#This Row],[Comments]])=0,"",stdProdLT(Main[[#This Row],[Comments]])))</f>
        <v/>
      </c>
      <c r="H334" s="68" t="str">
        <f>IF(AND(Main[[#This Row],[In Stock Date]]&lt;&gt;"",Main[[#This Row],[Revised Due Date]]&lt;&gt;""),Main[[#This Row],[In Stock Date]]-Main[[#This Row],[Revised Due Date]],"")</f>
        <v/>
      </c>
      <c r="I334" s="65" t="s">
        <v>4</v>
      </c>
      <c r="J334" s="65" t="s">
        <v>4</v>
      </c>
      <c r="K334" s="65" t="s">
        <v>4</v>
      </c>
      <c r="L334" s="67"/>
      <c r="M334" s="69" t="str">
        <f>IF(Main[[#This Row],[Tech Start Date]]&lt;1/1/1990,"",IF(Main[[#This Row],[Class]]="C",WORKDAY(Main[[#This Row],[Tech Start Date]],9),IF(Main[[#This Row],[Class]]="B", WORKDAY(Main[[#This Row],[Tech Start Date]],6),IF(Main[[#This Row],[Class]]="A",WORKDAY(Main[[#This Row],[Tech Start Date]],2),""))))</f>
        <v/>
      </c>
      <c r="N334" s="69" t="str">
        <f>IF(Main[[#This Row],[Tech Start Date]]&lt;1/1/1990,"",IF(Main[[#This Row],[Class]]="C",WORKDAY(Main[[#This Row],[Tech Start Date]],19),IF(Main[[#This Row],[Class]]="B", WORKDAY(Main[[#This Row],[Tech Start Date]],12),IF(Main[[#This Row],[Class]]="A",WORKDAY(Main[[#This Row],[Tech Start Date]],4),""))))</f>
        <v/>
      </c>
      <c r="O334" s="69" t="str">
        <f>IF(Main[[#This Row],[Tech Start Date]]&lt;1/1/1990,"",IF(Main[[#This Row],[Class]]="C",WORKDAY(Main[[#This Row],[Tech Start Date]],23),IF(Main[[#This Row],[Class]]="B", WORKDAY(Main[[#This Row],[Tech Start Date]],15),IF(Main[[#This Row],[Class]]="A",WORKDAY(Main[[#This Row],[Tech Start Date]],5),""))))</f>
        <v/>
      </c>
      <c r="P334" s="69" t="str">
        <f>IF(Main[[#This Row],[Tech Start Date]]&lt;1/1/1990,"",IF(Main[[#This Row],[Class]]="C",WORKDAY(Main[[#This Row],[Tech Start Date]],28),IF(Main[[#This Row],[Class]]="B", WORKDAY(Main[[#This Row],[Tech Start Date]],19),IF(Main[[#This Row],[Class]]="A",WORKDAY(Main[[#This Row],[Tech Start Date]],9),""))))</f>
        <v/>
      </c>
      <c r="Q334" s="67">
        <v>40673</v>
      </c>
      <c r="R334" s="67"/>
      <c r="S334" s="65" t="s">
        <v>6</v>
      </c>
      <c r="T334" s="70" t="s">
        <v>4</v>
      </c>
      <c r="U334" s="65" t="s">
        <v>7</v>
      </c>
      <c r="V334" s="65" t="s">
        <v>1917</v>
      </c>
      <c r="W334" s="65" t="s">
        <v>1925</v>
      </c>
      <c r="X334" s="65" t="s">
        <v>2827</v>
      </c>
      <c r="Y334" s="65" t="s">
        <v>2942</v>
      </c>
      <c r="Z334" s="65" t="s">
        <v>4</v>
      </c>
      <c r="AA334" s="65" t="s">
        <v>2827</v>
      </c>
    </row>
    <row r="335" spans="1:27" ht="17.45" customHeight="1">
      <c r="A335" s="131" t="str">
        <f>IF(priority(Main[[#This Row],[Comments]])&lt;&gt;0, priority(Main[[#This Row],[Comments]]),"")</f>
        <v/>
      </c>
      <c r="B335" s="99" t="s">
        <v>1132</v>
      </c>
      <c r="C335" s="65" t="s">
        <v>180</v>
      </c>
      <c r="D335" s="66" t="s">
        <v>181</v>
      </c>
      <c r="E335" s="67"/>
      <c r="F335" s="67">
        <v>40536</v>
      </c>
      <c r="G335" s="64" t="str">
        <f>IF(stdProdLT(Main[[#This Row],[Comments]])=0.1,"N/A",IF(stdProdLT(Main[[#This Row],[Comments]])=0,"",stdProdLT(Main[[#This Row],[Comments]])))</f>
        <v/>
      </c>
      <c r="H335" s="68" t="str">
        <f>IF(AND(Main[[#This Row],[In Stock Date]]&lt;&gt;"",Main[[#This Row],[Revised Due Date]]&lt;&gt;""),Main[[#This Row],[In Stock Date]]-Main[[#This Row],[Revised Due Date]],"")</f>
        <v/>
      </c>
      <c r="I335" s="65" t="s">
        <v>4</v>
      </c>
      <c r="J335" s="65" t="s">
        <v>28</v>
      </c>
      <c r="K335" s="65" t="s">
        <v>1926</v>
      </c>
      <c r="L335" s="67"/>
      <c r="M335" s="69" t="str">
        <f>IF(Main[[#This Row],[Tech Start Date]]&lt;1/1/1990,"",IF(Main[[#This Row],[Class]]="C",WORKDAY(Main[[#This Row],[Tech Start Date]],9),IF(Main[[#This Row],[Class]]="B", WORKDAY(Main[[#This Row],[Tech Start Date]],6),IF(Main[[#This Row],[Class]]="A",WORKDAY(Main[[#This Row],[Tech Start Date]],2),""))))</f>
        <v/>
      </c>
      <c r="N335" s="69" t="str">
        <f>IF(Main[[#This Row],[Tech Start Date]]&lt;1/1/1990,"",IF(Main[[#This Row],[Class]]="C",WORKDAY(Main[[#This Row],[Tech Start Date]],19),IF(Main[[#This Row],[Class]]="B", WORKDAY(Main[[#This Row],[Tech Start Date]],12),IF(Main[[#This Row],[Class]]="A",WORKDAY(Main[[#This Row],[Tech Start Date]],4),""))))</f>
        <v/>
      </c>
      <c r="O335" s="69" t="str">
        <f>IF(Main[[#This Row],[Tech Start Date]]&lt;1/1/1990,"",IF(Main[[#This Row],[Class]]="C",WORKDAY(Main[[#This Row],[Tech Start Date]],23),IF(Main[[#This Row],[Class]]="B", WORKDAY(Main[[#This Row],[Tech Start Date]],15),IF(Main[[#This Row],[Class]]="A",WORKDAY(Main[[#This Row],[Tech Start Date]],5),""))))</f>
        <v/>
      </c>
      <c r="P335" s="69" t="str">
        <f>IF(Main[[#This Row],[Tech Start Date]]&lt;1/1/1990,"",IF(Main[[#This Row],[Class]]="C",WORKDAY(Main[[#This Row],[Tech Start Date]],28),IF(Main[[#This Row],[Class]]="B", WORKDAY(Main[[#This Row],[Tech Start Date]],19),IF(Main[[#This Row],[Class]]="A",WORKDAY(Main[[#This Row],[Tech Start Date]],9),""))))</f>
        <v/>
      </c>
      <c r="Q335" s="67">
        <v>40466</v>
      </c>
      <c r="R335" s="67"/>
      <c r="S335" s="65" t="s">
        <v>11</v>
      </c>
      <c r="T335" s="70" t="s">
        <v>4</v>
      </c>
      <c r="U335" s="65" t="s">
        <v>14</v>
      </c>
      <c r="V335" s="65" t="s">
        <v>1920</v>
      </c>
      <c r="W335" s="65" t="s">
        <v>1923</v>
      </c>
      <c r="X335" s="65" t="s">
        <v>2830</v>
      </c>
      <c r="Y335" s="65" t="s">
        <v>2949</v>
      </c>
      <c r="Z335" s="65" t="s">
        <v>530</v>
      </c>
      <c r="AA335" s="65" t="s">
        <v>2830</v>
      </c>
    </row>
    <row r="336" spans="1:27" ht="17.45" customHeight="1">
      <c r="A336" s="131" t="str">
        <f>IF(priority(Main[[#This Row],[Comments]])&lt;&gt;0, priority(Main[[#This Row],[Comments]]),"")</f>
        <v/>
      </c>
      <c r="B336" s="99" t="s">
        <v>1133</v>
      </c>
      <c r="C336" s="65" t="s">
        <v>182</v>
      </c>
      <c r="D336" s="66" t="s">
        <v>183</v>
      </c>
      <c r="E336" s="67"/>
      <c r="F336" s="67">
        <v>40571</v>
      </c>
      <c r="G336" s="64" t="str">
        <f>IF(stdProdLT(Main[[#This Row],[Comments]])=0.1,"N/A",IF(stdProdLT(Main[[#This Row],[Comments]])=0,"",stdProdLT(Main[[#This Row],[Comments]])))</f>
        <v/>
      </c>
      <c r="H336" s="68" t="str">
        <f>IF(AND(Main[[#This Row],[In Stock Date]]&lt;&gt;"",Main[[#This Row],[Revised Due Date]]&lt;&gt;""),Main[[#This Row],[In Stock Date]]-Main[[#This Row],[Revised Due Date]],"")</f>
        <v/>
      </c>
      <c r="I336" s="65" t="s">
        <v>4</v>
      </c>
      <c r="J336" s="65" t="s">
        <v>28</v>
      </c>
      <c r="K336" s="65" t="s">
        <v>4</v>
      </c>
      <c r="L336" s="67"/>
      <c r="M336" s="69" t="str">
        <f>IF(Main[[#This Row],[Tech Start Date]]&lt;1/1/1990,"",IF(Main[[#This Row],[Class]]="C",WORKDAY(Main[[#This Row],[Tech Start Date]],9),IF(Main[[#This Row],[Class]]="B", WORKDAY(Main[[#This Row],[Tech Start Date]],6),IF(Main[[#This Row],[Class]]="A",WORKDAY(Main[[#This Row],[Tech Start Date]],2),""))))</f>
        <v/>
      </c>
      <c r="N336" s="69" t="str">
        <f>IF(Main[[#This Row],[Tech Start Date]]&lt;1/1/1990,"",IF(Main[[#This Row],[Class]]="C",WORKDAY(Main[[#This Row],[Tech Start Date]],19),IF(Main[[#This Row],[Class]]="B", WORKDAY(Main[[#This Row],[Tech Start Date]],12),IF(Main[[#This Row],[Class]]="A",WORKDAY(Main[[#This Row],[Tech Start Date]],4),""))))</f>
        <v/>
      </c>
      <c r="O336" s="69" t="str">
        <f>IF(Main[[#This Row],[Tech Start Date]]&lt;1/1/1990,"",IF(Main[[#This Row],[Class]]="C",WORKDAY(Main[[#This Row],[Tech Start Date]],23),IF(Main[[#This Row],[Class]]="B", WORKDAY(Main[[#This Row],[Tech Start Date]],15),IF(Main[[#This Row],[Class]]="A",WORKDAY(Main[[#This Row],[Tech Start Date]],5),""))))</f>
        <v/>
      </c>
      <c r="P336" s="69" t="str">
        <f>IF(Main[[#This Row],[Tech Start Date]]&lt;1/1/1990,"",IF(Main[[#This Row],[Class]]="C",WORKDAY(Main[[#This Row],[Tech Start Date]],28),IF(Main[[#This Row],[Class]]="B", WORKDAY(Main[[#This Row],[Tech Start Date]],19),IF(Main[[#This Row],[Class]]="A",WORKDAY(Main[[#This Row],[Tech Start Date]],9),""))))</f>
        <v/>
      </c>
      <c r="Q336" s="67"/>
      <c r="R336" s="67"/>
      <c r="S336" s="65" t="s">
        <v>11</v>
      </c>
      <c r="T336" s="70" t="s">
        <v>4</v>
      </c>
      <c r="U336" s="65" t="s">
        <v>14</v>
      </c>
      <c r="V336" s="65" t="s">
        <v>1917</v>
      </c>
      <c r="W336" s="65" t="s">
        <v>1923</v>
      </c>
      <c r="X336" s="65" t="s">
        <v>50</v>
      </c>
      <c r="Y336" s="65" t="s">
        <v>3005</v>
      </c>
      <c r="Z336" s="65" t="s">
        <v>129</v>
      </c>
      <c r="AA336" s="65" t="s">
        <v>3407</v>
      </c>
    </row>
    <row r="337" spans="1:27" ht="17.45" customHeight="1">
      <c r="A337" s="131" t="str">
        <f>IF(priority(Main[[#This Row],[Comments]])&lt;&gt;0, priority(Main[[#This Row],[Comments]]),"")</f>
        <v/>
      </c>
      <c r="B337" s="99" t="s">
        <v>1134</v>
      </c>
      <c r="C337" s="65" t="s">
        <v>184</v>
      </c>
      <c r="D337" s="66" t="s">
        <v>185</v>
      </c>
      <c r="E337" s="67"/>
      <c r="F337" s="67"/>
      <c r="G337" s="64" t="str">
        <f>IF(stdProdLT(Main[[#This Row],[Comments]])=0.1,"N/A",IF(stdProdLT(Main[[#This Row],[Comments]])=0,"",stdProdLT(Main[[#This Row],[Comments]])))</f>
        <v/>
      </c>
      <c r="H337" s="68" t="str">
        <f>IF(AND(Main[[#This Row],[In Stock Date]]&lt;&gt;"",Main[[#This Row],[Revised Due Date]]&lt;&gt;""),Main[[#This Row],[In Stock Date]]-Main[[#This Row],[Revised Due Date]],"")</f>
        <v/>
      </c>
      <c r="I337" s="65" t="s">
        <v>4</v>
      </c>
      <c r="J337" s="65" t="s">
        <v>4</v>
      </c>
      <c r="K337" s="65" t="s">
        <v>4</v>
      </c>
      <c r="L337" s="67"/>
      <c r="M337" s="69" t="str">
        <f>IF(Main[[#This Row],[Tech Start Date]]&lt;1/1/1990,"",IF(Main[[#This Row],[Class]]="C",WORKDAY(Main[[#This Row],[Tech Start Date]],9),IF(Main[[#This Row],[Class]]="B", WORKDAY(Main[[#This Row],[Tech Start Date]],6),IF(Main[[#This Row],[Class]]="A",WORKDAY(Main[[#This Row],[Tech Start Date]],2),""))))</f>
        <v/>
      </c>
      <c r="N337" s="69" t="str">
        <f>IF(Main[[#This Row],[Tech Start Date]]&lt;1/1/1990,"",IF(Main[[#This Row],[Class]]="C",WORKDAY(Main[[#This Row],[Tech Start Date]],19),IF(Main[[#This Row],[Class]]="B", WORKDAY(Main[[#This Row],[Tech Start Date]],12),IF(Main[[#This Row],[Class]]="A",WORKDAY(Main[[#This Row],[Tech Start Date]],4),""))))</f>
        <v/>
      </c>
      <c r="O337" s="69" t="str">
        <f>IF(Main[[#This Row],[Tech Start Date]]&lt;1/1/1990,"",IF(Main[[#This Row],[Class]]="C",WORKDAY(Main[[#This Row],[Tech Start Date]],23),IF(Main[[#This Row],[Class]]="B", WORKDAY(Main[[#This Row],[Tech Start Date]],15),IF(Main[[#This Row],[Class]]="A",WORKDAY(Main[[#This Row],[Tech Start Date]],5),""))))</f>
        <v/>
      </c>
      <c r="P337" s="69" t="str">
        <f>IF(Main[[#This Row],[Tech Start Date]]&lt;1/1/1990,"",IF(Main[[#This Row],[Class]]="C",WORKDAY(Main[[#This Row],[Tech Start Date]],28),IF(Main[[#This Row],[Class]]="B", WORKDAY(Main[[#This Row],[Tech Start Date]],19),IF(Main[[#This Row],[Class]]="A",WORKDAY(Main[[#This Row],[Tech Start Date]],9),""))))</f>
        <v/>
      </c>
      <c r="Q337" s="67">
        <v>40116</v>
      </c>
      <c r="R337" s="67"/>
      <c r="S337" s="65" t="s">
        <v>11</v>
      </c>
      <c r="T337" s="70" t="s">
        <v>4</v>
      </c>
      <c r="U337" s="65" t="s">
        <v>14</v>
      </c>
      <c r="V337" s="65" t="s">
        <v>1920</v>
      </c>
      <c r="W337" s="65" t="s">
        <v>1919</v>
      </c>
      <c r="X337" s="65" t="s">
        <v>2869</v>
      </c>
      <c r="Y337" s="65" t="s">
        <v>4</v>
      </c>
      <c r="Z337" s="65" t="s">
        <v>4</v>
      </c>
      <c r="AA337" s="65" t="s">
        <v>2869</v>
      </c>
    </row>
    <row r="338" spans="1:27" ht="17.45" customHeight="1">
      <c r="A338" s="131" t="str">
        <f>IF(priority(Main[[#This Row],[Comments]])&lt;&gt;0, priority(Main[[#This Row],[Comments]]),"")</f>
        <v/>
      </c>
      <c r="B338" s="99" t="s">
        <v>1136</v>
      </c>
      <c r="C338" s="65" t="s">
        <v>187</v>
      </c>
      <c r="D338" s="66" t="s">
        <v>188</v>
      </c>
      <c r="E338" s="67"/>
      <c r="F338" s="67">
        <v>40263</v>
      </c>
      <c r="G338" s="64" t="str">
        <f>IF(stdProdLT(Main[[#This Row],[Comments]])=0.1,"N/A",IF(stdProdLT(Main[[#This Row],[Comments]])=0,"",stdProdLT(Main[[#This Row],[Comments]])))</f>
        <v/>
      </c>
      <c r="H338" s="68" t="str">
        <f>IF(AND(Main[[#This Row],[In Stock Date]]&lt;&gt;"",Main[[#This Row],[Revised Due Date]]&lt;&gt;""),Main[[#This Row],[In Stock Date]]-Main[[#This Row],[Revised Due Date]],"")</f>
        <v/>
      </c>
      <c r="I338" s="65" t="s">
        <v>4</v>
      </c>
      <c r="J338" s="65" t="s">
        <v>4</v>
      </c>
      <c r="K338" s="65" t="s">
        <v>4</v>
      </c>
      <c r="L338" s="67"/>
      <c r="M338" s="69" t="str">
        <f>IF(Main[[#This Row],[Tech Start Date]]&lt;1/1/1990,"",IF(Main[[#This Row],[Class]]="C",WORKDAY(Main[[#This Row],[Tech Start Date]],9),IF(Main[[#This Row],[Class]]="B", WORKDAY(Main[[#This Row],[Tech Start Date]],6),IF(Main[[#This Row],[Class]]="A",WORKDAY(Main[[#This Row],[Tech Start Date]],2),""))))</f>
        <v/>
      </c>
      <c r="N338" s="69" t="str">
        <f>IF(Main[[#This Row],[Tech Start Date]]&lt;1/1/1990,"",IF(Main[[#This Row],[Class]]="C",WORKDAY(Main[[#This Row],[Tech Start Date]],19),IF(Main[[#This Row],[Class]]="B", WORKDAY(Main[[#This Row],[Tech Start Date]],12),IF(Main[[#This Row],[Class]]="A",WORKDAY(Main[[#This Row],[Tech Start Date]],4),""))))</f>
        <v/>
      </c>
      <c r="O338" s="69" t="str">
        <f>IF(Main[[#This Row],[Tech Start Date]]&lt;1/1/1990,"",IF(Main[[#This Row],[Class]]="C",WORKDAY(Main[[#This Row],[Tech Start Date]],23),IF(Main[[#This Row],[Class]]="B", WORKDAY(Main[[#This Row],[Tech Start Date]],15),IF(Main[[#This Row],[Class]]="A",WORKDAY(Main[[#This Row],[Tech Start Date]],5),""))))</f>
        <v/>
      </c>
      <c r="P338" s="69" t="str">
        <f>IF(Main[[#This Row],[Tech Start Date]]&lt;1/1/1990,"",IF(Main[[#This Row],[Class]]="C",WORKDAY(Main[[#This Row],[Tech Start Date]],28),IF(Main[[#This Row],[Class]]="B", WORKDAY(Main[[#This Row],[Tech Start Date]],19),IF(Main[[#This Row],[Class]]="A",WORKDAY(Main[[#This Row],[Tech Start Date]],9),""))))</f>
        <v/>
      </c>
      <c r="Q338" s="67">
        <v>40295</v>
      </c>
      <c r="R338" s="67"/>
      <c r="S338" s="65" t="s">
        <v>11</v>
      </c>
      <c r="T338" s="70" t="s">
        <v>4</v>
      </c>
      <c r="U338" s="65" t="s">
        <v>14</v>
      </c>
      <c r="V338" s="65" t="s">
        <v>1920</v>
      </c>
      <c r="W338" s="65" t="s">
        <v>1923</v>
      </c>
      <c r="X338" s="65" t="s">
        <v>306</v>
      </c>
      <c r="Y338" s="65" t="s">
        <v>4</v>
      </c>
      <c r="Z338" s="65" t="s">
        <v>4</v>
      </c>
      <c r="AA338" s="65" t="s">
        <v>306</v>
      </c>
    </row>
    <row r="339" spans="1:27" ht="17.45" customHeight="1">
      <c r="A339" s="131" t="str">
        <f>IF(priority(Main[[#This Row],[Comments]])&lt;&gt;0, priority(Main[[#This Row],[Comments]]),"")</f>
        <v/>
      </c>
      <c r="B339" s="99" t="s">
        <v>1137</v>
      </c>
      <c r="C339" s="65" t="s">
        <v>4</v>
      </c>
      <c r="D339" s="66" t="s">
        <v>189</v>
      </c>
      <c r="E339" s="67"/>
      <c r="F339" s="67"/>
      <c r="G339" s="64" t="str">
        <f>IF(stdProdLT(Main[[#This Row],[Comments]])=0.1,"N/A",IF(stdProdLT(Main[[#This Row],[Comments]])=0,"",stdProdLT(Main[[#This Row],[Comments]])))</f>
        <v/>
      </c>
      <c r="H339" s="68" t="str">
        <f>IF(AND(Main[[#This Row],[In Stock Date]]&lt;&gt;"",Main[[#This Row],[Revised Due Date]]&lt;&gt;""),Main[[#This Row],[In Stock Date]]-Main[[#This Row],[Revised Due Date]],"")</f>
        <v/>
      </c>
      <c r="I339" s="65" t="s">
        <v>4</v>
      </c>
      <c r="J339" s="65" t="s">
        <v>4</v>
      </c>
      <c r="K339" s="71" t="s">
        <v>4</v>
      </c>
      <c r="L339" s="67"/>
      <c r="M339" s="69" t="str">
        <f>IF(Main[[#This Row],[Tech Start Date]]&lt;1/1/1990,"",IF(Main[[#This Row],[Class]]="C",WORKDAY(Main[[#This Row],[Tech Start Date]],9),IF(Main[[#This Row],[Class]]="B", WORKDAY(Main[[#This Row],[Tech Start Date]],6),IF(Main[[#This Row],[Class]]="A",WORKDAY(Main[[#This Row],[Tech Start Date]],2),""))))</f>
        <v/>
      </c>
      <c r="N339" s="69" t="str">
        <f>IF(Main[[#This Row],[Tech Start Date]]&lt;1/1/1990,"",IF(Main[[#This Row],[Class]]="C",WORKDAY(Main[[#This Row],[Tech Start Date]],19),IF(Main[[#This Row],[Class]]="B", WORKDAY(Main[[#This Row],[Tech Start Date]],12),IF(Main[[#This Row],[Class]]="A",WORKDAY(Main[[#This Row],[Tech Start Date]],4),""))))</f>
        <v/>
      </c>
      <c r="O339" s="69" t="str">
        <f>IF(Main[[#This Row],[Tech Start Date]]&lt;1/1/1990,"",IF(Main[[#This Row],[Class]]="C",WORKDAY(Main[[#This Row],[Tech Start Date]],23),IF(Main[[#This Row],[Class]]="B", WORKDAY(Main[[#This Row],[Tech Start Date]],15),IF(Main[[#This Row],[Class]]="A",WORKDAY(Main[[#This Row],[Tech Start Date]],5),""))))</f>
        <v/>
      </c>
      <c r="P339" s="69" t="str">
        <f>IF(Main[[#This Row],[Tech Start Date]]&lt;1/1/1990,"",IF(Main[[#This Row],[Class]]="C",WORKDAY(Main[[#This Row],[Tech Start Date]],28),IF(Main[[#This Row],[Class]]="B", WORKDAY(Main[[#This Row],[Tech Start Date]],19),IF(Main[[#This Row],[Class]]="A",WORKDAY(Main[[#This Row],[Tech Start Date]],9),""))))</f>
        <v/>
      </c>
      <c r="Q339" s="67"/>
      <c r="R339" s="67"/>
      <c r="S339" s="65" t="s">
        <v>4</v>
      </c>
      <c r="T339" s="70" t="s">
        <v>4</v>
      </c>
      <c r="U339" s="65" t="s">
        <v>14</v>
      </c>
      <c r="V339" s="65" t="s">
        <v>1920</v>
      </c>
      <c r="W339" s="65" t="s">
        <v>4</v>
      </c>
      <c r="X339" s="65" t="s">
        <v>970</v>
      </c>
      <c r="Y339" s="65" t="s">
        <v>4</v>
      </c>
      <c r="Z339" s="65" t="s">
        <v>4</v>
      </c>
      <c r="AA339" s="65" t="s">
        <v>4</v>
      </c>
    </row>
    <row r="340" spans="1:27" ht="17.45" customHeight="1">
      <c r="A340" s="131" t="str">
        <f>IF(priority(Main[[#This Row],[Comments]])&lt;&gt;0, priority(Main[[#This Row],[Comments]]),"")</f>
        <v/>
      </c>
      <c r="B340" s="99" t="s">
        <v>1138</v>
      </c>
      <c r="C340" s="65" t="s">
        <v>93</v>
      </c>
      <c r="D340" s="66" t="s">
        <v>190</v>
      </c>
      <c r="E340" s="67"/>
      <c r="F340" s="67">
        <v>40132</v>
      </c>
      <c r="G340" s="64" t="str">
        <f>IF(stdProdLT(Main[[#This Row],[Comments]])=0.1,"N/A",IF(stdProdLT(Main[[#This Row],[Comments]])=0,"",stdProdLT(Main[[#This Row],[Comments]])))</f>
        <v/>
      </c>
      <c r="H340" s="68" t="str">
        <f>IF(AND(Main[[#This Row],[In Stock Date]]&lt;&gt;"",Main[[#This Row],[Revised Due Date]]&lt;&gt;""),Main[[#This Row],[In Stock Date]]-Main[[#This Row],[Revised Due Date]],"")</f>
        <v/>
      </c>
      <c r="I340" s="65" t="s">
        <v>4</v>
      </c>
      <c r="J340" s="65" t="s">
        <v>4</v>
      </c>
      <c r="K340" s="71" t="s">
        <v>4</v>
      </c>
      <c r="L340" s="67"/>
      <c r="M340" s="69" t="str">
        <f>IF(Main[[#This Row],[Tech Start Date]]&lt;1/1/1990,"",IF(Main[[#This Row],[Class]]="C",WORKDAY(Main[[#This Row],[Tech Start Date]],9),IF(Main[[#This Row],[Class]]="B", WORKDAY(Main[[#This Row],[Tech Start Date]],6),IF(Main[[#This Row],[Class]]="A",WORKDAY(Main[[#This Row],[Tech Start Date]],2),""))))</f>
        <v/>
      </c>
      <c r="N340" s="69" t="str">
        <f>IF(Main[[#This Row],[Tech Start Date]]&lt;1/1/1990,"",IF(Main[[#This Row],[Class]]="C",WORKDAY(Main[[#This Row],[Tech Start Date]],19),IF(Main[[#This Row],[Class]]="B", WORKDAY(Main[[#This Row],[Tech Start Date]],12),IF(Main[[#This Row],[Class]]="A",WORKDAY(Main[[#This Row],[Tech Start Date]],4),""))))</f>
        <v/>
      </c>
      <c r="O340" s="69" t="str">
        <f>IF(Main[[#This Row],[Tech Start Date]]&lt;1/1/1990,"",IF(Main[[#This Row],[Class]]="C",WORKDAY(Main[[#This Row],[Tech Start Date]],23),IF(Main[[#This Row],[Class]]="B", WORKDAY(Main[[#This Row],[Tech Start Date]],15),IF(Main[[#This Row],[Class]]="A",WORKDAY(Main[[#This Row],[Tech Start Date]],5),""))))</f>
        <v/>
      </c>
      <c r="P340" s="69" t="str">
        <f>IF(Main[[#This Row],[Tech Start Date]]&lt;1/1/1990,"",IF(Main[[#This Row],[Class]]="C",WORKDAY(Main[[#This Row],[Tech Start Date]],28),IF(Main[[#This Row],[Class]]="B", WORKDAY(Main[[#This Row],[Tech Start Date]],19),IF(Main[[#This Row],[Class]]="A",WORKDAY(Main[[#This Row],[Tech Start Date]],9),""))))</f>
        <v/>
      </c>
      <c r="Q340" s="67">
        <v>40132</v>
      </c>
      <c r="R340" s="67"/>
      <c r="S340" s="65" t="s">
        <v>11</v>
      </c>
      <c r="T340" s="70" t="s">
        <v>4</v>
      </c>
      <c r="U340" s="65" t="s">
        <v>14</v>
      </c>
      <c r="V340" s="65" t="s">
        <v>1920</v>
      </c>
      <c r="W340" s="65" t="s">
        <v>1928</v>
      </c>
      <c r="X340" s="65" t="s">
        <v>2862</v>
      </c>
      <c r="Y340" s="65" t="s">
        <v>4</v>
      </c>
      <c r="Z340" s="65" t="s">
        <v>4</v>
      </c>
      <c r="AA340" s="65" t="s">
        <v>2862</v>
      </c>
    </row>
    <row r="341" spans="1:27" ht="17.45" customHeight="1">
      <c r="A341" s="131" t="str">
        <f>IF(priority(Main[[#This Row],[Comments]])&lt;&gt;0, priority(Main[[#This Row],[Comments]]),"")</f>
        <v/>
      </c>
      <c r="B341" s="99" t="s">
        <v>1139</v>
      </c>
      <c r="C341" s="65" t="s">
        <v>93</v>
      </c>
      <c r="D341" s="66" t="s">
        <v>191</v>
      </c>
      <c r="E341" s="67"/>
      <c r="F341" s="67">
        <v>40132</v>
      </c>
      <c r="G341" s="64" t="str">
        <f>IF(stdProdLT(Main[[#This Row],[Comments]])=0.1,"N/A",IF(stdProdLT(Main[[#This Row],[Comments]])=0,"",stdProdLT(Main[[#This Row],[Comments]])))</f>
        <v/>
      </c>
      <c r="H341" s="68" t="str">
        <f>IF(AND(Main[[#This Row],[In Stock Date]]&lt;&gt;"",Main[[#This Row],[Revised Due Date]]&lt;&gt;""),Main[[#This Row],[In Stock Date]]-Main[[#This Row],[Revised Due Date]],"")</f>
        <v/>
      </c>
      <c r="I341" s="65" t="s">
        <v>4</v>
      </c>
      <c r="J341" s="65" t="s">
        <v>4</v>
      </c>
      <c r="K341" s="65" t="s">
        <v>4</v>
      </c>
      <c r="L341" s="67"/>
      <c r="M341" s="69" t="str">
        <f>IF(Main[[#This Row],[Tech Start Date]]&lt;1/1/1990,"",IF(Main[[#This Row],[Class]]="C",WORKDAY(Main[[#This Row],[Tech Start Date]],9),IF(Main[[#This Row],[Class]]="B", WORKDAY(Main[[#This Row],[Tech Start Date]],6),IF(Main[[#This Row],[Class]]="A",WORKDAY(Main[[#This Row],[Tech Start Date]],2),""))))</f>
        <v/>
      </c>
      <c r="N341" s="69" t="str">
        <f>IF(Main[[#This Row],[Tech Start Date]]&lt;1/1/1990,"",IF(Main[[#This Row],[Class]]="C",WORKDAY(Main[[#This Row],[Tech Start Date]],19),IF(Main[[#This Row],[Class]]="B", WORKDAY(Main[[#This Row],[Tech Start Date]],12),IF(Main[[#This Row],[Class]]="A",WORKDAY(Main[[#This Row],[Tech Start Date]],4),""))))</f>
        <v/>
      </c>
      <c r="O341" s="69" t="str">
        <f>IF(Main[[#This Row],[Tech Start Date]]&lt;1/1/1990,"",IF(Main[[#This Row],[Class]]="C",WORKDAY(Main[[#This Row],[Tech Start Date]],23),IF(Main[[#This Row],[Class]]="B", WORKDAY(Main[[#This Row],[Tech Start Date]],15),IF(Main[[#This Row],[Class]]="A",WORKDAY(Main[[#This Row],[Tech Start Date]],5),""))))</f>
        <v/>
      </c>
      <c r="P341" s="69" t="str">
        <f>IF(Main[[#This Row],[Tech Start Date]]&lt;1/1/1990,"",IF(Main[[#This Row],[Class]]="C",WORKDAY(Main[[#This Row],[Tech Start Date]],28),IF(Main[[#This Row],[Class]]="B", WORKDAY(Main[[#This Row],[Tech Start Date]],19),IF(Main[[#This Row],[Class]]="A",WORKDAY(Main[[#This Row],[Tech Start Date]],9),""))))</f>
        <v/>
      </c>
      <c r="Q341" s="67">
        <v>40132</v>
      </c>
      <c r="R341" s="67"/>
      <c r="S341" s="65" t="s">
        <v>11</v>
      </c>
      <c r="T341" s="70" t="s">
        <v>4</v>
      </c>
      <c r="U341" s="65" t="s">
        <v>14</v>
      </c>
      <c r="V341" s="65" t="s">
        <v>1920</v>
      </c>
      <c r="W341" s="65" t="s">
        <v>1928</v>
      </c>
      <c r="X341" s="65" t="s">
        <v>2862</v>
      </c>
      <c r="Y341" s="65" t="s">
        <v>4</v>
      </c>
      <c r="Z341" s="65" t="s">
        <v>4</v>
      </c>
      <c r="AA341" s="65" t="s">
        <v>2862</v>
      </c>
    </row>
    <row r="342" spans="1:27" ht="17.45" customHeight="1">
      <c r="A342" s="131" t="str">
        <f>IF(priority(Main[[#This Row],[Comments]])&lt;&gt;0, priority(Main[[#This Row],[Comments]]),"")</f>
        <v/>
      </c>
      <c r="B342" s="99" t="s">
        <v>1140</v>
      </c>
      <c r="C342" s="65" t="s">
        <v>4</v>
      </c>
      <c r="D342" s="66" t="s">
        <v>192</v>
      </c>
      <c r="E342" s="67">
        <v>40371.395115740743</v>
      </c>
      <c r="F342" s="67"/>
      <c r="G342" s="64" t="str">
        <f>IF(stdProdLT(Main[[#This Row],[Comments]])=0.1,"N/A",IF(stdProdLT(Main[[#This Row],[Comments]])=0,"",stdProdLT(Main[[#This Row],[Comments]])))</f>
        <v/>
      </c>
      <c r="H342" s="68" t="str">
        <f>IF(AND(Main[[#This Row],[In Stock Date]]&lt;&gt;"",Main[[#This Row],[Revised Due Date]]&lt;&gt;""),Main[[#This Row],[In Stock Date]]-Main[[#This Row],[Revised Due Date]],"")</f>
        <v/>
      </c>
      <c r="I342" s="65" t="s">
        <v>4</v>
      </c>
      <c r="J342" s="65" t="s">
        <v>4</v>
      </c>
      <c r="K342" s="65" t="s">
        <v>4</v>
      </c>
      <c r="L342" s="67"/>
      <c r="M342" s="69" t="str">
        <f>IF(Main[[#This Row],[Tech Start Date]]&lt;1/1/1990,"",IF(Main[[#This Row],[Class]]="C",WORKDAY(Main[[#This Row],[Tech Start Date]],9),IF(Main[[#This Row],[Class]]="B", WORKDAY(Main[[#This Row],[Tech Start Date]],6),IF(Main[[#This Row],[Class]]="A",WORKDAY(Main[[#This Row],[Tech Start Date]],2),""))))</f>
        <v/>
      </c>
      <c r="N342" s="69" t="str">
        <f>IF(Main[[#This Row],[Tech Start Date]]&lt;1/1/1990,"",IF(Main[[#This Row],[Class]]="C",WORKDAY(Main[[#This Row],[Tech Start Date]],19),IF(Main[[#This Row],[Class]]="B", WORKDAY(Main[[#This Row],[Tech Start Date]],12),IF(Main[[#This Row],[Class]]="A",WORKDAY(Main[[#This Row],[Tech Start Date]],4),""))))</f>
        <v/>
      </c>
      <c r="O342" s="69" t="str">
        <f>IF(Main[[#This Row],[Tech Start Date]]&lt;1/1/1990,"",IF(Main[[#This Row],[Class]]="C",WORKDAY(Main[[#This Row],[Tech Start Date]],23),IF(Main[[#This Row],[Class]]="B", WORKDAY(Main[[#This Row],[Tech Start Date]],15),IF(Main[[#This Row],[Class]]="A",WORKDAY(Main[[#This Row],[Tech Start Date]],5),""))))</f>
        <v/>
      </c>
      <c r="P342" s="69" t="str">
        <f>IF(Main[[#This Row],[Tech Start Date]]&lt;1/1/1990,"",IF(Main[[#This Row],[Class]]="C",WORKDAY(Main[[#This Row],[Tech Start Date]],28),IF(Main[[#This Row],[Class]]="B", WORKDAY(Main[[#This Row],[Tech Start Date]],19),IF(Main[[#This Row],[Class]]="A",WORKDAY(Main[[#This Row],[Tech Start Date]],9),""))))</f>
        <v/>
      </c>
      <c r="Q342" s="67">
        <v>40385</v>
      </c>
      <c r="R342" s="67"/>
      <c r="S342" s="65" t="s">
        <v>6</v>
      </c>
      <c r="T342" s="70" t="s">
        <v>4</v>
      </c>
      <c r="U342" s="65" t="s">
        <v>7</v>
      </c>
      <c r="V342" s="65" t="s">
        <v>1917</v>
      </c>
      <c r="W342" s="65" t="s">
        <v>1919</v>
      </c>
      <c r="X342" s="65" t="s">
        <v>102</v>
      </c>
      <c r="Y342" s="65" t="s">
        <v>3007</v>
      </c>
      <c r="Z342" s="65" t="s">
        <v>4</v>
      </c>
      <c r="AA342" s="65" t="s">
        <v>3408</v>
      </c>
    </row>
    <row r="343" spans="1:27" ht="17.45" customHeight="1">
      <c r="A343" s="131" t="str">
        <f>IF(priority(Main[[#This Row],[Comments]])&lt;&gt;0, priority(Main[[#This Row],[Comments]]),"")</f>
        <v/>
      </c>
      <c r="B343" s="99" t="s">
        <v>1141</v>
      </c>
      <c r="C343" s="65" t="s">
        <v>53</v>
      </c>
      <c r="D343" s="66" t="s">
        <v>193</v>
      </c>
      <c r="E343" s="67"/>
      <c r="F343" s="67"/>
      <c r="G343" s="64" t="str">
        <f>IF(stdProdLT(Main[[#This Row],[Comments]])=0.1,"N/A",IF(stdProdLT(Main[[#This Row],[Comments]])=0,"",stdProdLT(Main[[#This Row],[Comments]])))</f>
        <v/>
      </c>
      <c r="H343" s="68" t="str">
        <f>IF(AND(Main[[#This Row],[In Stock Date]]&lt;&gt;"",Main[[#This Row],[Revised Due Date]]&lt;&gt;""),Main[[#This Row],[In Stock Date]]-Main[[#This Row],[Revised Due Date]],"")</f>
        <v/>
      </c>
      <c r="I343" s="65" t="s">
        <v>4</v>
      </c>
      <c r="J343" s="65" t="s">
        <v>28</v>
      </c>
      <c r="K343" s="65" t="s">
        <v>1924</v>
      </c>
      <c r="L343" s="67"/>
      <c r="M343" s="69" t="str">
        <f>IF(Main[[#This Row],[Tech Start Date]]&lt;1/1/1990,"",IF(Main[[#This Row],[Class]]="C",WORKDAY(Main[[#This Row],[Tech Start Date]],9),IF(Main[[#This Row],[Class]]="B", WORKDAY(Main[[#This Row],[Tech Start Date]],6),IF(Main[[#This Row],[Class]]="A",WORKDAY(Main[[#This Row],[Tech Start Date]],2),""))))</f>
        <v/>
      </c>
      <c r="N343" s="69" t="str">
        <f>IF(Main[[#This Row],[Tech Start Date]]&lt;1/1/1990,"",IF(Main[[#This Row],[Class]]="C",WORKDAY(Main[[#This Row],[Tech Start Date]],19),IF(Main[[#This Row],[Class]]="B", WORKDAY(Main[[#This Row],[Tech Start Date]],12),IF(Main[[#This Row],[Class]]="A",WORKDAY(Main[[#This Row],[Tech Start Date]],4),""))))</f>
        <v/>
      </c>
      <c r="O343" s="69" t="str">
        <f>IF(Main[[#This Row],[Tech Start Date]]&lt;1/1/1990,"",IF(Main[[#This Row],[Class]]="C",WORKDAY(Main[[#This Row],[Tech Start Date]],23),IF(Main[[#This Row],[Class]]="B", WORKDAY(Main[[#This Row],[Tech Start Date]],15),IF(Main[[#This Row],[Class]]="A",WORKDAY(Main[[#This Row],[Tech Start Date]],5),""))))</f>
        <v/>
      </c>
      <c r="P343" s="69" t="str">
        <f>IF(Main[[#This Row],[Tech Start Date]]&lt;1/1/1990,"",IF(Main[[#This Row],[Class]]="C",WORKDAY(Main[[#This Row],[Tech Start Date]],28),IF(Main[[#This Row],[Class]]="B", WORKDAY(Main[[#This Row],[Tech Start Date]],19),IF(Main[[#This Row],[Class]]="A",WORKDAY(Main[[#This Row],[Tech Start Date]],9),""))))</f>
        <v/>
      </c>
      <c r="Q343" s="67">
        <v>40581</v>
      </c>
      <c r="R343" s="67"/>
      <c r="S343" s="65" t="s">
        <v>11</v>
      </c>
      <c r="T343" s="70" t="s">
        <v>4</v>
      </c>
      <c r="U343" s="65" t="s">
        <v>14</v>
      </c>
      <c r="V343" s="65" t="s">
        <v>1918</v>
      </c>
      <c r="W343" s="65" t="s">
        <v>1919</v>
      </c>
      <c r="X343" s="65" t="s">
        <v>2822</v>
      </c>
      <c r="Y343" s="65" t="s">
        <v>2934</v>
      </c>
      <c r="Z343" s="65" t="s">
        <v>3165</v>
      </c>
      <c r="AA343" s="65" t="s">
        <v>2822</v>
      </c>
    </row>
    <row r="344" spans="1:27" ht="17.45" customHeight="1">
      <c r="A344" s="131" t="str">
        <f>IF(priority(Main[[#This Row],[Comments]])&lt;&gt;0, priority(Main[[#This Row],[Comments]]),"")</f>
        <v/>
      </c>
      <c r="B344" s="99" t="s">
        <v>1845</v>
      </c>
      <c r="C344" s="65" t="s">
        <v>4</v>
      </c>
      <c r="D344" s="66" t="s">
        <v>901</v>
      </c>
      <c r="E344" s="67"/>
      <c r="F344" s="67"/>
      <c r="G344" s="64" t="str">
        <f>IF(stdProdLT(Main[[#This Row],[Comments]])=0.1,"N/A",IF(stdProdLT(Main[[#This Row],[Comments]])=0,"",stdProdLT(Main[[#This Row],[Comments]])))</f>
        <v/>
      </c>
      <c r="H344" s="68" t="str">
        <f>IF(AND(Main[[#This Row],[In Stock Date]]&lt;&gt;"",Main[[#This Row],[Revised Due Date]]&lt;&gt;""),Main[[#This Row],[In Stock Date]]-Main[[#This Row],[Revised Due Date]],"")</f>
        <v/>
      </c>
      <c r="I344" s="65" t="s">
        <v>102</v>
      </c>
      <c r="J344" s="65" t="s">
        <v>52</v>
      </c>
      <c r="K344" s="65" t="s">
        <v>1926</v>
      </c>
      <c r="L344" s="67"/>
      <c r="M344" s="69" t="str">
        <f>IF(Main[[#This Row],[Tech Start Date]]&lt;1/1/1990,"",IF(Main[[#This Row],[Class]]="C",WORKDAY(Main[[#This Row],[Tech Start Date]],9),IF(Main[[#This Row],[Class]]="B", WORKDAY(Main[[#This Row],[Tech Start Date]],6),IF(Main[[#This Row],[Class]]="A",WORKDAY(Main[[#This Row],[Tech Start Date]],2),""))))</f>
        <v/>
      </c>
      <c r="N344" s="69" t="str">
        <f>IF(Main[[#This Row],[Tech Start Date]]&lt;1/1/1990,"",IF(Main[[#This Row],[Class]]="C",WORKDAY(Main[[#This Row],[Tech Start Date]],19),IF(Main[[#This Row],[Class]]="B", WORKDAY(Main[[#This Row],[Tech Start Date]],12),IF(Main[[#This Row],[Class]]="A",WORKDAY(Main[[#This Row],[Tech Start Date]],4),""))))</f>
        <v/>
      </c>
      <c r="O344" s="69" t="str">
        <f>IF(Main[[#This Row],[Tech Start Date]]&lt;1/1/1990,"",IF(Main[[#This Row],[Class]]="C",WORKDAY(Main[[#This Row],[Tech Start Date]],23),IF(Main[[#This Row],[Class]]="B", WORKDAY(Main[[#This Row],[Tech Start Date]],15),IF(Main[[#This Row],[Class]]="A",WORKDAY(Main[[#This Row],[Tech Start Date]],5),""))))</f>
        <v/>
      </c>
      <c r="P344" s="69" t="str">
        <f>IF(Main[[#This Row],[Tech Start Date]]&lt;1/1/1990,"",IF(Main[[#This Row],[Class]]="C",WORKDAY(Main[[#This Row],[Tech Start Date]],28),IF(Main[[#This Row],[Class]]="B", WORKDAY(Main[[#This Row],[Tech Start Date]],19),IF(Main[[#This Row],[Class]]="A",WORKDAY(Main[[#This Row],[Tech Start Date]],9),""))))</f>
        <v/>
      </c>
      <c r="Q344" s="67"/>
      <c r="R344" s="67">
        <v>40494</v>
      </c>
      <c r="S344" s="65" t="s">
        <v>6</v>
      </c>
      <c r="T344" s="70" t="s">
        <v>4</v>
      </c>
      <c r="U344" s="65" t="s">
        <v>14</v>
      </c>
      <c r="V344" s="65" t="s">
        <v>1917</v>
      </c>
      <c r="W344" s="65" t="s">
        <v>1931</v>
      </c>
      <c r="X344" s="65" t="s">
        <v>2055</v>
      </c>
      <c r="Y344" s="65" t="s">
        <v>3008</v>
      </c>
      <c r="Z344" s="65" t="s">
        <v>3166</v>
      </c>
      <c r="AA344" s="65" t="s">
        <v>2055</v>
      </c>
    </row>
    <row r="345" spans="1:27" ht="17.45" customHeight="1">
      <c r="A345" s="131" t="str">
        <f>IF(priority(Main[[#This Row],[Comments]])&lt;&gt;0, priority(Main[[#This Row],[Comments]]),"")</f>
        <v/>
      </c>
      <c r="B345" s="99" t="s">
        <v>1160</v>
      </c>
      <c r="C345" s="65" t="s">
        <v>4</v>
      </c>
      <c r="D345" s="66" t="s">
        <v>2352</v>
      </c>
      <c r="E345" s="67">
        <v>40436.507916666669</v>
      </c>
      <c r="F345" s="67"/>
      <c r="G345" s="64" t="str">
        <f>IF(stdProdLT(Main[[#This Row],[Comments]])=0.1,"N/A",IF(stdProdLT(Main[[#This Row],[Comments]])=0,"",stdProdLT(Main[[#This Row],[Comments]])))</f>
        <v/>
      </c>
      <c r="H345" s="68" t="str">
        <f>IF(AND(Main[[#This Row],[In Stock Date]]&lt;&gt;"",Main[[#This Row],[Revised Due Date]]&lt;&gt;""),Main[[#This Row],[In Stock Date]]-Main[[#This Row],[Revised Due Date]],"")</f>
        <v/>
      </c>
      <c r="I345" s="65" t="s">
        <v>914</v>
      </c>
      <c r="J345" s="65" t="s">
        <v>52</v>
      </c>
      <c r="K345" s="71" t="s">
        <v>4</v>
      </c>
      <c r="L345" s="67"/>
      <c r="M345" s="69" t="str">
        <f>IF(Main[[#This Row],[Tech Start Date]]&lt;1/1/1990,"",IF(Main[[#This Row],[Class]]="C",WORKDAY(Main[[#This Row],[Tech Start Date]],9),IF(Main[[#This Row],[Class]]="B", WORKDAY(Main[[#This Row],[Tech Start Date]],6),IF(Main[[#This Row],[Class]]="A",WORKDAY(Main[[#This Row],[Tech Start Date]],2),""))))</f>
        <v/>
      </c>
      <c r="N345" s="69" t="str">
        <f>IF(Main[[#This Row],[Tech Start Date]]&lt;1/1/1990,"",IF(Main[[#This Row],[Class]]="C",WORKDAY(Main[[#This Row],[Tech Start Date]],19),IF(Main[[#This Row],[Class]]="B", WORKDAY(Main[[#This Row],[Tech Start Date]],12),IF(Main[[#This Row],[Class]]="A",WORKDAY(Main[[#This Row],[Tech Start Date]],4),""))))</f>
        <v/>
      </c>
      <c r="O345" s="69" t="str">
        <f>IF(Main[[#This Row],[Tech Start Date]]&lt;1/1/1990,"",IF(Main[[#This Row],[Class]]="C",WORKDAY(Main[[#This Row],[Tech Start Date]],23),IF(Main[[#This Row],[Class]]="B", WORKDAY(Main[[#This Row],[Tech Start Date]],15),IF(Main[[#This Row],[Class]]="A",WORKDAY(Main[[#This Row],[Tech Start Date]],5),""))))</f>
        <v/>
      </c>
      <c r="P345" s="69" t="str">
        <f>IF(Main[[#This Row],[Tech Start Date]]&lt;1/1/1990,"",IF(Main[[#This Row],[Class]]="C",WORKDAY(Main[[#This Row],[Tech Start Date]],28),IF(Main[[#This Row],[Class]]="B", WORKDAY(Main[[#This Row],[Tech Start Date]],19),IF(Main[[#This Row],[Class]]="A",WORKDAY(Main[[#This Row],[Tech Start Date]],9),""))))</f>
        <v/>
      </c>
      <c r="Q345" s="67">
        <v>40451</v>
      </c>
      <c r="R345" s="67"/>
      <c r="S345" s="65" t="s">
        <v>6</v>
      </c>
      <c r="T345" s="70" t="s">
        <v>4</v>
      </c>
      <c r="U345" s="65" t="s">
        <v>29</v>
      </c>
      <c r="V345" s="65" t="s">
        <v>1917</v>
      </c>
      <c r="W345" s="65" t="s">
        <v>1919</v>
      </c>
      <c r="X345" s="65" t="s">
        <v>2873</v>
      </c>
      <c r="Y345" s="65" t="s">
        <v>3009</v>
      </c>
      <c r="Z345" s="65" t="s">
        <v>530</v>
      </c>
      <c r="AA345" s="65" t="s">
        <v>2873</v>
      </c>
    </row>
    <row r="346" spans="1:27" ht="17.45" customHeight="1">
      <c r="A346" s="131" t="str">
        <f>IF(priority(Main[[#This Row],[Comments]])&lt;&gt;0, priority(Main[[#This Row],[Comments]]),"")</f>
        <v/>
      </c>
      <c r="B346" s="99" t="s">
        <v>1498</v>
      </c>
      <c r="C346" s="65" t="s">
        <v>93</v>
      </c>
      <c r="D346" s="66" t="s">
        <v>600</v>
      </c>
      <c r="E346" s="67">
        <v>40016.655266203707</v>
      </c>
      <c r="F346" s="67"/>
      <c r="G346" s="64" t="str">
        <f>IF(stdProdLT(Main[[#This Row],[Comments]])=0.1,"N/A",IF(stdProdLT(Main[[#This Row],[Comments]])=0,"",stdProdLT(Main[[#This Row],[Comments]])))</f>
        <v/>
      </c>
      <c r="H346" s="68" t="str">
        <f>IF(AND(Main[[#This Row],[In Stock Date]]&lt;&gt;"",Main[[#This Row],[Revised Due Date]]&lt;&gt;""),Main[[#This Row],[In Stock Date]]-Main[[#This Row],[Revised Due Date]],"")</f>
        <v/>
      </c>
      <c r="I346" s="65" t="s">
        <v>4</v>
      </c>
      <c r="J346" s="65" t="s">
        <v>4</v>
      </c>
      <c r="K346" s="65" t="s">
        <v>4</v>
      </c>
      <c r="L346" s="67"/>
      <c r="M346" s="69" t="str">
        <f>IF(Main[[#This Row],[Tech Start Date]]&lt;1/1/1990,"",IF(Main[[#This Row],[Class]]="C",WORKDAY(Main[[#This Row],[Tech Start Date]],9),IF(Main[[#This Row],[Class]]="B", WORKDAY(Main[[#This Row],[Tech Start Date]],6),IF(Main[[#This Row],[Class]]="A",WORKDAY(Main[[#This Row],[Tech Start Date]],2),""))))</f>
        <v/>
      </c>
      <c r="N346" s="69" t="str">
        <f>IF(Main[[#This Row],[Tech Start Date]]&lt;1/1/1990,"",IF(Main[[#This Row],[Class]]="C",WORKDAY(Main[[#This Row],[Tech Start Date]],19),IF(Main[[#This Row],[Class]]="B", WORKDAY(Main[[#This Row],[Tech Start Date]],12),IF(Main[[#This Row],[Class]]="A",WORKDAY(Main[[#This Row],[Tech Start Date]],4),""))))</f>
        <v/>
      </c>
      <c r="O346" s="69" t="str">
        <f>IF(Main[[#This Row],[Tech Start Date]]&lt;1/1/1990,"",IF(Main[[#This Row],[Class]]="C",WORKDAY(Main[[#This Row],[Tech Start Date]],23),IF(Main[[#This Row],[Class]]="B", WORKDAY(Main[[#This Row],[Tech Start Date]],15),IF(Main[[#This Row],[Class]]="A",WORKDAY(Main[[#This Row],[Tech Start Date]],5),""))))</f>
        <v/>
      </c>
      <c r="P346" s="69" t="str">
        <f>IF(Main[[#This Row],[Tech Start Date]]&lt;1/1/1990,"",IF(Main[[#This Row],[Class]]="C",WORKDAY(Main[[#This Row],[Tech Start Date]],28),IF(Main[[#This Row],[Class]]="B", WORKDAY(Main[[#This Row],[Tech Start Date]],19),IF(Main[[#This Row],[Class]]="A",WORKDAY(Main[[#This Row],[Tech Start Date]],9),""))))</f>
        <v/>
      </c>
      <c r="Q346" s="67"/>
      <c r="R346" s="67"/>
      <c r="S346" s="65" t="s">
        <v>17</v>
      </c>
      <c r="T346" s="70" t="s">
        <v>4</v>
      </c>
      <c r="U346" s="65" t="s">
        <v>29</v>
      </c>
      <c r="V346" s="65" t="s">
        <v>1920</v>
      </c>
      <c r="W346" s="65" t="s">
        <v>1923</v>
      </c>
      <c r="X346" s="65" t="s">
        <v>2859</v>
      </c>
      <c r="Y346" s="65" t="s">
        <v>2997</v>
      </c>
      <c r="Z346" s="65" t="s">
        <v>4</v>
      </c>
      <c r="AA346" s="65" t="s">
        <v>2859</v>
      </c>
    </row>
    <row r="347" spans="1:27" ht="17.45" customHeight="1">
      <c r="A347" s="131" t="str">
        <f>IF(priority(Main[[#This Row],[Comments]])&lt;&gt;0, priority(Main[[#This Row],[Comments]]),"")</f>
        <v/>
      </c>
      <c r="B347" s="99" t="s">
        <v>1679</v>
      </c>
      <c r="C347" s="65" t="s">
        <v>4</v>
      </c>
      <c r="D347" s="66" t="s">
        <v>736</v>
      </c>
      <c r="E347" s="67">
        <v>40618.366238425922</v>
      </c>
      <c r="F347" s="67"/>
      <c r="G347" s="64" t="str">
        <f>IF(stdProdLT(Main[[#This Row],[Comments]])=0.1,"N/A",IF(stdProdLT(Main[[#This Row],[Comments]])=0,"",stdProdLT(Main[[#This Row],[Comments]])))</f>
        <v/>
      </c>
      <c r="H347" s="68" t="str">
        <f>IF(AND(Main[[#This Row],[In Stock Date]]&lt;&gt;"",Main[[#This Row],[Revised Due Date]]&lt;&gt;""),Main[[#This Row],[In Stock Date]]-Main[[#This Row],[Revised Due Date]],"")</f>
        <v/>
      </c>
      <c r="I347" s="65" t="s">
        <v>30</v>
      </c>
      <c r="J347" s="65" t="s">
        <v>28</v>
      </c>
      <c r="K347" s="71" t="s">
        <v>1926</v>
      </c>
      <c r="L347" s="67"/>
      <c r="M347" s="69" t="str">
        <f>IF(Main[[#This Row],[Tech Start Date]]&lt;1/1/1990,"",IF(Main[[#This Row],[Class]]="C",WORKDAY(Main[[#This Row],[Tech Start Date]],9),IF(Main[[#This Row],[Class]]="B", WORKDAY(Main[[#This Row],[Tech Start Date]],6),IF(Main[[#This Row],[Class]]="A",WORKDAY(Main[[#This Row],[Tech Start Date]],2),""))))</f>
        <v/>
      </c>
      <c r="N347" s="69" t="str">
        <f>IF(Main[[#This Row],[Tech Start Date]]&lt;1/1/1990,"",IF(Main[[#This Row],[Class]]="C",WORKDAY(Main[[#This Row],[Tech Start Date]],19),IF(Main[[#This Row],[Class]]="B", WORKDAY(Main[[#This Row],[Tech Start Date]],12),IF(Main[[#This Row],[Class]]="A",WORKDAY(Main[[#This Row],[Tech Start Date]],4),""))))</f>
        <v/>
      </c>
      <c r="O347" s="69" t="str">
        <f>IF(Main[[#This Row],[Tech Start Date]]&lt;1/1/1990,"",IF(Main[[#This Row],[Class]]="C",WORKDAY(Main[[#This Row],[Tech Start Date]],23),IF(Main[[#This Row],[Class]]="B", WORKDAY(Main[[#This Row],[Tech Start Date]],15),IF(Main[[#This Row],[Class]]="A",WORKDAY(Main[[#This Row],[Tech Start Date]],5),""))))</f>
        <v/>
      </c>
      <c r="P347" s="69" t="str">
        <f>IF(Main[[#This Row],[Tech Start Date]]&lt;1/1/1990,"",IF(Main[[#This Row],[Class]]="C",WORKDAY(Main[[#This Row],[Tech Start Date]],28),IF(Main[[#This Row],[Class]]="B", WORKDAY(Main[[#This Row],[Tech Start Date]],19),IF(Main[[#This Row],[Class]]="A",WORKDAY(Main[[#This Row],[Tech Start Date]],9),""))))</f>
        <v/>
      </c>
      <c r="Q347" s="67"/>
      <c r="R347" s="67"/>
      <c r="S347" s="65" t="s">
        <v>6</v>
      </c>
      <c r="T347" s="70" t="s">
        <v>4</v>
      </c>
      <c r="U347" s="65" t="s">
        <v>29</v>
      </c>
      <c r="V347" s="65" t="s">
        <v>1920</v>
      </c>
      <c r="W347" s="65" t="s">
        <v>1919</v>
      </c>
      <c r="X347" s="65" t="s">
        <v>415</v>
      </c>
      <c r="Y347" s="65" t="s">
        <v>2981</v>
      </c>
      <c r="Z347" s="65" t="s">
        <v>30</v>
      </c>
      <c r="AA347" s="65" t="s">
        <v>415</v>
      </c>
    </row>
    <row r="348" spans="1:27" ht="17.45" customHeight="1">
      <c r="A348" s="131" t="str">
        <f>IF(priority(Main[[#This Row],[Comments]])&lt;&gt;0, priority(Main[[#This Row],[Comments]]),"")</f>
        <v/>
      </c>
      <c r="B348" s="99" t="s">
        <v>2072</v>
      </c>
      <c r="C348" s="65" t="s">
        <v>4</v>
      </c>
      <c r="D348" s="66" t="s">
        <v>2073</v>
      </c>
      <c r="E348" s="67"/>
      <c r="F348" s="67"/>
      <c r="G348" s="64" t="str">
        <f>IF(stdProdLT(Main[[#This Row],[Comments]])=0.1,"N/A",IF(stdProdLT(Main[[#This Row],[Comments]])=0,"",stdProdLT(Main[[#This Row],[Comments]])))</f>
        <v/>
      </c>
      <c r="H348" s="68" t="str">
        <f>IF(AND(Main[[#This Row],[In Stock Date]]&lt;&gt;"",Main[[#This Row],[Revised Due Date]]&lt;&gt;""),Main[[#This Row],[In Stock Date]]-Main[[#This Row],[Revised Due Date]],"")</f>
        <v/>
      </c>
      <c r="I348" s="65" t="s">
        <v>4</v>
      </c>
      <c r="J348" s="65" t="s">
        <v>4</v>
      </c>
      <c r="K348" s="65" t="s">
        <v>4</v>
      </c>
      <c r="L348" s="67"/>
      <c r="M348" s="69" t="str">
        <f>IF(Main[[#This Row],[Tech Start Date]]&lt;1/1/1990,"",IF(Main[[#This Row],[Class]]="C",WORKDAY(Main[[#This Row],[Tech Start Date]],9),IF(Main[[#This Row],[Class]]="B", WORKDAY(Main[[#This Row],[Tech Start Date]],6),IF(Main[[#This Row],[Class]]="A",WORKDAY(Main[[#This Row],[Tech Start Date]],2),""))))</f>
        <v/>
      </c>
      <c r="N348" s="69" t="str">
        <f>IF(Main[[#This Row],[Tech Start Date]]&lt;1/1/1990,"",IF(Main[[#This Row],[Class]]="C",WORKDAY(Main[[#This Row],[Tech Start Date]],19),IF(Main[[#This Row],[Class]]="B", WORKDAY(Main[[#This Row],[Tech Start Date]],12),IF(Main[[#This Row],[Class]]="A",WORKDAY(Main[[#This Row],[Tech Start Date]],4),""))))</f>
        <v/>
      </c>
      <c r="O348" s="69" t="str">
        <f>IF(Main[[#This Row],[Tech Start Date]]&lt;1/1/1990,"",IF(Main[[#This Row],[Class]]="C",WORKDAY(Main[[#This Row],[Tech Start Date]],23),IF(Main[[#This Row],[Class]]="B", WORKDAY(Main[[#This Row],[Tech Start Date]],15),IF(Main[[#This Row],[Class]]="A",WORKDAY(Main[[#This Row],[Tech Start Date]],5),""))))</f>
        <v/>
      </c>
      <c r="P348" s="69" t="str">
        <f>IF(Main[[#This Row],[Tech Start Date]]&lt;1/1/1990,"",IF(Main[[#This Row],[Class]]="C",WORKDAY(Main[[#This Row],[Tech Start Date]],28),IF(Main[[#This Row],[Class]]="B", WORKDAY(Main[[#This Row],[Tech Start Date]],19),IF(Main[[#This Row],[Class]]="A",WORKDAY(Main[[#This Row],[Tech Start Date]],9),""))))</f>
        <v/>
      </c>
      <c r="Q348" s="67"/>
      <c r="R348" s="67"/>
      <c r="S348" s="65" t="s">
        <v>6</v>
      </c>
      <c r="T348" s="70" t="s">
        <v>4</v>
      </c>
      <c r="U348" s="65" t="s">
        <v>14</v>
      </c>
      <c r="V348" s="65" t="s">
        <v>1917</v>
      </c>
      <c r="W348" s="65" t="s">
        <v>1921</v>
      </c>
      <c r="X348" s="65" t="s">
        <v>306</v>
      </c>
      <c r="Y348" s="65" t="s">
        <v>4</v>
      </c>
      <c r="Z348" s="65" t="s">
        <v>4</v>
      </c>
      <c r="AA348" s="65" t="s">
        <v>3398</v>
      </c>
    </row>
    <row r="349" spans="1:27" ht="17.45" customHeight="1">
      <c r="A349" s="131" t="str">
        <f>IF(priority(Main[[#This Row],[Comments]])&lt;&gt;0, priority(Main[[#This Row],[Comments]]),"")</f>
        <v/>
      </c>
      <c r="B349" s="99" t="s">
        <v>1122</v>
      </c>
      <c r="C349" s="65" t="s">
        <v>169</v>
      </c>
      <c r="D349" s="66" t="s">
        <v>170</v>
      </c>
      <c r="E349" s="67"/>
      <c r="F349" s="67">
        <v>40237</v>
      </c>
      <c r="G349" s="64" t="str">
        <f>IF(stdProdLT(Main[[#This Row],[Comments]])=0.1,"N/A",IF(stdProdLT(Main[[#This Row],[Comments]])=0,"",stdProdLT(Main[[#This Row],[Comments]])))</f>
        <v/>
      </c>
      <c r="H349" s="68" t="str">
        <f>IF(AND(Main[[#This Row],[In Stock Date]]&lt;&gt;"",Main[[#This Row],[Revised Due Date]]&lt;&gt;""),Main[[#This Row],[In Stock Date]]-Main[[#This Row],[Revised Due Date]],"")</f>
        <v/>
      </c>
      <c r="I349" s="65" t="s">
        <v>4</v>
      </c>
      <c r="J349" s="65" t="s">
        <v>4</v>
      </c>
      <c r="K349" s="71" t="s">
        <v>4</v>
      </c>
      <c r="L349" s="67"/>
      <c r="M349" s="69" t="str">
        <f>IF(Main[[#This Row],[Tech Start Date]]&lt;1/1/1990,"",IF(Main[[#This Row],[Class]]="C",WORKDAY(Main[[#This Row],[Tech Start Date]],9),IF(Main[[#This Row],[Class]]="B", WORKDAY(Main[[#This Row],[Tech Start Date]],6),IF(Main[[#This Row],[Class]]="A",WORKDAY(Main[[#This Row],[Tech Start Date]],2),""))))</f>
        <v/>
      </c>
      <c r="N349" s="69" t="str">
        <f>IF(Main[[#This Row],[Tech Start Date]]&lt;1/1/1990,"",IF(Main[[#This Row],[Class]]="C",WORKDAY(Main[[#This Row],[Tech Start Date]],19),IF(Main[[#This Row],[Class]]="B", WORKDAY(Main[[#This Row],[Tech Start Date]],12),IF(Main[[#This Row],[Class]]="A",WORKDAY(Main[[#This Row],[Tech Start Date]],4),""))))</f>
        <v/>
      </c>
      <c r="O349" s="69" t="str">
        <f>IF(Main[[#This Row],[Tech Start Date]]&lt;1/1/1990,"",IF(Main[[#This Row],[Class]]="C",WORKDAY(Main[[#This Row],[Tech Start Date]],23),IF(Main[[#This Row],[Class]]="B", WORKDAY(Main[[#This Row],[Tech Start Date]],15),IF(Main[[#This Row],[Class]]="A",WORKDAY(Main[[#This Row],[Tech Start Date]],5),""))))</f>
        <v/>
      </c>
      <c r="P349" s="69" t="str">
        <f>IF(Main[[#This Row],[Tech Start Date]]&lt;1/1/1990,"",IF(Main[[#This Row],[Class]]="C",WORKDAY(Main[[#This Row],[Tech Start Date]],28),IF(Main[[#This Row],[Class]]="B", WORKDAY(Main[[#This Row],[Tech Start Date]],19),IF(Main[[#This Row],[Class]]="A",WORKDAY(Main[[#This Row],[Tech Start Date]],9),""))))</f>
        <v/>
      </c>
      <c r="Q349" s="67">
        <v>40132</v>
      </c>
      <c r="R349" s="67"/>
      <c r="S349" s="65" t="s">
        <v>11</v>
      </c>
      <c r="T349" s="70" t="s">
        <v>4</v>
      </c>
      <c r="U349" s="65" t="s">
        <v>14</v>
      </c>
      <c r="V349" s="65" t="s">
        <v>1917</v>
      </c>
      <c r="W349" s="65" t="s">
        <v>1922</v>
      </c>
      <c r="X349" s="65" t="s">
        <v>2864</v>
      </c>
      <c r="Y349" s="65" t="s">
        <v>4</v>
      </c>
      <c r="Z349" s="65" t="s">
        <v>4</v>
      </c>
      <c r="AA349" s="65" t="s">
        <v>2864</v>
      </c>
    </row>
    <row r="350" spans="1:27" ht="17.45" customHeight="1">
      <c r="A350" s="131" t="str">
        <f>IF(priority(Main[[#This Row],[Comments]])&lt;&gt;0, priority(Main[[#This Row],[Comments]]),"")</f>
        <v/>
      </c>
      <c r="B350" s="99" t="s">
        <v>2362</v>
      </c>
      <c r="C350" s="65" t="s">
        <v>4</v>
      </c>
      <c r="D350" s="66" t="s">
        <v>2363</v>
      </c>
      <c r="E350" s="67">
        <v>40826.383356481485</v>
      </c>
      <c r="F350" s="67"/>
      <c r="G350" s="64" t="str">
        <f>IF(stdProdLT(Main[[#This Row],[Comments]])=0.1,"N/A",IF(stdProdLT(Main[[#This Row],[Comments]])=0,"",stdProdLT(Main[[#This Row],[Comments]])))</f>
        <v/>
      </c>
      <c r="H350" s="68" t="str">
        <f>IF(AND(Main[[#This Row],[In Stock Date]]&lt;&gt;"",Main[[#This Row],[Revised Due Date]]&lt;&gt;""),Main[[#This Row],[In Stock Date]]-Main[[#This Row],[Revised Due Date]],"")</f>
        <v/>
      </c>
      <c r="I350" s="65" t="s">
        <v>30</v>
      </c>
      <c r="J350" s="65" t="s">
        <v>2215</v>
      </c>
      <c r="K350" s="65" t="s">
        <v>4</v>
      </c>
      <c r="L350" s="67"/>
      <c r="M350" s="69" t="str">
        <f>IF(Main[[#This Row],[Tech Start Date]]&lt;1/1/1990,"",IF(Main[[#This Row],[Class]]="C",WORKDAY(Main[[#This Row],[Tech Start Date]],9),IF(Main[[#This Row],[Class]]="B", WORKDAY(Main[[#This Row],[Tech Start Date]],6),IF(Main[[#This Row],[Class]]="A",WORKDAY(Main[[#This Row],[Tech Start Date]],2),""))))</f>
        <v/>
      </c>
      <c r="N350" s="69" t="str">
        <f>IF(Main[[#This Row],[Tech Start Date]]&lt;1/1/1990,"",IF(Main[[#This Row],[Class]]="C",WORKDAY(Main[[#This Row],[Tech Start Date]],19),IF(Main[[#This Row],[Class]]="B", WORKDAY(Main[[#This Row],[Tech Start Date]],12),IF(Main[[#This Row],[Class]]="A",WORKDAY(Main[[#This Row],[Tech Start Date]],4),""))))</f>
        <v/>
      </c>
      <c r="O350" s="69" t="str">
        <f>IF(Main[[#This Row],[Tech Start Date]]&lt;1/1/1990,"",IF(Main[[#This Row],[Class]]="C",WORKDAY(Main[[#This Row],[Tech Start Date]],23),IF(Main[[#This Row],[Class]]="B", WORKDAY(Main[[#This Row],[Tech Start Date]],15),IF(Main[[#This Row],[Class]]="A",WORKDAY(Main[[#This Row],[Tech Start Date]],5),""))))</f>
        <v/>
      </c>
      <c r="P350" s="69" t="str">
        <f>IF(Main[[#This Row],[Tech Start Date]]&lt;1/1/1990,"",IF(Main[[#This Row],[Class]]="C",WORKDAY(Main[[#This Row],[Tech Start Date]],28),IF(Main[[#This Row],[Class]]="B", WORKDAY(Main[[#This Row],[Tech Start Date]],19),IF(Main[[#This Row],[Class]]="A",WORKDAY(Main[[#This Row],[Tech Start Date]],9),""))))</f>
        <v/>
      </c>
      <c r="Q350" s="67"/>
      <c r="R350" s="67"/>
      <c r="S350" s="65" t="s">
        <v>6</v>
      </c>
      <c r="T350" s="70" t="s">
        <v>4</v>
      </c>
      <c r="U350" s="65" t="s">
        <v>29</v>
      </c>
      <c r="V350" s="65" t="s">
        <v>1920</v>
      </c>
      <c r="W350" s="65" t="s">
        <v>1919</v>
      </c>
      <c r="X350" s="65" t="s">
        <v>306</v>
      </c>
      <c r="Y350" s="65" t="s">
        <v>4</v>
      </c>
      <c r="Z350" s="65" t="s">
        <v>81</v>
      </c>
      <c r="AA350" s="65" t="s">
        <v>3406</v>
      </c>
    </row>
    <row r="351" spans="1:27" ht="17.45" customHeight="1">
      <c r="A351" s="131" t="str">
        <f>IF(priority(Main[[#This Row],[Comments]])&lt;&gt;0, priority(Main[[#This Row],[Comments]]),"")</f>
        <v/>
      </c>
      <c r="B351" s="99" t="s">
        <v>1123</v>
      </c>
      <c r="C351" s="65" t="s">
        <v>172</v>
      </c>
      <c r="D351" s="66" t="s">
        <v>173</v>
      </c>
      <c r="E351" s="67"/>
      <c r="F351" s="67">
        <v>40848</v>
      </c>
      <c r="G351" s="64" t="str">
        <f>IF(stdProdLT(Main[[#This Row],[Comments]])=0.1,"N/A",IF(stdProdLT(Main[[#This Row],[Comments]])=0,"",stdProdLT(Main[[#This Row],[Comments]])))</f>
        <v/>
      </c>
      <c r="H351" s="68" t="str">
        <f>IF(AND(Main[[#This Row],[In Stock Date]]&lt;&gt;"",Main[[#This Row],[Revised Due Date]]&lt;&gt;""),Main[[#This Row],[In Stock Date]]-Main[[#This Row],[Revised Due Date]],"")</f>
        <v/>
      </c>
      <c r="I351" s="65" t="s">
        <v>4</v>
      </c>
      <c r="J351" s="65" t="s">
        <v>51</v>
      </c>
      <c r="K351" s="65" t="s">
        <v>4</v>
      </c>
      <c r="L351" s="67"/>
      <c r="M351" s="69" t="str">
        <f>IF(Main[[#This Row],[Tech Start Date]]&lt;1/1/1990,"",IF(Main[[#This Row],[Class]]="C",WORKDAY(Main[[#This Row],[Tech Start Date]],9),IF(Main[[#This Row],[Class]]="B", WORKDAY(Main[[#This Row],[Tech Start Date]],6),IF(Main[[#This Row],[Class]]="A",WORKDAY(Main[[#This Row],[Tech Start Date]],2),""))))</f>
        <v/>
      </c>
      <c r="N351" s="69" t="str">
        <f>IF(Main[[#This Row],[Tech Start Date]]&lt;1/1/1990,"",IF(Main[[#This Row],[Class]]="C",WORKDAY(Main[[#This Row],[Tech Start Date]],19),IF(Main[[#This Row],[Class]]="B", WORKDAY(Main[[#This Row],[Tech Start Date]],12),IF(Main[[#This Row],[Class]]="A",WORKDAY(Main[[#This Row],[Tech Start Date]],4),""))))</f>
        <v/>
      </c>
      <c r="O351" s="69" t="str">
        <f>IF(Main[[#This Row],[Tech Start Date]]&lt;1/1/1990,"",IF(Main[[#This Row],[Class]]="C",WORKDAY(Main[[#This Row],[Tech Start Date]],23),IF(Main[[#This Row],[Class]]="B", WORKDAY(Main[[#This Row],[Tech Start Date]],15),IF(Main[[#This Row],[Class]]="A",WORKDAY(Main[[#This Row],[Tech Start Date]],5),""))))</f>
        <v/>
      </c>
      <c r="P351" s="69" t="str">
        <f>IF(Main[[#This Row],[Tech Start Date]]&lt;1/1/1990,"",IF(Main[[#This Row],[Class]]="C",WORKDAY(Main[[#This Row],[Tech Start Date]],28),IF(Main[[#This Row],[Class]]="B", WORKDAY(Main[[#This Row],[Tech Start Date]],19),IF(Main[[#This Row],[Class]]="A",WORKDAY(Main[[#This Row],[Tech Start Date]],9),""))))</f>
        <v/>
      </c>
      <c r="Q351" s="67">
        <v>40648</v>
      </c>
      <c r="R351" s="67"/>
      <c r="S351" s="65" t="s">
        <v>11</v>
      </c>
      <c r="T351" s="70" t="s">
        <v>4</v>
      </c>
      <c r="U351" s="65" t="s">
        <v>12</v>
      </c>
      <c r="V351" s="65" t="s">
        <v>1917</v>
      </c>
      <c r="W351" s="65" t="s">
        <v>1923</v>
      </c>
      <c r="X351" s="65" t="s">
        <v>50</v>
      </c>
      <c r="Y351" s="65" t="s">
        <v>2949</v>
      </c>
      <c r="Z351" s="65" t="s">
        <v>3166</v>
      </c>
      <c r="AA351" s="65" t="s">
        <v>2830</v>
      </c>
    </row>
    <row r="352" spans="1:27" ht="17.45" customHeight="1">
      <c r="A352" s="131" t="str">
        <f>IF(priority(Main[[#This Row],[Comments]])&lt;&gt;0, priority(Main[[#This Row],[Comments]]),"")</f>
        <v/>
      </c>
      <c r="B352" s="99" t="s">
        <v>2542</v>
      </c>
      <c r="C352" s="65" t="s">
        <v>2357</v>
      </c>
      <c r="D352" s="66" t="s">
        <v>2543</v>
      </c>
      <c r="E352" s="67"/>
      <c r="F352" s="67">
        <v>41030</v>
      </c>
      <c r="G352" s="64" t="str">
        <f>IF(stdProdLT(Main[[#This Row],[Comments]])=0.1,"N/A",IF(stdProdLT(Main[[#This Row],[Comments]])=0,"",stdProdLT(Main[[#This Row],[Comments]])))</f>
        <v/>
      </c>
      <c r="H352" s="68" t="str">
        <f>IF(AND(Main[[#This Row],[In Stock Date]]&lt;&gt;"",Main[[#This Row],[Revised Due Date]]&lt;&gt;""),Main[[#This Row],[In Stock Date]]-Main[[#This Row],[Revised Due Date]],"")</f>
        <v/>
      </c>
      <c r="I352" s="65" t="s">
        <v>4</v>
      </c>
      <c r="J352" s="65" t="s">
        <v>75</v>
      </c>
      <c r="K352" s="65" t="s">
        <v>4</v>
      </c>
      <c r="L352" s="67"/>
      <c r="M352" s="69" t="str">
        <f>IF(Main[[#This Row],[Tech Start Date]]&lt;1/1/1990,"",IF(Main[[#This Row],[Class]]="C",WORKDAY(Main[[#This Row],[Tech Start Date]],9),IF(Main[[#This Row],[Class]]="B", WORKDAY(Main[[#This Row],[Tech Start Date]],6),IF(Main[[#This Row],[Class]]="A",WORKDAY(Main[[#This Row],[Tech Start Date]],2),""))))</f>
        <v/>
      </c>
      <c r="N352" s="69" t="str">
        <f>IF(Main[[#This Row],[Tech Start Date]]&lt;1/1/1990,"",IF(Main[[#This Row],[Class]]="C",WORKDAY(Main[[#This Row],[Tech Start Date]],19),IF(Main[[#This Row],[Class]]="B", WORKDAY(Main[[#This Row],[Tech Start Date]],12),IF(Main[[#This Row],[Class]]="A",WORKDAY(Main[[#This Row],[Tech Start Date]],4),""))))</f>
        <v/>
      </c>
      <c r="O352" s="69" t="str">
        <f>IF(Main[[#This Row],[Tech Start Date]]&lt;1/1/1990,"",IF(Main[[#This Row],[Class]]="C",WORKDAY(Main[[#This Row],[Tech Start Date]],23),IF(Main[[#This Row],[Class]]="B", WORKDAY(Main[[#This Row],[Tech Start Date]],15),IF(Main[[#This Row],[Class]]="A",WORKDAY(Main[[#This Row],[Tech Start Date]],5),""))))</f>
        <v/>
      </c>
      <c r="P352" s="69" t="str">
        <f>IF(Main[[#This Row],[Tech Start Date]]&lt;1/1/1990,"",IF(Main[[#This Row],[Class]]="C",WORKDAY(Main[[#This Row],[Tech Start Date]],28),IF(Main[[#This Row],[Class]]="B", WORKDAY(Main[[#This Row],[Tech Start Date]],19),IF(Main[[#This Row],[Class]]="A",WORKDAY(Main[[#This Row],[Tech Start Date]],9),""))))</f>
        <v/>
      </c>
      <c r="Q352" s="67">
        <v>40923</v>
      </c>
      <c r="R352" s="67"/>
      <c r="S352" s="65" t="s">
        <v>11</v>
      </c>
      <c r="T352" s="70" t="s">
        <v>4</v>
      </c>
      <c r="U352" s="65" t="s">
        <v>14</v>
      </c>
      <c r="V352" s="65" t="s">
        <v>1927</v>
      </c>
      <c r="W352" s="65" t="s">
        <v>1923</v>
      </c>
      <c r="X352" s="65" t="s">
        <v>2854</v>
      </c>
      <c r="Y352" s="65" t="s">
        <v>2985</v>
      </c>
      <c r="Z352" s="65" t="s">
        <v>530</v>
      </c>
      <c r="AA352" s="65" t="s">
        <v>2854</v>
      </c>
    </row>
    <row r="353" spans="1:27" ht="17.45" customHeight="1">
      <c r="A353" s="131" t="str">
        <f>IF(priority(Main[[#This Row],[Comments]])&lt;&gt;0, priority(Main[[#This Row],[Comments]]),"")</f>
        <v/>
      </c>
      <c r="B353" s="99" t="s">
        <v>1124</v>
      </c>
      <c r="C353" s="65" t="s">
        <v>4</v>
      </c>
      <c r="D353" s="66" t="s">
        <v>174</v>
      </c>
      <c r="E353" s="67">
        <v>40681.639328703706</v>
      </c>
      <c r="F353" s="67"/>
      <c r="G353" s="64" t="str">
        <f>IF(stdProdLT(Main[[#This Row],[Comments]])=0.1,"N/A",IF(stdProdLT(Main[[#This Row],[Comments]])=0,"",stdProdLT(Main[[#This Row],[Comments]])))</f>
        <v/>
      </c>
      <c r="H353" s="68" t="str">
        <f>IF(AND(Main[[#This Row],[In Stock Date]]&lt;&gt;"",Main[[#This Row],[Revised Due Date]]&lt;&gt;""),Main[[#This Row],[In Stock Date]]-Main[[#This Row],[Revised Due Date]],"")</f>
        <v/>
      </c>
      <c r="I353" s="65" t="s">
        <v>4</v>
      </c>
      <c r="J353" s="65" t="s">
        <v>4</v>
      </c>
      <c r="K353" s="71" t="s">
        <v>4</v>
      </c>
      <c r="L353" s="67"/>
      <c r="M353" s="69" t="str">
        <f>IF(Main[[#This Row],[Tech Start Date]]&lt;1/1/1990,"",IF(Main[[#This Row],[Class]]="C",WORKDAY(Main[[#This Row],[Tech Start Date]],9),IF(Main[[#This Row],[Class]]="B", WORKDAY(Main[[#This Row],[Tech Start Date]],6),IF(Main[[#This Row],[Class]]="A",WORKDAY(Main[[#This Row],[Tech Start Date]],2),""))))</f>
        <v/>
      </c>
      <c r="N353" s="69" t="str">
        <f>IF(Main[[#This Row],[Tech Start Date]]&lt;1/1/1990,"",IF(Main[[#This Row],[Class]]="C",WORKDAY(Main[[#This Row],[Tech Start Date]],19),IF(Main[[#This Row],[Class]]="B", WORKDAY(Main[[#This Row],[Tech Start Date]],12),IF(Main[[#This Row],[Class]]="A",WORKDAY(Main[[#This Row],[Tech Start Date]],4),""))))</f>
        <v/>
      </c>
      <c r="O353" s="69" t="str">
        <f>IF(Main[[#This Row],[Tech Start Date]]&lt;1/1/1990,"",IF(Main[[#This Row],[Class]]="C",WORKDAY(Main[[#This Row],[Tech Start Date]],23),IF(Main[[#This Row],[Class]]="B", WORKDAY(Main[[#This Row],[Tech Start Date]],15),IF(Main[[#This Row],[Class]]="A",WORKDAY(Main[[#This Row],[Tech Start Date]],5),""))))</f>
        <v/>
      </c>
      <c r="P353" s="69" t="str">
        <f>IF(Main[[#This Row],[Tech Start Date]]&lt;1/1/1990,"",IF(Main[[#This Row],[Class]]="C",WORKDAY(Main[[#This Row],[Tech Start Date]],28),IF(Main[[#This Row],[Class]]="B", WORKDAY(Main[[#This Row],[Tech Start Date]],19),IF(Main[[#This Row],[Class]]="A",WORKDAY(Main[[#This Row],[Tech Start Date]],9),""))))</f>
        <v/>
      </c>
      <c r="Q353" s="67">
        <v>40702</v>
      </c>
      <c r="R353" s="67"/>
      <c r="S353" s="65" t="s">
        <v>6</v>
      </c>
      <c r="T353" s="70" t="s">
        <v>4</v>
      </c>
      <c r="U353" s="65" t="s">
        <v>7</v>
      </c>
      <c r="V353" s="65" t="s">
        <v>1917</v>
      </c>
      <c r="W353" s="65" t="s">
        <v>1925</v>
      </c>
      <c r="X353" s="65" t="s">
        <v>2827</v>
      </c>
      <c r="Y353" s="65" t="s">
        <v>2942</v>
      </c>
      <c r="Z353" s="65" t="s">
        <v>4</v>
      </c>
      <c r="AA353" s="65" t="s">
        <v>2827</v>
      </c>
    </row>
    <row r="354" spans="1:27" ht="17.45" customHeight="1">
      <c r="A354" s="131" t="str">
        <f>IF(priority(Main[[#This Row],[Comments]])&lt;&gt;0, priority(Main[[#This Row],[Comments]]),"")</f>
        <v/>
      </c>
      <c r="B354" s="99" t="s">
        <v>1185</v>
      </c>
      <c r="C354" s="65" t="s">
        <v>243</v>
      </c>
      <c r="D354" s="66" t="s">
        <v>244</v>
      </c>
      <c r="E354" s="67"/>
      <c r="F354" s="67">
        <v>40299</v>
      </c>
      <c r="G354" s="64" t="str">
        <f>IF(stdProdLT(Main[[#This Row],[Comments]])=0.1,"N/A",IF(stdProdLT(Main[[#This Row],[Comments]])=0,"",stdProdLT(Main[[#This Row],[Comments]])))</f>
        <v/>
      </c>
      <c r="H354" s="68" t="str">
        <f>IF(AND(Main[[#This Row],[In Stock Date]]&lt;&gt;"",Main[[#This Row],[Revised Due Date]]&lt;&gt;""),Main[[#This Row],[In Stock Date]]-Main[[#This Row],[Revised Due Date]],"")</f>
        <v/>
      </c>
      <c r="I354" s="65" t="s">
        <v>4</v>
      </c>
      <c r="J354" s="65" t="s">
        <v>4</v>
      </c>
      <c r="K354" s="65" t="s">
        <v>4</v>
      </c>
      <c r="L354" s="67"/>
      <c r="M354" s="69" t="str">
        <f>IF(Main[[#This Row],[Tech Start Date]]&lt;1/1/1990,"",IF(Main[[#This Row],[Class]]="C",WORKDAY(Main[[#This Row],[Tech Start Date]],9),IF(Main[[#This Row],[Class]]="B", WORKDAY(Main[[#This Row],[Tech Start Date]],6),IF(Main[[#This Row],[Class]]="A",WORKDAY(Main[[#This Row],[Tech Start Date]],2),""))))</f>
        <v/>
      </c>
      <c r="N354" s="69" t="str">
        <f>IF(Main[[#This Row],[Tech Start Date]]&lt;1/1/1990,"",IF(Main[[#This Row],[Class]]="C",WORKDAY(Main[[#This Row],[Tech Start Date]],19),IF(Main[[#This Row],[Class]]="B", WORKDAY(Main[[#This Row],[Tech Start Date]],12),IF(Main[[#This Row],[Class]]="A",WORKDAY(Main[[#This Row],[Tech Start Date]],4),""))))</f>
        <v/>
      </c>
      <c r="O354" s="69" t="str">
        <f>IF(Main[[#This Row],[Tech Start Date]]&lt;1/1/1990,"",IF(Main[[#This Row],[Class]]="C",WORKDAY(Main[[#This Row],[Tech Start Date]],23),IF(Main[[#This Row],[Class]]="B", WORKDAY(Main[[#This Row],[Tech Start Date]],15),IF(Main[[#This Row],[Class]]="A",WORKDAY(Main[[#This Row],[Tech Start Date]],5),""))))</f>
        <v/>
      </c>
      <c r="P354" s="69" t="str">
        <f>IF(Main[[#This Row],[Tech Start Date]]&lt;1/1/1990,"",IF(Main[[#This Row],[Class]]="C",WORKDAY(Main[[#This Row],[Tech Start Date]],28),IF(Main[[#This Row],[Class]]="B", WORKDAY(Main[[#This Row],[Tech Start Date]],19),IF(Main[[#This Row],[Class]]="A",WORKDAY(Main[[#This Row],[Tech Start Date]],9),""))))</f>
        <v/>
      </c>
      <c r="Q354" s="67">
        <v>40241</v>
      </c>
      <c r="R354" s="67"/>
      <c r="S354" s="65" t="s">
        <v>11</v>
      </c>
      <c r="T354" s="70" t="s">
        <v>4</v>
      </c>
      <c r="U354" s="65" t="s">
        <v>14</v>
      </c>
      <c r="V354" s="65" t="s">
        <v>1927</v>
      </c>
      <c r="W354" s="65" t="s">
        <v>1925</v>
      </c>
      <c r="X354" s="65" t="s">
        <v>2874</v>
      </c>
      <c r="Y354" s="65" t="s">
        <v>3018</v>
      </c>
      <c r="Z354" s="65" t="s">
        <v>4</v>
      </c>
      <c r="AA354" s="65" t="s">
        <v>2874</v>
      </c>
    </row>
    <row r="355" spans="1:27" ht="17.45" customHeight="1">
      <c r="A355" s="131" t="str">
        <f>IF(priority(Main[[#This Row],[Comments]])&lt;&gt;0, priority(Main[[#This Row],[Comments]]),"")</f>
        <v/>
      </c>
      <c r="B355" s="99" t="s">
        <v>3563</v>
      </c>
      <c r="C355" s="65" t="s">
        <v>2207</v>
      </c>
      <c r="D355" s="66" t="s">
        <v>3564</v>
      </c>
      <c r="E355" s="67"/>
      <c r="F355" s="67"/>
      <c r="G355" s="64" t="str">
        <f>IF(stdProdLT(Main[[#This Row],[Comments]])=0.1,"N/A",IF(stdProdLT(Main[[#This Row],[Comments]])=0,"",stdProdLT(Main[[#This Row],[Comments]])))</f>
        <v/>
      </c>
      <c r="H355" s="68" t="str">
        <f>IF(AND(Main[[#This Row],[In Stock Date]]&lt;&gt;"",Main[[#This Row],[Revised Due Date]]&lt;&gt;""),Main[[#This Row],[In Stock Date]]-Main[[#This Row],[Revised Due Date]],"")</f>
        <v/>
      </c>
      <c r="I355" s="65" t="s">
        <v>4</v>
      </c>
      <c r="J355" s="65" t="s">
        <v>4</v>
      </c>
      <c r="K355" s="65" t="s">
        <v>4</v>
      </c>
      <c r="L355" s="67"/>
      <c r="M355" s="69" t="str">
        <f>IF(Main[[#This Row],[Tech Start Date]]&lt;1/1/1990,"",IF(Main[[#This Row],[Class]]="C",WORKDAY(Main[[#This Row],[Tech Start Date]],9),IF(Main[[#This Row],[Class]]="B", WORKDAY(Main[[#This Row],[Tech Start Date]],6),IF(Main[[#This Row],[Class]]="A",WORKDAY(Main[[#This Row],[Tech Start Date]],2),""))))</f>
        <v/>
      </c>
      <c r="N355" s="69" t="str">
        <f>IF(Main[[#This Row],[Tech Start Date]]&lt;1/1/1990,"",IF(Main[[#This Row],[Class]]="C",WORKDAY(Main[[#This Row],[Tech Start Date]],19),IF(Main[[#This Row],[Class]]="B", WORKDAY(Main[[#This Row],[Tech Start Date]],12),IF(Main[[#This Row],[Class]]="A",WORKDAY(Main[[#This Row],[Tech Start Date]],4),""))))</f>
        <v/>
      </c>
      <c r="O355" s="69" t="str">
        <f>IF(Main[[#This Row],[Tech Start Date]]&lt;1/1/1990,"",IF(Main[[#This Row],[Class]]="C",WORKDAY(Main[[#This Row],[Tech Start Date]],23),IF(Main[[#This Row],[Class]]="B", WORKDAY(Main[[#This Row],[Tech Start Date]],15),IF(Main[[#This Row],[Class]]="A",WORKDAY(Main[[#This Row],[Tech Start Date]],5),""))))</f>
        <v/>
      </c>
      <c r="P355" s="69" t="str">
        <f>IF(Main[[#This Row],[Tech Start Date]]&lt;1/1/1990,"",IF(Main[[#This Row],[Class]]="C",WORKDAY(Main[[#This Row],[Tech Start Date]],28),IF(Main[[#This Row],[Class]]="B", WORKDAY(Main[[#This Row],[Tech Start Date]],19),IF(Main[[#This Row],[Class]]="A",WORKDAY(Main[[#This Row],[Tech Start Date]],9),""))))</f>
        <v/>
      </c>
      <c r="Q355" s="67">
        <v>40984</v>
      </c>
      <c r="R355" s="67"/>
      <c r="S355" s="65" t="s">
        <v>11</v>
      </c>
      <c r="T355" s="70" t="s">
        <v>4</v>
      </c>
      <c r="U355" s="65" t="s">
        <v>14</v>
      </c>
      <c r="V355" s="65" t="s">
        <v>1917</v>
      </c>
      <c r="W355" s="65" t="s">
        <v>1925</v>
      </c>
      <c r="X355" s="65" t="s">
        <v>2917</v>
      </c>
      <c r="Y355" s="65" t="s">
        <v>4</v>
      </c>
      <c r="Z355" s="65" t="s">
        <v>4</v>
      </c>
      <c r="AA355" s="65" t="s">
        <v>3473</v>
      </c>
    </row>
    <row r="356" spans="1:27" ht="17.45" customHeight="1">
      <c r="A356" s="131" t="str">
        <f>IF(priority(Main[[#This Row],[Comments]])&lt;&gt;0, priority(Main[[#This Row],[Comments]]),"")</f>
        <v/>
      </c>
      <c r="B356" s="99" t="s">
        <v>1186</v>
      </c>
      <c r="C356" s="65" t="s">
        <v>4</v>
      </c>
      <c r="D356" s="66" t="s">
        <v>39</v>
      </c>
      <c r="E356" s="67"/>
      <c r="F356" s="67"/>
      <c r="G356" s="64" t="str">
        <f>IF(stdProdLT(Main[[#This Row],[Comments]])=0.1,"N/A",IF(stdProdLT(Main[[#This Row],[Comments]])=0,"",stdProdLT(Main[[#This Row],[Comments]])))</f>
        <v/>
      </c>
      <c r="H356" s="68" t="str">
        <f>IF(AND(Main[[#This Row],[In Stock Date]]&lt;&gt;"",Main[[#This Row],[Revised Due Date]]&lt;&gt;""),Main[[#This Row],[In Stock Date]]-Main[[#This Row],[Revised Due Date]],"")</f>
        <v/>
      </c>
      <c r="I356" s="65" t="s">
        <v>4</v>
      </c>
      <c r="J356" s="65" t="s">
        <v>4</v>
      </c>
      <c r="K356" s="65" t="s">
        <v>4</v>
      </c>
      <c r="L356" s="67"/>
      <c r="M356" s="69" t="str">
        <f>IF(Main[[#This Row],[Tech Start Date]]&lt;1/1/1990,"",IF(Main[[#This Row],[Class]]="C",WORKDAY(Main[[#This Row],[Tech Start Date]],9),IF(Main[[#This Row],[Class]]="B", WORKDAY(Main[[#This Row],[Tech Start Date]],6),IF(Main[[#This Row],[Class]]="A",WORKDAY(Main[[#This Row],[Tech Start Date]],2),""))))</f>
        <v/>
      </c>
      <c r="N356" s="69" t="str">
        <f>IF(Main[[#This Row],[Tech Start Date]]&lt;1/1/1990,"",IF(Main[[#This Row],[Class]]="C",WORKDAY(Main[[#This Row],[Tech Start Date]],19),IF(Main[[#This Row],[Class]]="B", WORKDAY(Main[[#This Row],[Tech Start Date]],12),IF(Main[[#This Row],[Class]]="A",WORKDAY(Main[[#This Row],[Tech Start Date]],4),""))))</f>
        <v/>
      </c>
      <c r="O356" s="69" t="str">
        <f>IF(Main[[#This Row],[Tech Start Date]]&lt;1/1/1990,"",IF(Main[[#This Row],[Class]]="C",WORKDAY(Main[[#This Row],[Tech Start Date]],23),IF(Main[[#This Row],[Class]]="B", WORKDAY(Main[[#This Row],[Tech Start Date]],15),IF(Main[[#This Row],[Class]]="A",WORKDAY(Main[[#This Row],[Tech Start Date]],5),""))))</f>
        <v/>
      </c>
      <c r="P356" s="69" t="str">
        <f>IF(Main[[#This Row],[Tech Start Date]]&lt;1/1/1990,"",IF(Main[[#This Row],[Class]]="C",WORKDAY(Main[[#This Row],[Tech Start Date]],28),IF(Main[[#This Row],[Class]]="B", WORKDAY(Main[[#This Row],[Tech Start Date]],19),IF(Main[[#This Row],[Class]]="A",WORKDAY(Main[[#This Row],[Tech Start Date]],9),""))))</f>
        <v/>
      </c>
      <c r="Q356" s="67">
        <v>40669</v>
      </c>
      <c r="R356" s="67"/>
      <c r="S356" s="65" t="s">
        <v>6</v>
      </c>
      <c r="T356" s="70" t="s">
        <v>4</v>
      </c>
      <c r="U356" s="65" t="s">
        <v>14</v>
      </c>
      <c r="V356" s="65" t="s">
        <v>1920</v>
      </c>
      <c r="W356" s="65" t="s">
        <v>4</v>
      </c>
      <c r="X356" s="65" t="s">
        <v>2824</v>
      </c>
      <c r="Y356" s="65" t="s">
        <v>2935</v>
      </c>
      <c r="Z356" s="65" t="s">
        <v>4</v>
      </c>
      <c r="AA356" s="65" t="s">
        <v>2824</v>
      </c>
    </row>
    <row r="357" spans="1:27" ht="17.45" customHeight="1">
      <c r="A357" s="131" t="str">
        <f>IF(priority(Main[[#This Row],[Comments]])&lt;&gt;0, priority(Main[[#This Row],[Comments]]),"")</f>
        <v/>
      </c>
      <c r="B357" s="99" t="s">
        <v>2074</v>
      </c>
      <c r="C357" s="65" t="s">
        <v>4</v>
      </c>
      <c r="D357" s="66" t="s">
        <v>2075</v>
      </c>
      <c r="E357" s="67">
        <v>40774.330196759256</v>
      </c>
      <c r="F357" s="67"/>
      <c r="G357" s="64" t="str">
        <f>IF(stdProdLT(Main[[#This Row],[Comments]])=0.1,"N/A",IF(stdProdLT(Main[[#This Row],[Comments]])=0,"",stdProdLT(Main[[#This Row],[Comments]])))</f>
        <v/>
      </c>
      <c r="H357" s="68" t="str">
        <f>IF(AND(Main[[#This Row],[In Stock Date]]&lt;&gt;"",Main[[#This Row],[Revised Due Date]]&lt;&gt;""),Main[[#This Row],[In Stock Date]]-Main[[#This Row],[Revised Due Date]],"")</f>
        <v/>
      </c>
      <c r="I357" s="65" t="s">
        <v>4</v>
      </c>
      <c r="J357" s="65" t="s">
        <v>4</v>
      </c>
      <c r="K357" s="65" t="s">
        <v>4</v>
      </c>
      <c r="L357" s="67"/>
      <c r="M357" s="69" t="str">
        <f>IF(Main[[#This Row],[Tech Start Date]]&lt;1/1/1990,"",IF(Main[[#This Row],[Class]]="C",WORKDAY(Main[[#This Row],[Tech Start Date]],9),IF(Main[[#This Row],[Class]]="B", WORKDAY(Main[[#This Row],[Tech Start Date]],6),IF(Main[[#This Row],[Class]]="A",WORKDAY(Main[[#This Row],[Tech Start Date]],2),""))))</f>
        <v/>
      </c>
      <c r="N357" s="69" t="str">
        <f>IF(Main[[#This Row],[Tech Start Date]]&lt;1/1/1990,"",IF(Main[[#This Row],[Class]]="C",WORKDAY(Main[[#This Row],[Tech Start Date]],19),IF(Main[[#This Row],[Class]]="B", WORKDAY(Main[[#This Row],[Tech Start Date]],12),IF(Main[[#This Row],[Class]]="A",WORKDAY(Main[[#This Row],[Tech Start Date]],4),""))))</f>
        <v/>
      </c>
      <c r="O357" s="69" t="str">
        <f>IF(Main[[#This Row],[Tech Start Date]]&lt;1/1/1990,"",IF(Main[[#This Row],[Class]]="C",WORKDAY(Main[[#This Row],[Tech Start Date]],23),IF(Main[[#This Row],[Class]]="B", WORKDAY(Main[[#This Row],[Tech Start Date]],15),IF(Main[[#This Row],[Class]]="A",WORKDAY(Main[[#This Row],[Tech Start Date]],5),""))))</f>
        <v/>
      </c>
      <c r="P357" s="69" t="str">
        <f>IF(Main[[#This Row],[Tech Start Date]]&lt;1/1/1990,"",IF(Main[[#This Row],[Class]]="C",WORKDAY(Main[[#This Row],[Tech Start Date]],28),IF(Main[[#This Row],[Class]]="B", WORKDAY(Main[[#This Row],[Tech Start Date]],19),IF(Main[[#This Row],[Class]]="A",WORKDAY(Main[[#This Row],[Tech Start Date]],9),""))))</f>
        <v/>
      </c>
      <c r="Q357" s="67">
        <v>40788</v>
      </c>
      <c r="R357" s="67"/>
      <c r="S357" s="65" t="s">
        <v>6</v>
      </c>
      <c r="T357" s="70" t="s">
        <v>4</v>
      </c>
      <c r="U357" s="65" t="s">
        <v>7</v>
      </c>
      <c r="V357" s="65" t="s">
        <v>1917</v>
      </c>
      <c r="W357" s="65" t="s">
        <v>4</v>
      </c>
      <c r="X357" s="65" t="s">
        <v>2857</v>
      </c>
      <c r="Y357" s="65" t="s">
        <v>2992</v>
      </c>
      <c r="Z357" s="65" t="s">
        <v>4</v>
      </c>
      <c r="AA357" s="65" t="s">
        <v>2857</v>
      </c>
    </row>
    <row r="358" spans="1:27" ht="17.45" customHeight="1">
      <c r="A358" s="131" t="str">
        <f>IF(priority(Main[[#This Row],[Comments]])&lt;&gt;0, priority(Main[[#This Row],[Comments]]),"")</f>
        <v/>
      </c>
      <c r="B358" s="99" t="s">
        <v>1187</v>
      </c>
      <c r="C358" s="65" t="s">
        <v>245</v>
      </c>
      <c r="D358" s="66" t="s">
        <v>246</v>
      </c>
      <c r="E358" s="67"/>
      <c r="F358" s="67"/>
      <c r="G358" s="64" t="str">
        <f>IF(stdProdLT(Main[[#This Row],[Comments]])=0.1,"N/A",IF(stdProdLT(Main[[#This Row],[Comments]])=0,"",stdProdLT(Main[[#This Row],[Comments]])))</f>
        <v/>
      </c>
      <c r="H358" s="68" t="str">
        <f>IF(AND(Main[[#This Row],[In Stock Date]]&lt;&gt;"",Main[[#This Row],[Revised Due Date]]&lt;&gt;""),Main[[#This Row],[In Stock Date]]-Main[[#This Row],[Revised Due Date]],"")</f>
        <v/>
      </c>
      <c r="I358" s="65" t="s">
        <v>4</v>
      </c>
      <c r="J358" s="65" t="s">
        <v>4</v>
      </c>
      <c r="K358" s="65" t="s">
        <v>4</v>
      </c>
      <c r="L358" s="67"/>
      <c r="M358" s="69" t="str">
        <f>IF(Main[[#This Row],[Tech Start Date]]&lt;1/1/1990,"",IF(Main[[#This Row],[Class]]="C",WORKDAY(Main[[#This Row],[Tech Start Date]],9),IF(Main[[#This Row],[Class]]="B", WORKDAY(Main[[#This Row],[Tech Start Date]],6),IF(Main[[#This Row],[Class]]="A",WORKDAY(Main[[#This Row],[Tech Start Date]],2),""))))</f>
        <v/>
      </c>
      <c r="N358" s="69" t="str">
        <f>IF(Main[[#This Row],[Tech Start Date]]&lt;1/1/1990,"",IF(Main[[#This Row],[Class]]="C",WORKDAY(Main[[#This Row],[Tech Start Date]],19),IF(Main[[#This Row],[Class]]="B", WORKDAY(Main[[#This Row],[Tech Start Date]],12),IF(Main[[#This Row],[Class]]="A",WORKDAY(Main[[#This Row],[Tech Start Date]],4),""))))</f>
        <v/>
      </c>
      <c r="O358" s="69" t="str">
        <f>IF(Main[[#This Row],[Tech Start Date]]&lt;1/1/1990,"",IF(Main[[#This Row],[Class]]="C",WORKDAY(Main[[#This Row],[Tech Start Date]],23),IF(Main[[#This Row],[Class]]="B", WORKDAY(Main[[#This Row],[Tech Start Date]],15),IF(Main[[#This Row],[Class]]="A",WORKDAY(Main[[#This Row],[Tech Start Date]],5),""))))</f>
        <v/>
      </c>
      <c r="P358" s="69" t="str">
        <f>IF(Main[[#This Row],[Tech Start Date]]&lt;1/1/1990,"",IF(Main[[#This Row],[Class]]="C",WORKDAY(Main[[#This Row],[Tech Start Date]],28),IF(Main[[#This Row],[Class]]="B", WORKDAY(Main[[#This Row],[Tech Start Date]],19),IF(Main[[#This Row],[Class]]="A",WORKDAY(Main[[#This Row],[Tech Start Date]],9),""))))</f>
        <v/>
      </c>
      <c r="Q358" s="67">
        <v>40325</v>
      </c>
      <c r="R358" s="67"/>
      <c r="S358" s="65" t="s">
        <v>11</v>
      </c>
      <c r="T358" s="70" t="s">
        <v>4</v>
      </c>
      <c r="U358" s="65" t="s">
        <v>12</v>
      </c>
      <c r="V358" s="65" t="s">
        <v>1918</v>
      </c>
      <c r="W358" s="65" t="s">
        <v>1923</v>
      </c>
      <c r="X358" s="65" t="s">
        <v>50</v>
      </c>
      <c r="Y358" s="65" t="s">
        <v>3019</v>
      </c>
      <c r="Z358" s="65" t="s">
        <v>4</v>
      </c>
      <c r="AA358" s="65" t="s">
        <v>3411</v>
      </c>
    </row>
    <row r="359" spans="1:27" ht="17.45" customHeight="1">
      <c r="A359" s="131" t="str">
        <f>IF(priority(Main[[#This Row],[Comments]])&lt;&gt;0, priority(Main[[#This Row],[Comments]]),"")</f>
        <v/>
      </c>
      <c r="B359" s="99" t="s">
        <v>3525</v>
      </c>
      <c r="C359" s="65" t="s">
        <v>3271</v>
      </c>
      <c r="D359" s="66" t="s">
        <v>3526</v>
      </c>
      <c r="E359" s="67"/>
      <c r="F359" s="67">
        <v>41068</v>
      </c>
      <c r="G359" s="64" t="str">
        <f>IF(stdProdLT(Main[[#This Row],[Comments]])=0.1,"N/A",IF(stdProdLT(Main[[#This Row],[Comments]])=0,"",stdProdLT(Main[[#This Row],[Comments]])))</f>
        <v/>
      </c>
      <c r="H359" s="68" t="str">
        <f>IF(AND(Main[[#This Row],[In Stock Date]]&lt;&gt;"",Main[[#This Row],[Revised Due Date]]&lt;&gt;""),Main[[#This Row],[In Stock Date]]-Main[[#This Row],[Revised Due Date]],"")</f>
        <v/>
      </c>
      <c r="I359" s="65" t="s">
        <v>4</v>
      </c>
      <c r="J359" s="65" t="s">
        <v>4</v>
      </c>
      <c r="K359" s="65" t="s">
        <v>4</v>
      </c>
      <c r="L359" s="67"/>
      <c r="M359" s="69" t="str">
        <f>IF(Main[[#This Row],[Tech Start Date]]&lt;1/1/1990,"",IF(Main[[#This Row],[Class]]="C",WORKDAY(Main[[#This Row],[Tech Start Date]],9),IF(Main[[#This Row],[Class]]="B", WORKDAY(Main[[#This Row],[Tech Start Date]],6),IF(Main[[#This Row],[Class]]="A",WORKDAY(Main[[#This Row],[Tech Start Date]],2),""))))</f>
        <v/>
      </c>
      <c r="N359" s="69" t="str">
        <f>IF(Main[[#This Row],[Tech Start Date]]&lt;1/1/1990,"",IF(Main[[#This Row],[Class]]="C",WORKDAY(Main[[#This Row],[Tech Start Date]],19),IF(Main[[#This Row],[Class]]="B", WORKDAY(Main[[#This Row],[Tech Start Date]],12),IF(Main[[#This Row],[Class]]="A",WORKDAY(Main[[#This Row],[Tech Start Date]],4),""))))</f>
        <v/>
      </c>
      <c r="O359" s="69" t="str">
        <f>IF(Main[[#This Row],[Tech Start Date]]&lt;1/1/1990,"",IF(Main[[#This Row],[Class]]="C",WORKDAY(Main[[#This Row],[Tech Start Date]],23),IF(Main[[#This Row],[Class]]="B", WORKDAY(Main[[#This Row],[Tech Start Date]],15),IF(Main[[#This Row],[Class]]="A",WORKDAY(Main[[#This Row],[Tech Start Date]],5),""))))</f>
        <v/>
      </c>
      <c r="P359" s="69" t="str">
        <f>IF(Main[[#This Row],[Tech Start Date]]&lt;1/1/1990,"",IF(Main[[#This Row],[Class]]="C",WORKDAY(Main[[#This Row],[Tech Start Date]],28),IF(Main[[#This Row],[Class]]="B", WORKDAY(Main[[#This Row],[Tech Start Date]],19),IF(Main[[#This Row],[Class]]="A",WORKDAY(Main[[#This Row],[Tech Start Date]],9),""))))</f>
        <v/>
      </c>
      <c r="Q359" s="67">
        <v>40956</v>
      </c>
      <c r="R359" s="67"/>
      <c r="S359" s="65" t="s">
        <v>11</v>
      </c>
      <c r="T359" s="70" t="s">
        <v>4</v>
      </c>
      <c r="U359" s="65" t="s">
        <v>14</v>
      </c>
      <c r="V359" s="65" t="s">
        <v>1927</v>
      </c>
      <c r="W359" s="65" t="s">
        <v>1925</v>
      </c>
      <c r="X359" s="65" t="s">
        <v>2835</v>
      </c>
      <c r="Y359" s="65" t="s">
        <v>2957</v>
      </c>
      <c r="Z359" s="65" t="s">
        <v>4</v>
      </c>
      <c r="AA359" s="65" t="s">
        <v>2835</v>
      </c>
    </row>
    <row r="360" spans="1:27" ht="17.45" customHeight="1">
      <c r="A360" s="131" t="str">
        <f>IF(priority(Main[[#This Row],[Comments]])&lt;&gt;0, priority(Main[[#This Row],[Comments]]),"")</f>
        <v/>
      </c>
      <c r="B360" s="99" t="s">
        <v>1688</v>
      </c>
      <c r="C360" s="65" t="s">
        <v>79</v>
      </c>
      <c r="D360" s="66" t="s">
        <v>741</v>
      </c>
      <c r="E360" s="67">
        <v>40458.641226851854</v>
      </c>
      <c r="F360" s="67"/>
      <c r="G360" s="64" t="str">
        <f>IF(stdProdLT(Main[[#This Row],[Comments]])=0.1,"N/A",IF(stdProdLT(Main[[#This Row],[Comments]])=0,"",stdProdLT(Main[[#This Row],[Comments]])))</f>
        <v/>
      </c>
      <c r="H360" s="68" t="str">
        <f>IF(AND(Main[[#This Row],[In Stock Date]]&lt;&gt;"",Main[[#This Row],[Revised Due Date]]&lt;&gt;""),Main[[#This Row],[In Stock Date]]-Main[[#This Row],[Revised Due Date]],"")</f>
        <v/>
      </c>
      <c r="I360" s="65" t="s">
        <v>4</v>
      </c>
      <c r="J360" s="65" t="s">
        <v>28</v>
      </c>
      <c r="K360" s="65" t="s">
        <v>1929</v>
      </c>
      <c r="L360" s="67"/>
      <c r="M360" s="69" t="str">
        <f>IF(Main[[#This Row],[Tech Start Date]]&lt;1/1/1990,"",IF(Main[[#This Row],[Class]]="C",WORKDAY(Main[[#This Row],[Tech Start Date]],9),IF(Main[[#This Row],[Class]]="B", WORKDAY(Main[[#This Row],[Tech Start Date]],6),IF(Main[[#This Row],[Class]]="A",WORKDAY(Main[[#This Row],[Tech Start Date]],2),""))))</f>
        <v/>
      </c>
      <c r="N360" s="69" t="str">
        <f>IF(Main[[#This Row],[Tech Start Date]]&lt;1/1/1990,"",IF(Main[[#This Row],[Class]]="C",WORKDAY(Main[[#This Row],[Tech Start Date]],19),IF(Main[[#This Row],[Class]]="B", WORKDAY(Main[[#This Row],[Tech Start Date]],12),IF(Main[[#This Row],[Class]]="A",WORKDAY(Main[[#This Row],[Tech Start Date]],4),""))))</f>
        <v/>
      </c>
      <c r="O360" s="69" t="str">
        <f>IF(Main[[#This Row],[Tech Start Date]]&lt;1/1/1990,"",IF(Main[[#This Row],[Class]]="C",WORKDAY(Main[[#This Row],[Tech Start Date]],23),IF(Main[[#This Row],[Class]]="B", WORKDAY(Main[[#This Row],[Tech Start Date]],15),IF(Main[[#This Row],[Class]]="A",WORKDAY(Main[[#This Row],[Tech Start Date]],5),""))))</f>
        <v/>
      </c>
      <c r="P360" s="69" t="str">
        <f>IF(Main[[#This Row],[Tech Start Date]]&lt;1/1/1990,"",IF(Main[[#This Row],[Class]]="C",WORKDAY(Main[[#This Row],[Tech Start Date]],28),IF(Main[[#This Row],[Class]]="B", WORKDAY(Main[[#This Row],[Tech Start Date]],19),IF(Main[[#This Row],[Class]]="A",WORKDAY(Main[[#This Row],[Tech Start Date]],9),""))))</f>
        <v/>
      </c>
      <c r="Q360" s="67">
        <v>40486</v>
      </c>
      <c r="R360" s="67"/>
      <c r="S360" s="65" t="s">
        <v>17</v>
      </c>
      <c r="T360" s="70" t="s">
        <v>4</v>
      </c>
      <c r="U360" s="65" t="s">
        <v>7</v>
      </c>
      <c r="V360" s="65" t="s">
        <v>1917</v>
      </c>
      <c r="W360" s="65" t="s">
        <v>1922</v>
      </c>
      <c r="X360" s="65" t="s">
        <v>2827</v>
      </c>
      <c r="Y360" s="65" t="s">
        <v>2942</v>
      </c>
      <c r="Z360" s="65" t="s">
        <v>129</v>
      </c>
      <c r="AA360" s="65" t="s">
        <v>2827</v>
      </c>
    </row>
    <row r="361" spans="1:27" ht="17.45" customHeight="1">
      <c r="A361" s="131" t="str">
        <f>IF(priority(Main[[#This Row],[Comments]])&lt;&gt;0, priority(Main[[#This Row],[Comments]]),"")</f>
        <v/>
      </c>
      <c r="B361" s="99" t="s">
        <v>2043</v>
      </c>
      <c r="C361" s="65" t="s">
        <v>4</v>
      </c>
      <c r="D361" s="66" t="s">
        <v>2044</v>
      </c>
      <c r="E361" s="67"/>
      <c r="F361" s="67"/>
      <c r="G361" s="64" t="str">
        <f>IF(stdProdLT(Main[[#This Row],[Comments]])=0.1,"N/A",IF(stdProdLT(Main[[#This Row],[Comments]])=0,"",stdProdLT(Main[[#This Row],[Comments]])))</f>
        <v/>
      </c>
      <c r="H361" s="68" t="str">
        <f>IF(AND(Main[[#This Row],[In Stock Date]]&lt;&gt;"",Main[[#This Row],[Revised Due Date]]&lt;&gt;""),Main[[#This Row],[In Stock Date]]-Main[[#This Row],[Revised Due Date]],"")</f>
        <v/>
      </c>
      <c r="I361" s="65" t="s">
        <v>4</v>
      </c>
      <c r="J361" s="65" t="s">
        <v>4</v>
      </c>
      <c r="K361" s="65" t="s">
        <v>4</v>
      </c>
      <c r="L361" s="67"/>
      <c r="M361" s="69" t="str">
        <f>IF(Main[[#This Row],[Tech Start Date]]&lt;1/1/1990,"",IF(Main[[#This Row],[Class]]="C",WORKDAY(Main[[#This Row],[Tech Start Date]],9),IF(Main[[#This Row],[Class]]="B", WORKDAY(Main[[#This Row],[Tech Start Date]],6),IF(Main[[#This Row],[Class]]="A",WORKDAY(Main[[#This Row],[Tech Start Date]],2),""))))</f>
        <v/>
      </c>
      <c r="N361" s="69" t="str">
        <f>IF(Main[[#This Row],[Tech Start Date]]&lt;1/1/1990,"",IF(Main[[#This Row],[Class]]="C",WORKDAY(Main[[#This Row],[Tech Start Date]],19),IF(Main[[#This Row],[Class]]="B", WORKDAY(Main[[#This Row],[Tech Start Date]],12),IF(Main[[#This Row],[Class]]="A",WORKDAY(Main[[#This Row],[Tech Start Date]],4),""))))</f>
        <v/>
      </c>
      <c r="O361" s="69" t="str">
        <f>IF(Main[[#This Row],[Tech Start Date]]&lt;1/1/1990,"",IF(Main[[#This Row],[Class]]="C",WORKDAY(Main[[#This Row],[Tech Start Date]],23),IF(Main[[#This Row],[Class]]="B", WORKDAY(Main[[#This Row],[Tech Start Date]],15),IF(Main[[#This Row],[Class]]="A",WORKDAY(Main[[#This Row],[Tech Start Date]],5),""))))</f>
        <v/>
      </c>
      <c r="P361" s="69" t="str">
        <f>IF(Main[[#This Row],[Tech Start Date]]&lt;1/1/1990,"",IF(Main[[#This Row],[Class]]="C",WORKDAY(Main[[#This Row],[Tech Start Date]],28),IF(Main[[#This Row],[Class]]="B", WORKDAY(Main[[#This Row],[Tech Start Date]],19),IF(Main[[#This Row],[Class]]="A",WORKDAY(Main[[#This Row],[Tech Start Date]],9),""))))</f>
        <v/>
      </c>
      <c r="Q361" s="67"/>
      <c r="R361" s="67"/>
      <c r="S361" s="65" t="s">
        <v>6</v>
      </c>
      <c r="T361" s="70" t="s">
        <v>4</v>
      </c>
      <c r="U361" s="65" t="s">
        <v>14</v>
      </c>
      <c r="V361" s="65" t="s">
        <v>1920</v>
      </c>
      <c r="W361" s="65" t="s">
        <v>1921</v>
      </c>
      <c r="X361" s="65" t="s">
        <v>306</v>
      </c>
      <c r="Y361" s="65" t="s">
        <v>4</v>
      </c>
      <c r="Z361" s="65" t="s">
        <v>4</v>
      </c>
      <c r="AA361" s="65" t="s">
        <v>4</v>
      </c>
    </row>
    <row r="362" spans="1:27" ht="17.45" customHeight="1">
      <c r="A362" s="131" t="str">
        <f>IF(priority(Main[[#This Row],[Comments]])&lt;&gt;0, priority(Main[[#This Row],[Comments]]),"")</f>
        <v/>
      </c>
      <c r="B362" s="99" t="s">
        <v>1189</v>
      </c>
      <c r="C362" s="65" t="s">
        <v>33</v>
      </c>
      <c r="D362" s="66" t="s">
        <v>248</v>
      </c>
      <c r="E362" s="67"/>
      <c r="F362" s="67"/>
      <c r="G362" s="64" t="str">
        <f>IF(stdProdLT(Main[[#This Row],[Comments]])=0.1,"N/A",IF(stdProdLT(Main[[#This Row],[Comments]])=0,"",stdProdLT(Main[[#This Row],[Comments]])))</f>
        <v/>
      </c>
      <c r="H362" s="68" t="str">
        <f>IF(AND(Main[[#This Row],[In Stock Date]]&lt;&gt;"",Main[[#This Row],[Revised Due Date]]&lt;&gt;""),Main[[#This Row],[In Stock Date]]-Main[[#This Row],[Revised Due Date]],"")</f>
        <v/>
      </c>
      <c r="I362" s="65" t="s">
        <v>4</v>
      </c>
      <c r="J362" s="65" t="s">
        <v>4</v>
      </c>
      <c r="K362" s="65" t="s">
        <v>4</v>
      </c>
      <c r="L362" s="67"/>
      <c r="M362" s="69" t="str">
        <f>IF(Main[[#This Row],[Tech Start Date]]&lt;1/1/1990,"",IF(Main[[#This Row],[Class]]="C",WORKDAY(Main[[#This Row],[Tech Start Date]],9),IF(Main[[#This Row],[Class]]="B", WORKDAY(Main[[#This Row],[Tech Start Date]],6),IF(Main[[#This Row],[Class]]="A",WORKDAY(Main[[#This Row],[Tech Start Date]],2),""))))</f>
        <v/>
      </c>
      <c r="N362" s="69" t="str">
        <f>IF(Main[[#This Row],[Tech Start Date]]&lt;1/1/1990,"",IF(Main[[#This Row],[Class]]="C",WORKDAY(Main[[#This Row],[Tech Start Date]],19),IF(Main[[#This Row],[Class]]="B", WORKDAY(Main[[#This Row],[Tech Start Date]],12),IF(Main[[#This Row],[Class]]="A",WORKDAY(Main[[#This Row],[Tech Start Date]],4),""))))</f>
        <v/>
      </c>
      <c r="O362" s="69" t="str">
        <f>IF(Main[[#This Row],[Tech Start Date]]&lt;1/1/1990,"",IF(Main[[#This Row],[Class]]="C",WORKDAY(Main[[#This Row],[Tech Start Date]],23),IF(Main[[#This Row],[Class]]="B", WORKDAY(Main[[#This Row],[Tech Start Date]],15),IF(Main[[#This Row],[Class]]="A",WORKDAY(Main[[#This Row],[Tech Start Date]],5),""))))</f>
        <v/>
      </c>
      <c r="P362" s="69" t="str">
        <f>IF(Main[[#This Row],[Tech Start Date]]&lt;1/1/1990,"",IF(Main[[#This Row],[Class]]="C",WORKDAY(Main[[#This Row],[Tech Start Date]],28),IF(Main[[#This Row],[Class]]="B", WORKDAY(Main[[#This Row],[Tech Start Date]],19),IF(Main[[#This Row],[Class]]="A",WORKDAY(Main[[#This Row],[Tech Start Date]],9),""))))</f>
        <v/>
      </c>
      <c r="Q362" s="67">
        <v>40269</v>
      </c>
      <c r="R362" s="67"/>
      <c r="S362" s="65" t="s">
        <v>11</v>
      </c>
      <c r="T362" s="70" t="s">
        <v>4</v>
      </c>
      <c r="U362" s="65" t="s">
        <v>14</v>
      </c>
      <c r="V362" s="65" t="s">
        <v>1920</v>
      </c>
      <c r="W362" s="65" t="s">
        <v>1919</v>
      </c>
      <c r="X362" s="65" t="s">
        <v>2875</v>
      </c>
      <c r="Y362" s="65" t="s">
        <v>4</v>
      </c>
      <c r="Z362" s="65" t="s">
        <v>4</v>
      </c>
      <c r="AA362" s="65" t="s">
        <v>2875</v>
      </c>
    </row>
    <row r="363" spans="1:27" ht="17.45" customHeight="1">
      <c r="A363" s="131" t="str">
        <f>IF(priority(Main[[#This Row],[Comments]])&lt;&gt;0, priority(Main[[#This Row],[Comments]]),"")</f>
        <v/>
      </c>
      <c r="B363" s="99" t="s">
        <v>1190</v>
      </c>
      <c r="C363" s="65" t="s">
        <v>249</v>
      </c>
      <c r="D363" s="66" t="s">
        <v>250</v>
      </c>
      <c r="E363" s="67"/>
      <c r="F363" s="67"/>
      <c r="G363" s="64" t="str">
        <f>IF(stdProdLT(Main[[#This Row],[Comments]])=0.1,"N/A",IF(stdProdLT(Main[[#This Row],[Comments]])=0,"",stdProdLT(Main[[#This Row],[Comments]])))</f>
        <v/>
      </c>
      <c r="H363" s="68" t="str">
        <f>IF(AND(Main[[#This Row],[In Stock Date]]&lt;&gt;"",Main[[#This Row],[Revised Due Date]]&lt;&gt;""),Main[[#This Row],[In Stock Date]]-Main[[#This Row],[Revised Due Date]],"")</f>
        <v/>
      </c>
      <c r="I363" s="65" t="s">
        <v>4</v>
      </c>
      <c r="J363" s="65" t="s">
        <v>28</v>
      </c>
      <c r="K363" s="65" t="s">
        <v>4</v>
      </c>
      <c r="L363" s="67"/>
      <c r="M363" s="69" t="str">
        <f>IF(Main[[#This Row],[Tech Start Date]]&lt;1/1/1990,"",IF(Main[[#This Row],[Class]]="C",WORKDAY(Main[[#This Row],[Tech Start Date]],9),IF(Main[[#This Row],[Class]]="B", WORKDAY(Main[[#This Row],[Tech Start Date]],6),IF(Main[[#This Row],[Class]]="A",WORKDAY(Main[[#This Row],[Tech Start Date]],2),""))))</f>
        <v/>
      </c>
      <c r="N363" s="69" t="str">
        <f>IF(Main[[#This Row],[Tech Start Date]]&lt;1/1/1990,"",IF(Main[[#This Row],[Class]]="C",WORKDAY(Main[[#This Row],[Tech Start Date]],19),IF(Main[[#This Row],[Class]]="B", WORKDAY(Main[[#This Row],[Tech Start Date]],12),IF(Main[[#This Row],[Class]]="A",WORKDAY(Main[[#This Row],[Tech Start Date]],4),""))))</f>
        <v/>
      </c>
      <c r="O363" s="69" t="str">
        <f>IF(Main[[#This Row],[Tech Start Date]]&lt;1/1/1990,"",IF(Main[[#This Row],[Class]]="C",WORKDAY(Main[[#This Row],[Tech Start Date]],23),IF(Main[[#This Row],[Class]]="B", WORKDAY(Main[[#This Row],[Tech Start Date]],15),IF(Main[[#This Row],[Class]]="A",WORKDAY(Main[[#This Row],[Tech Start Date]],5),""))))</f>
        <v/>
      </c>
      <c r="P363" s="69" t="str">
        <f>IF(Main[[#This Row],[Tech Start Date]]&lt;1/1/1990,"",IF(Main[[#This Row],[Class]]="C",WORKDAY(Main[[#This Row],[Tech Start Date]],28),IF(Main[[#This Row],[Class]]="B", WORKDAY(Main[[#This Row],[Tech Start Date]],19),IF(Main[[#This Row],[Class]]="A",WORKDAY(Main[[#This Row],[Tech Start Date]],9),""))))</f>
        <v/>
      </c>
      <c r="Q363" s="67"/>
      <c r="R363" s="67"/>
      <c r="S363" s="65" t="s">
        <v>6</v>
      </c>
      <c r="T363" s="70" t="s">
        <v>4</v>
      </c>
      <c r="U363" s="65" t="s">
        <v>14</v>
      </c>
      <c r="V363" s="65" t="s">
        <v>1917</v>
      </c>
      <c r="W363" s="65" t="s">
        <v>1925</v>
      </c>
      <c r="X363" s="65" t="s">
        <v>891</v>
      </c>
      <c r="Y363" s="65" t="s">
        <v>3020</v>
      </c>
      <c r="Z363" s="65" t="s">
        <v>129</v>
      </c>
      <c r="AA363" s="65" t="s">
        <v>3384</v>
      </c>
    </row>
    <row r="364" spans="1:27" ht="17.45" customHeight="1">
      <c r="A364" s="131" t="str">
        <f>IF(priority(Main[[#This Row],[Comments]])&lt;&gt;0, priority(Main[[#This Row],[Comments]]),"")</f>
        <v/>
      </c>
      <c r="B364" s="99" t="s">
        <v>1191</v>
      </c>
      <c r="C364" s="65" t="s">
        <v>4</v>
      </c>
      <c r="D364" s="66" t="s">
        <v>251</v>
      </c>
      <c r="E364" s="67"/>
      <c r="F364" s="67"/>
      <c r="G364" s="64" t="str">
        <f>IF(stdProdLT(Main[[#This Row],[Comments]])=0.1,"N/A",IF(stdProdLT(Main[[#This Row],[Comments]])=0,"",stdProdLT(Main[[#This Row],[Comments]])))</f>
        <v/>
      </c>
      <c r="H364" s="68" t="str">
        <f>IF(AND(Main[[#This Row],[In Stock Date]]&lt;&gt;"",Main[[#This Row],[Revised Due Date]]&lt;&gt;""),Main[[#This Row],[In Stock Date]]-Main[[#This Row],[Revised Due Date]],"")</f>
        <v/>
      </c>
      <c r="I364" s="65" t="s">
        <v>4</v>
      </c>
      <c r="J364" s="65" t="s">
        <v>4</v>
      </c>
      <c r="K364" s="71" t="s">
        <v>4</v>
      </c>
      <c r="L364" s="67"/>
      <c r="M364" s="69" t="str">
        <f>IF(Main[[#This Row],[Tech Start Date]]&lt;1/1/1990,"",IF(Main[[#This Row],[Class]]="C",WORKDAY(Main[[#This Row],[Tech Start Date]],9),IF(Main[[#This Row],[Class]]="B", WORKDAY(Main[[#This Row],[Tech Start Date]],6),IF(Main[[#This Row],[Class]]="A",WORKDAY(Main[[#This Row],[Tech Start Date]],2),""))))</f>
        <v/>
      </c>
      <c r="N364" s="69" t="str">
        <f>IF(Main[[#This Row],[Tech Start Date]]&lt;1/1/1990,"",IF(Main[[#This Row],[Class]]="C",WORKDAY(Main[[#This Row],[Tech Start Date]],19),IF(Main[[#This Row],[Class]]="B", WORKDAY(Main[[#This Row],[Tech Start Date]],12),IF(Main[[#This Row],[Class]]="A",WORKDAY(Main[[#This Row],[Tech Start Date]],4),""))))</f>
        <v/>
      </c>
      <c r="O364" s="69" t="str">
        <f>IF(Main[[#This Row],[Tech Start Date]]&lt;1/1/1990,"",IF(Main[[#This Row],[Class]]="C",WORKDAY(Main[[#This Row],[Tech Start Date]],23),IF(Main[[#This Row],[Class]]="B", WORKDAY(Main[[#This Row],[Tech Start Date]],15),IF(Main[[#This Row],[Class]]="A",WORKDAY(Main[[#This Row],[Tech Start Date]],5),""))))</f>
        <v/>
      </c>
      <c r="P364" s="69" t="str">
        <f>IF(Main[[#This Row],[Tech Start Date]]&lt;1/1/1990,"",IF(Main[[#This Row],[Class]]="C",WORKDAY(Main[[#This Row],[Tech Start Date]],28),IF(Main[[#This Row],[Class]]="B", WORKDAY(Main[[#This Row],[Tech Start Date]],19),IF(Main[[#This Row],[Class]]="A",WORKDAY(Main[[#This Row],[Tech Start Date]],9),""))))</f>
        <v/>
      </c>
      <c r="Q364" s="67"/>
      <c r="R364" s="67"/>
      <c r="S364" s="65" t="s">
        <v>6</v>
      </c>
      <c r="T364" s="70" t="s">
        <v>4</v>
      </c>
      <c r="U364" s="65" t="s">
        <v>14</v>
      </c>
      <c r="V364" s="65" t="s">
        <v>1920</v>
      </c>
      <c r="W364" s="65" t="s">
        <v>1921</v>
      </c>
      <c r="X364" s="65" t="s">
        <v>306</v>
      </c>
      <c r="Y364" s="65" t="s">
        <v>4</v>
      </c>
      <c r="Z364" s="65" t="s">
        <v>4</v>
      </c>
      <c r="AA364" s="65" t="s">
        <v>415</v>
      </c>
    </row>
    <row r="365" spans="1:27" ht="17.45" customHeight="1">
      <c r="A365" s="131" t="str">
        <f>IF(priority(Main[[#This Row],[Comments]])&lt;&gt;0, priority(Main[[#This Row],[Comments]]),"")</f>
        <v/>
      </c>
      <c r="B365" s="99" t="s">
        <v>1192</v>
      </c>
      <c r="C365" s="65" t="s">
        <v>113</v>
      </c>
      <c r="D365" s="66" t="s">
        <v>136</v>
      </c>
      <c r="E365" s="67"/>
      <c r="F365" s="67"/>
      <c r="G365" s="64" t="str">
        <f>IF(stdProdLT(Main[[#This Row],[Comments]])=0.1,"N/A",IF(stdProdLT(Main[[#This Row],[Comments]])=0,"",stdProdLT(Main[[#This Row],[Comments]])))</f>
        <v/>
      </c>
      <c r="H365" s="68" t="str">
        <f>IF(AND(Main[[#This Row],[In Stock Date]]&lt;&gt;"",Main[[#This Row],[Revised Due Date]]&lt;&gt;""),Main[[#This Row],[In Stock Date]]-Main[[#This Row],[Revised Due Date]],"")</f>
        <v/>
      </c>
      <c r="I365" s="65" t="s">
        <v>4</v>
      </c>
      <c r="J365" s="65" t="s">
        <v>4</v>
      </c>
      <c r="K365" s="71" t="s">
        <v>4</v>
      </c>
      <c r="L365" s="67"/>
      <c r="M365" s="69" t="str">
        <f>IF(Main[[#This Row],[Tech Start Date]]&lt;1/1/1990,"",IF(Main[[#This Row],[Class]]="C",WORKDAY(Main[[#This Row],[Tech Start Date]],9),IF(Main[[#This Row],[Class]]="B", WORKDAY(Main[[#This Row],[Tech Start Date]],6),IF(Main[[#This Row],[Class]]="A",WORKDAY(Main[[#This Row],[Tech Start Date]],2),""))))</f>
        <v/>
      </c>
      <c r="N365" s="69" t="str">
        <f>IF(Main[[#This Row],[Tech Start Date]]&lt;1/1/1990,"",IF(Main[[#This Row],[Class]]="C",WORKDAY(Main[[#This Row],[Tech Start Date]],19),IF(Main[[#This Row],[Class]]="B", WORKDAY(Main[[#This Row],[Tech Start Date]],12),IF(Main[[#This Row],[Class]]="A",WORKDAY(Main[[#This Row],[Tech Start Date]],4),""))))</f>
        <v/>
      </c>
      <c r="O365" s="69" t="str">
        <f>IF(Main[[#This Row],[Tech Start Date]]&lt;1/1/1990,"",IF(Main[[#This Row],[Class]]="C",WORKDAY(Main[[#This Row],[Tech Start Date]],23),IF(Main[[#This Row],[Class]]="B", WORKDAY(Main[[#This Row],[Tech Start Date]],15),IF(Main[[#This Row],[Class]]="A",WORKDAY(Main[[#This Row],[Tech Start Date]],5),""))))</f>
        <v/>
      </c>
      <c r="P365" s="69" t="str">
        <f>IF(Main[[#This Row],[Tech Start Date]]&lt;1/1/1990,"",IF(Main[[#This Row],[Class]]="C",WORKDAY(Main[[#This Row],[Tech Start Date]],28),IF(Main[[#This Row],[Class]]="B", WORKDAY(Main[[#This Row],[Tech Start Date]],19),IF(Main[[#This Row],[Class]]="A",WORKDAY(Main[[#This Row],[Tech Start Date]],9),""))))</f>
        <v/>
      </c>
      <c r="Q365" s="67">
        <v>40641</v>
      </c>
      <c r="R365" s="67"/>
      <c r="S365" s="65" t="s">
        <v>11</v>
      </c>
      <c r="T365" s="70" t="s">
        <v>4</v>
      </c>
      <c r="U365" s="65" t="s">
        <v>14</v>
      </c>
      <c r="V365" s="65" t="s">
        <v>1917</v>
      </c>
      <c r="W365" s="65" t="s">
        <v>1925</v>
      </c>
      <c r="X365" s="65" t="s">
        <v>2845</v>
      </c>
      <c r="Y365" s="65" t="s">
        <v>2987</v>
      </c>
      <c r="Z365" s="65" t="s">
        <v>4</v>
      </c>
      <c r="AA365" s="65" t="s">
        <v>2845</v>
      </c>
    </row>
    <row r="366" spans="1:27" ht="17.45" customHeight="1">
      <c r="A366" s="131" t="str">
        <f>IF(priority(Main[[#This Row],[Comments]])&lt;&gt;0, priority(Main[[#This Row],[Comments]]),"")</f>
        <v/>
      </c>
      <c r="B366" s="99" t="s">
        <v>1135</v>
      </c>
      <c r="C366" s="65" t="s">
        <v>4</v>
      </c>
      <c r="D366" s="66" t="s">
        <v>186</v>
      </c>
      <c r="E366" s="67">
        <v>40585.675416666665</v>
      </c>
      <c r="F366" s="67">
        <v>40606</v>
      </c>
      <c r="G366" s="64" t="str">
        <f>IF(stdProdLT(Main[[#This Row],[Comments]])=0.1,"N/A",IF(stdProdLT(Main[[#This Row],[Comments]])=0,"",stdProdLT(Main[[#This Row],[Comments]])))</f>
        <v/>
      </c>
      <c r="H366" s="68" t="str">
        <f>IF(AND(Main[[#This Row],[In Stock Date]]&lt;&gt;"",Main[[#This Row],[Revised Due Date]]&lt;&gt;""),Main[[#This Row],[In Stock Date]]-Main[[#This Row],[Revised Due Date]],"")</f>
        <v/>
      </c>
      <c r="I366" s="65" t="s">
        <v>4</v>
      </c>
      <c r="J366" s="65" t="s">
        <v>28</v>
      </c>
      <c r="K366" s="65" t="s">
        <v>1929</v>
      </c>
      <c r="L366" s="67"/>
      <c r="M366" s="69" t="str">
        <f>IF(Main[[#This Row],[Tech Start Date]]&lt;1/1/1990,"",IF(Main[[#This Row],[Class]]="C",WORKDAY(Main[[#This Row],[Tech Start Date]],9),IF(Main[[#This Row],[Class]]="B", WORKDAY(Main[[#This Row],[Tech Start Date]],6),IF(Main[[#This Row],[Class]]="A",WORKDAY(Main[[#This Row],[Tech Start Date]],2),""))))</f>
        <v/>
      </c>
      <c r="N366" s="69" t="str">
        <f>IF(Main[[#This Row],[Tech Start Date]]&lt;1/1/1990,"",IF(Main[[#This Row],[Class]]="C",WORKDAY(Main[[#This Row],[Tech Start Date]],19),IF(Main[[#This Row],[Class]]="B", WORKDAY(Main[[#This Row],[Tech Start Date]],12),IF(Main[[#This Row],[Class]]="A",WORKDAY(Main[[#This Row],[Tech Start Date]],4),""))))</f>
        <v/>
      </c>
      <c r="O366" s="69" t="str">
        <f>IF(Main[[#This Row],[Tech Start Date]]&lt;1/1/1990,"",IF(Main[[#This Row],[Class]]="C",WORKDAY(Main[[#This Row],[Tech Start Date]],23),IF(Main[[#This Row],[Class]]="B", WORKDAY(Main[[#This Row],[Tech Start Date]],15),IF(Main[[#This Row],[Class]]="A",WORKDAY(Main[[#This Row],[Tech Start Date]],5),""))))</f>
        <v/>
      </c>
      <c r="P366" s="69" t="str">
        <f>IF(Main[[#This Row],[Tech Start Date]]&lt;1/1/1990,"",IF(Main[[#This Row],[Class]]="C",WORKDAY(Main[[#This Row],[Tech Start Date]],28),IF(Main[[#This Row],[Class]]="B", WORKDAY(Main[[#This Row],[Tech Start Date]],19),IF(Main[[#This Row],[Class]]="A",WORKDAY(Main[[#This Row],[Tech Start Date]],9),""))))</f>
        <v/>
      </c>
      <c r="Q366" s="67">
        <v>40606</v>
      </c>
      <c r="R366" s="67"/>
      <c r="S366" s="65" t="s">
        <v>17</v>
      </c>
      <c r="T366" s="70" t="s">
        <v>4</v>
      </c>
      <c r="U366" s="65" t="s">
        <v>7</v>
      </c>
      <c r="V366" s="65" t="s">
        <v>1917</v>
      </c>
      <c r="W366" s="65" t="s">
        <v>1925</v>
      </c>
      <c r="X366" s="65" t="s">
        <v>2834</v>
      </c>
      <c r="Y366" s="65" t="s">
        <v>2956</v>
      </c>
      <c r="Z366" s="65" t="s">
        <v>129</v>
      </c>
      <c r="AA366" s="65" t="s">
        <v>2834</v>
      </c>
    </row>
    <row r="367" spans="1:27" ht="17.45" customHeight="1">
      <c r="A367" s="131" t="str">
        <f>IF(priority(Main[[#This Row],[Comments]])&lt;&gt;0, priority(Main[[#This Row],[Comments]]),"")</f>
        <v/>
      </c>
      <c r="B367" s="99" t="s">
        <v>1193</v>
      </c>
      <c r="C367" s="65" t="s">
        <v>4</v>
      </c>
      <c r="D367" s="66" t="s">
        <v>2361</v>
      </c>
      <c r="E367" s="67">
        <v>40620.555636574078</v>
      </c>
      <c r="F367" s="67"/>
      <c r="G367" s="64" t="str">
        <f>IF(stdProdLT(Main[[#This Row],[Comments]])=0.1,"N/A",IF(stdProdLT(Main[[#This Row],[Comments]])=0,"",stdProdLT(Main[[#This Row],[Comments]])))</f>
        <v/>
      </c>
      <c r="H367" s="68" t="str">
        <f>IF(AND(Main[[#This Row],[In Stock Date]]&lt;&gt;"",Main[[#This Row],[Revised Due Date]]&lt;&gt;""),Main[[#This Row],[In Stock Date]]-Main[[#This Row],[Revised Due Date]],"")</f>
        <v/>
      </c>
      <c r="I367" s="65" t="s">
        <v>30</v>
      </c>
      <c r="J367" s="65" t="s">
        <v>75</v>
      </c>
      <c r="K367" s="65" t="s">
        <v>1926</v>
      </c>
      <c r="L367" s="67"/>
      <c r="M367" s="69" t="str">
        <f>IF(Main[[#This Row],[Tech Start Date]]&lt;1/1/1990,"",IF(Main[[#This Row],[Class]]="C",WORKDAY(Main[[#This Row],[Tech Start Date]],9),IF(Main[[#This Row],[Class]]="B", WORKDAY(Main[[#This Row],[Tech Start Date]],6),IF(Main[[#This Row],[Class]]="A",WORKDAY(Main[[#This Row],[Tech Start Date]],2),""))))</f>
        <v/>
      </c>
      <c r="N367" s="69" t="str">
        <f>IF(Main[[#This Row],[Tech Start Date]]&lt;1/1/1990,"",IF(Main[[#This Row],[Class]]="C",WORKDAY(Main[[#This Row],[Tech Start Date]],19),IF(Main[[#This Row],[Class]]="B", WORKDAY(Main[[#This Row],[Tech Start Date]],12),IF(Main[[#This Row],[Class]]="A",WORKDAY(Main[[#This Row],[Tech Start Date]],4),""))))</f>
        <v/>
      </c>
      <c r="O367" s="69" t="str">
        <f>IF(Main[[#This Row],[Tech Start Date]]&lt;1/1/1990,"",IF(Main[[#This Row],[Class]]="C",WORKDAY(Main[[#This Row],[Tech Start Date]],23),IF(Main[[#This Row],[Class]]="B", WORKDAY(Main[[#This Row],[Tech Start Date]],15),IF(Main[[#This Row],[Class]]="A",WORKDAY(Main[[#This Row],[Tech Start Date]],5),""))))</f>
        <v/>
      </c>
      <c r="P367" s="69" t="str">
        <f>IF(Main[[#This Row],[Tech Start Date]]&lt;1/1/1990,"",IF(Main[[#This Row],[Class]]="C",WORKDAY(Main[[#This Row],[Tech Start Date]],28),IF(Main[[#This Row],[Class]]="B", WORKDAY(Main[[#This Row],[Tech Start Date]],19),IF(Main[[#This Row],[Class]]="A",WORKDAY(Main[[#This Row],[Tech Start Date]],9),""))))</f>
        <v/>
      </c>
      <c r="Q367" s="67">
        <v>40662</v>
      </c>
      <c r="R367" s="67"/>
      <c r="S367" s="65" t="s">
        <v>6</v>
      </c>
      <c r="T367" s="70" t="s">
        <v>4</v>
      </c>
      <c r="U367" s="65" t="s">
        <v>29</v>
      </c>
      <c r="V367" s="65" t="s">
        <v>1920</v>
      </c>
      <c r="W367" s="65" t="s">
        <v>1921</v>
      </c>
      <c r="X367" s="65" t="s">
        <v>30</v>
      </c>
      <c r="Y367" s="65" t="s">
        <v>3021</v>
      </c>
      <c r="Z367" s="65" t="s">
        <v>30</v>
      </c>
      <c r="AA367" s="65" t="s">
        <v>3412</v>
      </c>
    </row>
    <row r="368" spans="1:27" ht="17.45" customHeight="1">
      <c r="A368" s="131" t="str">
        <f>IF(priority(Main[[#This Row],[Comments]])&lt;&gt;0, priority(Main[[#This Row],[Comments]]),"")</f>
        <v/>
      </c>
      <c r="B368" s="99" t="s">
        <v>1230</v>
      </c>
      <c r="C368" s="65" t="s">
        <v>4</v>
      </c>
      <c r="D368" s="66" t="s">
        <v>289</v>
      </c>
      <c r="E368" s="67">
        <v>40379.350532407407</v>
      </c>
      <c r="F368" s="67"/>
      <c r="G368" s="64" t="str">
        <f>IF(stdProdLT(Main[[#This Row],[Comments]])=0.1,"N/A",IF(stdProdLT(Main[[#This Row],[Comments]])=0,"",stdProdLT(Main[[#This Row],[Comments]])))</f>
        <v/>
      </c>
      <c r="H368" s="68" t="str">
        <f>IF(AND(Main[[#This Row],[In Stock Date]]&lt;&gt;"",Main[[#This Row],[Revised Due Date]]&lt;&gt;""),Main[[#This Row],[In Stock Date]]-Main[[#This Row],[Revised Due Date]],"")</f>
        <v/>
      </c>
      <c r="I368" s="65" t="s">
        <v>4</v>
      </c>
      <c r="J368" s="65" t="s">
        <v>28</v>
      </c>
      <c r="K368" s="65" t="s">
        <v>4</v>
      </c>
      <c r="L368" s="67"/>
      <c r="M368" s="69" t="str">
        <f>IF(Main[[#This Row],[Tech Start Date]]&lt;1/1/1990,"",IF(Main[[#This Row],[Class]]="C",WORKDAY(Main[[#This Row],[Tech Start Date]],9),IF(Main[[#This Row],[Class]]="B", WORKDAY(Main[[#This Row],[Tech Start Date]],6),IF(Main[[#This Row],[Class]]="A",WORKDAY(Main[[#This Row],[Tech Start Date]],2),""))))</f>
        <v/>
      </c>
      <c r="N368" s="69" t="str">
        <f>IF(Main[[#This Row],[Tech Start Date]]&lt;1/1/1990,"",IF(Main[[#This Row],[Class]]="C",WORKDAY(Main[[#This Row],[Tech Start Date]],19),IF(Main[[#This Row],[Class]]="B", WORKDAY(Main[[#This Row],[Tech Start Date]],12),IF(Main[[#This Row],[Class]]="A",WORKDAY(Main[[#This Row],[Tech Start Date]],4),""))))</f>
        <v/>
      </c>
      <c r="O368" s="69" t="str">
        <f>IF(Main[[#This Row],[Tech Start Date]]&lt;1/1/1990,"",IF(Main[[#This Row],[Class]]="C",WORKDAY(Main[[#This Row],[Tech Start Date]],23),IF(Main[[#This Row],[Class]]="B", WORKDAY(Main[[#This Row],[Tech Start Date]],15),IF(Main[[#This Row],[Class]]="A",WORKDAY(Main[[#This Row],[Tech Start Date]],5),""))))</f>
        <v/>
      </c>
      <c r="P368" s="69" t="str">
        <f>IF(Main[[#This Row],[Tech Start Date]]&lt;1/1/1990,"",IF(Main[[#This Row],[Class]]="C",WORKDAY(Main[[#This Row],[Tech Start Date]],28),IF(Main[[#This Row],[Class]]="B", WORKDAY(Main[[#This Row],[Tech Start Date]],19),IF(Main[[#This Row],[Class]]="A",WORKDAY(Main[[#This Row],[Tech Start Date]],9),""))))</f>
        <v/>
      </c>
      <c r="Q368" s="67">
        <v>40413</v>
      </c>
      <c r="R368" s="67"/>
      <c r="S368" s="65" t="s">
        <v>6</v>
      </c>
      <c r="T368" s="70" t="s">
        <v>4</v>
      </c>
      <c r="U368" s="65" t="s">
        <v>7</v>
      </c>
      <c r="V368" s="65" t="s">
        <v>1917</v>
      </c>
      <c r="W368" s="65" t="s">
        <v>1919</v>
      </c>
      <c r="X368" s="65" t="s">
        <v>2824</v>
      </c>
      <c r="Y368" s="65" t="s">
        <v>2935</v>
      </c>
      <c r="Z368" s="65" t="s">
        <v>129</v>
      </c>
      <c r="AA368" s="65" t="s">
        <v>2824</v>
      </c>
    </row>
    <row r="369" spans="1:27" ht="17.45" customHeight="1">
      <c r="A369" s="131" t="str">
        <f>IF(priority(Main[[#This Row],[Comments]])&lt;&gt;0, priority(Main[[#This Row],[Comments]]),"")</f>
        <v/>
      </c>
      <c r="B369" s="99" t="s">
        <v>1231</v>
      </c>
      <c r="C369" s="65" t="s">
        <v>290</v>
      </c>
      <c r="D369" s="66" t="s">
        <v>291</v>
      </c>
      <c r="E369" s="67"/>
      <c r="F369" s="67"/>
      <c r="G369" s="64" t="str">
        <f>IF(stdProdLT(Main[[#This Row],[Comments]])=0.1,"N/A",IF(stdProdLT(Main[[#This Row],[Comments]])=0,"",stdProdLT(Main[[#This Row],[Comments]])))</f>
        <v/>
      </c>
      <c r="H369" s="68" t="str">
        <f>IF(AND(Main[[#This Row],[In Stock Date]]&lt;&gt;"",Main[[#This Row],[Revised Due Date]]&lt;&gt;""),Main[[#This Row],[In Stock Date]]-Main[[#This Row],[Revised Due Date]],"")</f>
        <v/>
      </c>
      <c r="I369" s="65" t="s">
        <v>4</v>
      </c>
      <c r="J369" s="65" t="s">
        <v>4</v>
      </c>
      <c r="K369" s="71" t="s">
        <v>4</v>
      </c>
      <c r="L369" s="67"/>
      <c r="M369" s="69" t="str">
        <f>IF(Main[[#This Row],[Tech Start Date]]&lt;1/1/1990,"",IF(Main[[#This Row],[Class]]="C",WORKDAY(Main[[#This Row],[Tech Start Date]],9),IF(Main[[#This Row],[Class]]="B", WORKDAY(Main[[#This Row],[Tech Start Date]],6),IF(Main[[#This Row],[Class]]="A",WORKDAY(Main[[#This Row],[Tech Start Date]],2),""))))</f>
        <v/>
      </c>
      <c r="N369" s="69" t="str">
        <f>IF(Main[[#This Row],[Tech Start Date]]&lt;1/1/1990,"",IF(Main[[#This Row],[Class]]="C",WORKDAY(Main[[#This Row],[Tech Start Date]],19),IF(Main[[#This Row],[Class]]="B", WORKDAY(Main[[#This Row],[Tech Start Date]],12),IF(Main[[#This Row],[Class]]="A",WORKDAY(Main[[#This Row],[Tech Start Date]],4),""))))</f>
        <v/>
      </c>
      <c r="O369" s="69" t="str">
        <f>IF(Main[[#This Row],[Tech Start Date]]&lt;1/1/1990,"",IF(Main[[#This Row],[Class]]="C",WORKDAY(Main[[#This Row],[Tech Start Date]],23),IF(Main[[#This Row],[Class]]="B", WORKDAY(Main[[#This Row],[Tech Start Date]],15),IF(Main[[#This Row],[Class]]="A",WORKDAY(Main[[#This Row],[Tech Start Date]],5),""))))</f>
        <v/>
      </c>
      <c r="P369" s="69" t="str">
        <f>IF(Main[[#This Row],[Tech Start Date]]&lt;1/1/1990,"",IF(Main[[#This Row],[Class]]="C",WORKDAY(Main[[#This Row],[Tech Start Date]],28),IF(Main[[#This Row],[Class]]="B", WORKDAY(Main[[#This Row],[Tech Start Date]],19),IF(Main[[#This Row],[Class]]="A",WORKDAY(Main[[#This Row],[Tech Start Date]],9),""))))</f>
        <v/>
      </c>
      <c r="Q369" s="67">
        <v>40052</v>
      </c>
      <c r="R369" s="67"/>
      <c r="S369" s="65" t="s">
        <v>11</v>
      </c>
      <c r="T369" s="70" t="s">
        <v>4</v>
      </c>
      <c r="U369" s="65" t="s">
        <v>14</v>
      </c>
      <c r="V369" s="65" t="s">
        <v>1920</v>
      </c>
      <c r="W369" s="65" t="s">
        <v>1919</v>
      </c>
      <c r="X369" s="65" t="s">
        <v>2840</v>
      </c>
      <c r="Y369" s="65" t="s">
        <v>4</v>
      </c>
      <c r="Z369" s="65" t="s">
        <v>4</v>
      </c>
      <c r="AA369" s="65" t="s">
        <v>2840</v>
      </c>
    </row>
    <row r="370" spans="1:27" ht="17.45" customHeight="1">
      <c r="A370" s="131" t="str">
        <f>IF(priority(Main[[#This Row],[Comments]])&lt;&gt;0, priority(Main[[#This Row],[Comments]]),"")</f>
        <v/>
      </c>
      <c r="B370" s="99" t="s">
        <v>2713</v>
      </c>
      <c r="C370" s="65" t="s">
        <v>2714</v>
      </c>
      <c r="D370" s="66" t="s">
        <v>2715</v>
      </c>
      <c r="E370" s="67"/>
      <c r="F370" s="67">
        <v>40900</v>
      </c>
      <c r="G370" s="64" t="str">
        <f>IF(stdProdLT(Main[[#This Row],[Comments]])=0.1,"N/A",IF(stdProdLT(Main[[#This Row],[Comments]])=0,"",stdProdLT(Main[[#This Row],[Comments]])))</f>
        <v/>
      </c>
      <c r="H370" s="68" t="str">
        <f>IF(AND(Main[[#This Row],[In Stock Date]]&lt;&gt;"",Main[[#This Row],[Revised Due Date]]&lt;&gt;""),Main[[#This Row],[In Stock Date]]-Main[[#This Row],[Revised Due Date]],"")</f>
        <v/>
      </c>
      <c r="I370" s="65" t="s">
        <v>4</v>
      </c>
      <c r="J370" s="65" t="s">
        <v>4</v>
      </c>
      <c r="K370" s="65" t="s">
        <v>4</v>
      </c>
      <c r="L370" s="67"/>
      <c r="M370" s="69" t="str">
        <f>IF(Main[[#This Row],[Tech Start Date]]&lt;1/1/1990,"",IF(Main[[#This Row],[Class]]="C",WORKDAY(Main[[#This Row],[Tech Start Date]],9),IF(Main[[#This Row],[Class]]="B", WORKDAY(Main[[#This Row],[Tech Start Date]],6),IF(Main[[#This Row],[Class]]="A",WORKDAY(Main[[#This Row],[Tech Start Date]],2),""))))</f>
        <v/>
      </c>
      <c r="N370" s="69" t="str">
        <f>IF(Main[[#This Row],[Tech Start Date]]&lt;1/1/1990,"",IF(Main[[#This Row],[Class]]="C",WORKDAY(Main[[#This Row],[Tech Start Date]],19),IF(Main[[#This Row],[Class]]="B", WORKDAY(Main[[#This Row],[Tech Start Date]],12),IF(Main[[#This Row],[Class]]="A",WORKDAY(Main[[#This Row],[Tech Start Date]],4),""))))</f>
        <v/>
      </c>
      <c r="O370" s="69" t="str">
        <f>IF(Main[[#This Row],[Tech Start Date]]&lt;1/1/1990,"",IF(Main[[#This Row],[Class]]="C",WORKDAY(Main[[#This Row],[Tech Start Date]],23),IF(Main[[#This Row],[Class]]="B", WORKDAY(Main[[#This Row],[Tech Start Date]],15),IF(Main[[#This Row],[Class]]="A",WORKDAY(Main[[#This Row],[Tech Start Date]],5),""))))</f>
        <v/>
      </c>
      <c r="P370" s="69" t="str">
        <f>IF(Main[[#This Row],[Tech Start Date]]&lt;1/1/1990,"",IF(Main[[#This Row],[Class]]="C",WORKDAY(Main[[#This Row],[Tech Start Date]],28),IF(Main[[#This Row],[Class]]="B", WORKDAY(Main[[#This Row],[Tech Start Date]],19),IF(Main[[#This Row],[Class]]="A",WORKDAY(Main[[#This Row],[Tech Start Date]],9),""))))</f>
        <v/>
      </c>
      <c r="Q370" s="67">
        <v>40899</v>
      </c>
      <c r="R370" s="67"/>
      <c r="S370" s="65" t="s">
        <v>11</v>
      </c>
      <c r="T370" s="70" t="s">
        <v>4</v>
      </c>
      <c r="U370" s="65" t="s">
        <v>14</v>
      </c>
      <c r="V370" s="65" t="s">
        <v>1920</v>
      </c>
      <c r="W370" s="65" t="s">
        <v>1923</v>
      </c>
      <c r="X370" s="65" t="s">
        <v>2876</v>
      </c>
      <c r="Y370" s="65" t="s">
        <v>3022</v>
      </c>
      <c r="Z370" s="65" t="s">
        <v>4</v>
      </c>
      <c r="AA370" s="65" t="s">
        <v>2876</v>
      </c>
    </row>
    <row r="371" spans="1:27" ht="17.45" customHeight="1">
      <c r="A371" s="131" t="str">
        <f>IF(priority(Main[[#This Row],[Comments]])&lt;&gt;0, priority(Main[[#This Row],[Comments]]),"")</f>
        <v/>
      </c>
      <c r="B371" s="99" t="s">
        <v>3606</v>
      </c>
      <c r="C371" s="65" t="s">
        <v>4</v>
      </c>
      <c r="D371" s="66" t="s">
        <v>3607</v>
      </c>
      <c r="E371" s="67">
        <v>40959.340949074074</v>
      </c>
      <c r="F371" s="67"/>
      <c r="G371" s="64" t="str">
        <f>IF(stdProdLT(Main[[#This Row],[Comments]])=0.1,"N/A",IF(stdProdLT(Main[[#This Row],[Comments]])=0,"",stdProdLT(Main[[#This Row],[Comments]])))</f>
        <v/>
      </c>
      <c r="H371" s="68" t="str">
        <f>IF(AND(Main[[#This Row],[In Stock Date]]&lt;&gt;"",Main[[#This Row],[Revised Due Date]]&lt;&gt;""),Main[[#This Row],[In Stock Date]]-Main[[#This Row],[Revised Due Date]],"")</f>
        <v/>
      </c>
      <c r="I371" s="65" t="s">
        <v>4</v>
      </c>
      <c r="J371" s="65" t="s">
        <v>4</v>
      </c>
      <c r="K371" s="65" t="s">
        <v>4</v>
      </c>
      <c r="L371" s="67"/>
      <c r="M371" s="69" t="str">
        <f>IF(Main[[#This Row],[Tech Start Date]]&lt;1/1/1990,"",IF(Main[[#This Row],[Class]]="C",WORKDAY(Main[[#This Row],[Tech Start Date]],9),IF(Main[[#This Row],[Class]]="B", WORKDAY(Main[[#This Row],[Tech Start Date]],6),IF(Main[[#This Row],[Class]]="A",WORKDAY(Main[[#This Row],[Tech Start Date]],2),""))))</f>
        <v/>
      </c>
      <c r="N371" s="69" t="str">
        <f>IF(Main[[#This Row],[Tech Start Date]]&lt;1/1/1990,"",IF(Main[[#This Row],[Class]]="C",WORKDAY(Main[[#This Row],[Tech Start Date]],19),IF(Main[[#This Row],[Class]]="B", WORKDAY(Main[[#This Row],[Tech Start Date]],12),IF(Main[[#This Row],[Class]]="A",WORKDAY(Main[[#This Row],[Tech Start Date]],4),""))))</f>
        <v/>
      </c>
      <c r="O371" s="69" t="str">
        <f>IF(Main[[#This Row],[Tech Start Date]]&lt;1/1/1990,"",IF(Main[[#This Row],[Class]]="C",WORKDAY(Main[[#This Row],[Tech Start Date]],23),IF(Main[[#This Row],[Class]]="B", WORKDAY(Main[[#This Row],[Tech Start Date]],15),IF(Main[[#This Row],[Class]]="A",WORKDAY(Main[[#This Row],[Tech Start Date]],5),""))))</f>
        <v/>
      </c>
      <c r="P371" s="69" t="str">
        <f>IF(Main[[#This Row],[Tech Start Date]]&lt;1/1/1990,"",IF(Main[[#This Row],[Class]]="C",WORKDAY(Main[[#This Row],[Tech Start Date]],28),IF(Main[[#This Row],[Class]]="B", WORKDAY(Main[[#This Row],[Tech Start Date]],19),IF(Main[[#This Row],[Class]]="A",WORKDAY(Main[[#This Row],[Tech Start Date]],9),""))))</f>
        <v/>
      </c>
      <c r="Q371" s="67"/>
      <c r="R371" s="67"/>
      <c r="S371" s="65" t="s">
        <v>6</v>
      </c>
      <c r="T371" s="70" t="s">
        <v>4</v>
      </c>
      <c r="U371" s="65" t="s">
        <v>7</v>
      </c>
      <c r="V371" s="65" t="s">
        <v>1918</v>
      </c>
      <c r="W371" s="65" t="s">
        <v>1919</v>
      </c>
      <c r="X371" s="65" t="s">
        <v>306</v>
      </c>
      <c r="Y371" s="65" t="s">
        <v>4</v>
      </c>
      <c r="Z371" s="65" t="s">
        <v>2214</v>
      </c>
      <c r="AA371" s="65" t="s">
        <v>4</v>
      </c>
    </row>
    <row r="372" spans="1:27" ht="17.45" customHeight="1">
      <c r="A372" s="131" t="str">
        <f>IF(priority(Main[[#This Row],[Comments]])&lt;&gt;0, priority(Main[[#This Row],[Comments]]),"")</f>
        <v/>
      </c>
      <c r="B372" s="99" t="s">
        <v>2367</v>
      </c>
      <c r="C372" s="65" t="s">
        <v>4</v>
      </c>
      <c r="D372" s="66" t="s">
        <v>2368</v>
      </c>
      <c r="E372" s="67"/>
      <c r="F372" s="67"/>
      <c r="G372" s="64" t="str">
        <f>IF(stdProdLT(Main[[#This Row],[Comments]])=0.1,"N/A",IF(stdProdLT(Main[[#This Row],[Comments]])=0,"",stdProdLT(Main[[#This Row],[Comments]])))</f>
        <v/>
      </c>
      <c r="H372" s="68" t="str">
        <f>IF(AND(Main[[#This Row],[In Stock Date]]&lt;&gt;"",Main[[#This Row],[Revised Due Date]]&lt;&gt;""),Main[[#This Row],[In Stock Date]]-Main[[#This Row],[Revised Due Date]],"")</f>
        <v/>
      </c>
      <c r="I372" s="65" t="s">
        <v>4</v>
      </c>
      <c r="J372" s="65" t="s">
        <v>4</v>
      </c>
      <c r="K372" s="65" t="s">
        <v>4</v>
      </c>
      <c r="L372" s="67"/>
      <c r="M372" s="69" t="str">
        <f>IF(Main[[#This Row],[Tech Start Date]]&lt;1/1/1990,"",IF(Main[[#This Row],[Class]]="C",WORKDAY(Main[[#This Row],[Tech Start Date]],9),IF(Main[[#This Row],[Class]]="B", WORKDAY(Main[[#This Row],[Tech Start Date]],6),IF(Main[[#This Row],[Class]]="A",WORKDAY(Main[[#This Row],[Tech Start Date]],2),""))))</f>
        <v/>
      </c>
      <c r="N372" s="69" t="str">
        <f>IF(Main[[#This Row],[Tech Start Date]]&lt;1/1/1990,"",IF(Main[[#This Row],[Class]]="C",WORKDAY(Main[[#This Row],[Tech Start Date]],19),IF(Main[[#This Row],[Class]]="B", WORKDAY(Main[[#This Row],[Tech Start Date]],12),IF(Main[[#This Row],[Class]]="A",WORKDAY(Main[[#This Row],[Tech Start Date]],4),""))))</f>
        <v/>
      </c>
      <c r="O372" s="69" t="str">
        <f>IF(Main[[#This Row],[Tech Start Date]]&lt;1/1/1990,"",IF(Main[[#This Row],[Class]]="C",WORKDAY(Main[[#This Row],[Tech Start Date]],23),IF(Main[[#This Row],[Class]]="B", WORKDAY(Main[[#This Row],[Tech Start Date]],15),IF(Main[[#This Row],[Class]]="A",WORKDAY(Main[[#This Row],[Tech Start Date]],5),""))))</f>
        <v/>
      </c>
      <c r="P372" s="69" t="str">
        <f>IF(Main[[#This Row],[Tech Start Date]]&lt;1/1/1990,"",IF(Main[[#This Row],[Class]]="C",WORKDAY(Main[[#This Row],[Tech Start Date]],28),IF(Main[[#This Row],[Class]]="B", WORKDAY(Main[[#This Row],[Tech Start Date]],19),IF(Main[[#This Row],[Class]]="A",WORKDAY(Main[[#This Row],[Tech Start Date]],9),""))))</f>
        <v/>
      </c>
      <c r="Q372" s="67"/>
      <c r="R372" s="67"/>
      <c r="S372" s="65" t="s">
        <v>11</v>
      </c>
      <c r="T372" s="70" t="s">
        <v>4</v>
      </c>
      <c r="U372" s="65" t="s">
        <v>14</v>
      </c>
      <c r="V372" s="65" t="s">
        <v>1918</v>
      </c>
      <c r="W372" s="65" t="s">
        <v>4</v>
      </c>
      <c r="X372" s="65" t="s">
        <v>2254</v>
      </c>
      <c r="Y372" s="65" t="s">
        <v>4</v>
      </c>
      <c r="Z372" s="65" t="s">
        <v>4</v>
      </c>
      <c r="AA372" s="65" t="s">
        <v>4</v>
      </c>
    </row>
    <row r="373" spans="1:27" ht="17.45" customHeight="1">
      <c r="A373" s="131" t="str">
        <f>IF(priority(Main[[#This Row],[Comments]])&lt;&gt;0, priority(Main[[#This Row],[Comments]]),"")</f>
        <v/>
      </c>
      <c r="B373" s="99" t="s">
        <v>3332</v>
      </c>
      <c r="C373" s="65" t="s">
        <v>4</v>
      </c>
      <c r="D373" s="66" t="s">
        <v>3333</v>
      </c>
      <c r="E373" s="67">
        <v>40938.460057870368</v>
      </c>
      <c r="F373" s="67"/>
      <c r="G373" s="64" t="str">
        <f>IF(stdProdLT(Main[[#This Row],[Comments]])=0.1,"N/A",IF(stdProdLT(Main[[#This Row],[Comments]])=0,"",stdProdLT(Main[[#This Row],[Comments]])))</f>
        <v/>
      </c>
      <c r="H373" s="68" t="str">
        <f>IF(AND(Main[[#This Row],[In Stock Date]]&lt;&gt;"",Main[[#This Row],[Revised Due Date]]&lt;&gt;""),Main[[#This Row],[In Stock Date]]-Main[[#This Row],[Revised Due Date]],"")</f>
        <v/>
      </c>
      <c r="I373" s="65" t="s">
        <v>4</v>
      </c>
      <c r="J373" s="65" t="s">
        <v>4</v>
      </c>
      <c r="K373" s="65" t="s">
        <v>4</v>
      </c>
      <c r="L373" s="67"/>
      <c r="M373" s="69" t="str">
        <f>IF(Main[[#This Row],[Tech Start Date]]&lt;1/1/1990,"",IF(Main[[#This Row],[Class]]="C",WORKDAY(Main[[#This Row],[Tech Start Date]],9),IF(Main[[#This Row],[Class]]="B", WORKDAY(Main[[#This Row],[Tech Start Date]],6),IF(Main[[#This Row],[Class]]="A",WORKDAY(Main[[#This Row],[Tech Start Date]],2),""))))</f>
        <v/>
      </c>
      <c r="N373" s="69" t="str">
        <f>IF(Main[[#This Row],[Tech Start Date]]&lt;1/1/1990,"",IF(Main[[#This Row],[Class]]="C",WORKDAY(Main[[#This Row],[Tech Start Date]],19),IF(Main[[#This Row],[Class]]="B", WORKDAY(Main[[#This Row],[Tech Start Date]],12),IF(Main[[#This Row],[Class]]="A",WORKDAY(Main[[#This Row],[Tech Start Date]],4),""))))</f>
        <v/>
      </c>
      <c r="O373" s="69" t="str">
        <f>IF(Main[[#This Row],[Tech Start Date]]&lt;1/1/1990,"",IF(Main[[#This Row],[Class]]="C",WORKDAY(Main[[#This Row],[Tech Start Date]],23),IF(Main[[#This Row],[Class]]="B", WORKDAY(Main[[#This Row],[Tech Start Date]],15),IF(Main[[#This Row],[Class]]="A",WORKDAY(Main[[#This Row],[Tech Start Date]],5),""))))</f>
        <v/>
      </c>
      <c r="P373" s="69" t="str">
        <f>IF(Main[[#This Row],[Tech Start Date]]&lt;1/1/1990,"",IF(Main[[#This Row],[Class]]="C",WORKDAY(Main[[#This Row],[Tech Start Date]],28),IF(Main[[#This Row],[Class]]="B", WORKDAY(Main[[#This Row],[Tech Start Date]],19),IF(Main[[#This Row],[Class]]="A",WORKDAY(Main[[#This Row],[Tech Start Date]],9),""))))</f>
        <v/>
      </c>
      <c r="Q373" s="67"/>
      <c r="R373" s="67"/>
      <c r="S373" s="65" t="s">
        <v>6</v>
      </c>
      <c r="T373" s="70" t="s">
        <v>4</v>
      </c>
      <c r="U373" s="65" t="s">
        <v>7</v>
      </c>
      <c r="V373" s="65" t="s">
        <v>1932</v>
      </c>
      <c r="W373" s="65" t="s">
        <v>1921</v>
      </c>
      <c r="X373" s="65" t="s">
        <v>924</v>
      </c>
      <c r="Y373" s="65" t="s">
        <v>2988</v>
      </c>
      <c r="Z373" s="65" t="s">
        <v>4</v>
      </c>
      <c r="AA373" s="65" t="s">
        <v>924</v>
      </c>
    </row>
    <row r="374" spans="1:27" ht="17.45" customHeight="1">
      <c r="A374" s="131" t="str">
        <f>IF(priority(Main[[#This Row],[Comments]])&lt;&gt;0, priority(Main[[#This Row],[Comments]]),"")</f>
        <v/>
      </c>
      <c r="B374" s="99" t="s">
        <v>1839</v>
      </c>
      <c r="C374" s="65" t="s">
        <v>893</v>
      </c>
      <c r="D374" s="66" t="s">
        <v>894</v>
      </c>
      <c r="E374" s="67"/>
      <c r="F374" s="67"/>
      <c r="G374" s="64" t="str">
        <f>IF(stdProdLT(Main[[#This Row],[Comments]])=0.1,"N/A",IF(stdProdLT(Main[[#This Row],[Comments]])=0,"",stdProdLT(Main[[#This Row],[Comments]])))</f>
        <v/>
      </c>
      <c r="H374" s="68" t="str">
        <f>IF(AND(Main[[#This Row],[In Stock Date]]&lt;&gt;"",Main[[#This Row],[Revised Due Date]]&lt;&gt;""),Main[[#This Row],[In Stock Date]]-Main[[#This Row],[Revised Due Date]],"")</f>
        <v/>
      </c>
      <c r="I374" s="65" t="s">
        <v>4</v>
      </c>
      <c r="J374" s="65" t="s">
        <v>4</v>
      </c>
      <c r="K374" s="65" t="s">
        <v>1930</v>
      </c>
      <c r="L374" s="67"/>
      <c r="M374" s="69" t="str">
        <f>IF(Main[[#This Row],[Tech Start Date]]&lt;1/1/1990,"",IF(Main[[#This Row],[Class]]="C",WORKDAY(Main[[#This Row],[Tech Start Date]],9),IF(Main[[#This Row],[Class]]="B", WORKDAY(Main[[#This Row],[Tech Start Date]],6),IF(Main[[#This Row],[Class]]="A",WORKDAY(Main[[#This Row],[Tech Start Date]],2),""))))</f>
        <v/>
      </c>
      <c r="N374" s="69" t="str">
        <f>IF(Main[[#This Row],[Tech Start Date]]&lt;1/1/1990,"",IF(Main[[#This Row],[Class]]="C",WORKDAY(Main[[#This Row],[Tech Start Date]],19),IF(Main[[#This Row],[Class]]="B", WORKDAY(Main[[#This Row],[Tech Start Date]],12),IF(Main[[#This Row],[Class]]="A",WORKDAY(Main[[#This Row],[Tech Start Date]],4),""))))</f>
        <v/>
      </c>
      <c r="O374" s="69" t="str">
        <f>IF(Main[[#This Row],[Tech Start Date]]&lt;1/1/1990,"",IF(Main[[#This Row],[Class]]="C",WORKDAY(Main[[#This Row],[Tech Start Date]],23),IF(Main[[#This Row],[Class]]="B", WORKDAY(Main[[#This Row],[Tech Start Date]],15),IF(Main[[#This Row],[Class]]="A",WORKDAY(Main[[#This Row],[Tech Start Date]],5),""))))</f>
        <v/>
      </c>
      <c r="P374" s="69" t="str">
        <f>IF(Main[[#This Row],[Tech Start Date]]&lt;1/1/1990,"",IF(Main[[#This Row],[Class]]="C",WORKDAY(Main[[#This Row],[Tech Start Date]],28),IF(Main[[#This Row],[Class]]="B", WORKDAY(Main[[#This Row],[Tech Start Date]],19),IF(Main[[#This Row],[Class]]="A",WORKDAY(Main[[#This Row],[Tech Start Date]],9),""))))</f>
        <v/>
      </c>
      <c r="Q374" s="67">
        <v>40436</v>
      </c>
      <c r="R374" s="67">
        <v>40436</v>
      </c>
      <c r="S374" s="65" t="s">
        <v>11</v>
      </c>
      <c r="T374" s="70" t="s">
        <v>4</v>
      </c>
      <c r="U374" s="65" t="s">
        <v>14</v>
      </c>
      <c r="V374" s="65" t="s">
        <v>1918</v>
      </c>
      <c r="W374" s="65" t="s">
        <v>1919</v>
      </c>
      <c r="X374" s="65" t="s">
        <v>2860</v>
      </c>
      <c r="Y374" s="65" t="s">
        <v>4</v>
      </c>
      <c r="Z374" s="65" t="s">
        <v>4</v>
      </c>
      <c r="AA374" s="65" t="s">
        <v>2860</v>
      </c>
    </row>
    <row r="375" spans="1:27" ht="17.45" customHeight="1">
      <c r="A375" s="131" t="str">
        <f>IF(priority(Main[[#This Row],[Comments]])&lt;&gt;0, priority(Main[[#This Row],[Comments]]),"")</f>
        <v/>
      </c>
      <c r="B375" s="99" t="s">
        <v>1232</v>
      </c>
      <c r="C375" s="65" t="s">
        <v>113</v>
      </c>
      <c r="D375" s="66" t="s">
        <v>292</v>
      </c>
      <c r="E375" s="67"/>
      <c r="F375" s="67">
        <v>40193</v>
      </c>
      <c r="G375" s="64" t="str">
        <f>IF(stdProdLT(Main[[#This Row],[Comments]])=0.1,"N/A",IF(stdProdLT(Main[[#This Row],[Comments]])=0,"",stdProdLT(Main[[#This Row],[Comments]])))</f>
        <v/>
      </c>
      <c r="H375" s="68" t="str">
        <f>IF(AND(Main[[#This Row],[In Stock Date]]&lt;&gt;"",Main[[#This Row],[Revised Due Date]]&lt;&gt;""),Main[[#This Row],[In Stock Date]]-Main[[#This Row],[Revised Due Date]],"")</f>
        <v/>
      </c>
      <c r="I375" s="65" t="s">
        <v>4</v>
      </c>
      <c r="J375" s="65" t="s">
        <v>4</v>
      </c>
      <c r="K375" s="65" t="s">
        <v>4</v>
      </c>
      <c r="L375" s="67"/>
      <c r="M375" s="69" t="str">
        <f>IF(Main[[#This Row],[Tech Start Date]]&lt;1/1/1990,"",IF(Main[[#This Row],[Class]]="C",WORKDAY(Main[[#This Row],[Tech Start Date]],9),IF(Main[[#This Row],[Class]]="B", WORKDAY(Main[[#This Row],[Tech Start Date]],6),IF(Main[[#This Row],[Class]]="A",WORKDAY(Main[[#This Row],[Tech Start Date]],2),""))))</f>
        <v/>
      </c>
      <c r="N375" s="69" t="str">
        <f>IF(Main[[#This Row],[Tech Start Date]]&lt;1/1/1990,"",IF(Main[[#This Row],[Class]]="C",WORKDAY(Main[[#This Row],[Tech Start Date]],19),IF(Main[[#This Row],[Class]]="B", WORKDAY(Main[[#This Row],[Tech Start Date]],12),IF(Main[[#This Row],[Class]]="A",WORKDAY(Main[[#This Row],[Tech Start Date]],4),""))))</f>
        <v/>
      </c>
      <c r="O375" s="69" t="str">
        <f>IF(Main[[#This Row],[Tech Start Date]]&lt;1/1/1990,"",IF(Main[[#This Row],[Class]]="C",WORKDAY(Main[[#This Row],[Tech Start Date]],23),IF(Main[[#This Row],[Class]]="B", WORKDAY(Main[[#This Row],[Tech Start Date]],15),IF(Main[[#This Row],[Class]]="A",WORKDAY(Main[[#This Row],[Tech Start Date]],5),""))))</f>
        <v/>
      </c>
      <c r="P375" s="69" t="str">
        <f>IF(Main[[#This Row],[Tech Start Date]]&lt;1/1/1990,"",IF(Main[[#This Row],[Class]]="C",WORKDAY(Main[[#This Row],[Tech Start Date]],28),IF(Main[[#This Row],[Class]]="B", WORKDAY(Main[[#This Row],[Tech Start Date]],19),IF(Main[[#This Row],[Class]]="A",WORKDAY(Main[[#This Row],[Tech Start Date]],9),""))))</f>
        <v/>
      </c>
      <c r="Q375" s="67"/>
      <c r="R375" s="67"/>
      <c r="S375" s="65" t="s">
        <v>11</v>
      </c>
      <c r="T375" s="70" t="s">
        <v>4</v>
      </c>
      <c r="U375" s="65" t="s">
        <v>14</v>
      </c>
      <c r="V375" s="65" t="s">
        <v>1927</v>
      </c>
      <c r="W375" s="65" t="s">
        <v>1923</v>
      </c>
      <c r="X375" s="65" t="s">
        <v>2850</v>
      </c>
      <c r="Y375" s="65" t="s">
        <v>2983</v>
      </c>
      <c r="Z375" s="65" t="s">
        <v>4</v>
      </c>
      <c r="AA375" s="65" t="s">
        <v>2850</v>
      </c>
    </row>
    <row r="376" spans="1:27" ht="17.45" customHeight="1">
      <c r="A376" s="131" t="str">
        <f>IF(priority(Main[[#This Row],[Comments]])&lt;&gt;0, priority(Main[[#This Row],[Comments]]),"")</f>
        <v/>
      </c>
      <c r="B376" s="99" t="s">
        <v>1233</v>
      </c>
      <c r="C376" s="65" t="s">
        <v>4</v>
      </c>
      <c r="D376" s="66" t="s">
        <v>293</v>
      </c>
      <c r="E376" s="67"/>
      <c r="F376" s="67"/>
      <c r="G376" s="64" t="str">
        <f>IF(stdProdLT(Main[[#This Row],[Comments]])=0.1,"N/A",IF(stdProdLT(Main[[#This Row],[Comments]])=0,"",stdProdLT(Main[[#This Row],[Comments]])))</f>
        <v/>
      </c>
      <c r="H376" s="68" t="str">
        <f>IF(AND(Main[[#This Row],[In Stock Date]]&lt;&gt;"",Main[[#This Row],[Revised Due Date]]&lt;&gt;""),Main[[#This Row],[In Stock Date]]-Main[[#This Row],[Revised Due Date]],"")</f>
        <v/>
      </c>
      <c r="I376" s="65" t="s">
        <v>4</v>
      </c>
      <c r="J376" s="65" t="s">
        <v>28</v>
      </c>
      <c r="K376" s="65" t="s">
        <v>4</v>
      </c>
      <c r="L376" s="67"/>
      <c r="M376" s="69" t="str">
        <f>IF(Main[[#This Row],[Tech Start Date]]&lt;1/1/1990,"",IF(Main[[#This Row],[Class]]="C",WORKDAY(Main[[#This Row],[Tech Start Date]],9),IF(Main[[#This Row],[Class]]="B", WORKDAY(Main[[#This Row],[Tech Start Date]],6),IF(Main[[#This Row],[Class]]="A",WORKDAY(Main[[#This Row],[Tech Start Date]],2),""))))</f>
        <v/>
      </c>
      <c r="N376" s="69" t="str">
        <f>IF(Main[[#This Row],[Tech Start Date]]&lt;1/1/1990,"",IF(Main[[#This Row],[Class]]="C",WORKDAY(Main[[#This Row],[Tech Start Date]],19),IF(Main[[#This Row],[Class]]="B", WORKDAY(Main[[#This Row],[Tech Start Date]],12),IF(Main[[#This Row],[Class]]="A",WORKDAY(Main[[#This Row],[Tech Start Date]],4),""))))</f>
        <v/>
      </c>
      <c r="O376" s="69" t="str">
        <f>IF(Main[[#This Row],[Tech Start Date]]&lt;1/1/1990,"",IF(Main[[#This Row],[Class]]="C",WORKDAY(Main[[#This Row],[Tech Start Date]],23),IF(Main[[#This Row],[Class]]="B", WORKDAY(Main[[#This Row],[Tech Start Date]],15),IF(Main[[#This Row],[Class]]="A",WORKDAY(Main[[#This Row],[Tech Start Date]],5),""))))</f>
        <v/>
      </c>
      <c r="P376" s="69" t="str">
        <f>IF(Main[[#This Row],[Tech Start Date]]&lt;1/1/1990,"",IF(Main[[#This Row],[Class]]="C",WORKDAY(Main[[#This Row],[Tech Start Date]],28),IF(Main[[#This Row],[Class]]="B", WORKDAY(Main[[#This Row],[Tech Start Date]],19),IF(Main[[#This Row],[Class]]="A",WORKDAY(Main[[#This Row],[Tech Start Date]],9),""))))</f>
        <v/>
      </c>
      <c r="Q376" s="67">
        <v>40471</v>
      </c>
      <c r="R376" s="67"/>
      <c r="S376" s="65" t="s">
        <v>6</v>
      </c>
      <c r="T376" s="70" t="s">
        <v>4</v>
      </c>
      <c r="U376" s="65" t="s">
        <v>14</v>
      </c>
      <c r="V376" s="65" t="s">
        <v>1927</v>
      </c>
      <c r="W376" s="65" t="s">
        <v>1919</v>
      </c>
      <c r="X376" s="65" t="s">
        <v>2853</v>
      </c>
      <c r="Y376" s="65" t="s">
        <v>2984</v>
      </c>
      <c r="Z376" s="65" t="s">
        <v>530</v>
      </c>
      <c r="AA376" s="65" t="s">
        <v>2853</v>
      </c>
    </row>
    <row r="377" spans="1:27" ht="17.45" customHeight="1">
      <c r="A377" s="131" t="str">
        <f>IF(priority(Main[[#This Row],[Comments]])&lt;&gt;0, priority(Main[[#This Row],[Comments]]),"")</f>
        <v/>
      </c>
      <c r="B377" s="99" t="s">
        <v>1234</v>
      </c>
      <c r="C377" s="65" t="s">
        <v>4</v>
      </c>
      <c r="D377" s="66" t="s">
        <v>97</v>
      </c>
      <c r="E377" s="67"/>
      <c r="F377" s="67"/>
      <c r="G377" s="64" t="str">
        <f>IF(stdProdLT(Main[[#This Row],[Comments]])=0.1,"N/A",IF(stdProdLT(Main[[#This Row],[Comments]])=0,"",stdProdLT(Main[[#This Row],[Comments]])))</f>
        <v/>
      </c>
      <c r="H377" s="68" t="str">
        <f>IF(AND(Main[[#This Row],[In Stock Date]]&lt;&gt;"",Main[[#This Row],[Revised Due Date]]&lt;&gt;""),Main[[#This Row],[In Stock Date]]-Main[[#This Row],[Revised Due Date]],"")</f>
        <v/>
      </c>
      <c r="I377" s="65" t="s">
        <v>4</v>
      </c>
      <c r="J377" s="65" t="s">
        <v>4</v>
      </c>
      <c r="K377" s="65" t="s">
        <v>4</v>
      </c>
      <c r="L377" s="67"/>
      <c r="M377" s="69" t="str">
        <f>IF(Main[[#This Row],[Tech Start Date]]&lt;1/1/1990,"",IF(Main[[#This Row],[Class]]="C",WORKDAY(Main[[#This Row],[Tech Start Date]],9),IF(Main[[#This Row],[Class]]="B", WORKDAY(Main[[#This Row],[Tech Start Date]],6),IF(Main[[#This Row],[Class]]="A",WORKDAY(Main[[#This Row],[Tech Start Date]],2),""))))</f>
        <v/>
      </c>
      <c r="N377" s="69" t="str">
        <f>IF(Main[[#This Row],[Tech Start Date]]&lt;1/1/1990,"",IF(Main[[#This Row],[Class]]="C",WORKDAY(Main[[#This Row],[Tech Start Date]],19),IF(Main[[#This Row],[Class]]="B", WORKDAY(Main[[#This Row],[Tech Start Date]],12),IF(Main[[#This Row],[Class]]="A",WORKDAY(Main[[#This Row],[Tech Start Date]],4),""))))</f>
        <v/>
      </c>
      <c r="O377" s="69" t="str">
        <f>IF(Main[[#This Row],[Tech Start Date]]&lt;1/1/1990,"",IF(Main[[#This Row],[Class]]="C",WORKDAY(Main[[#This Row],[Tech Start Date]],23),IF(Main[[#This Row],[Class]]="B", WORKDAY(Main[[#This Row],[Tech Start Date]],15),IF(Main[[#This Row],[Class]]="A",WORKDAY(Main[[#This Row],[Tech Start Date]],5),""))))</f>
        <v/>
      </c>
      <c r="P377" s="69" t="str">
        <f>IF(Main[[#This Row],[Tech Start Date]]&lt;1/1/1990,"",IF(Main[[#This Row],[Class]]="C",WORKDAY(Main[[#This Row],[Tech Start Date]],28),IF(Main[[#This Row],[Class]]="B", WORKDAY(Main[[#This Row],[Tech Start Date]],19),IF(Main[[#This Row],[Class]]="A",WORKDAY(Main[[#This Row],[Tech Start Date]],9),""))))</f>
        <v/>
      </c>
      <c r="Q377" s="67">
        <v>40858</v>
      </c>
      <c r="R377" s="67"/>
      <c r="S377" s="65" t="s">
        <v>17</v>
      </c>
      <c r="T377" s="70" t="s">
        <v>4</v>
      </c>
      <c r="U377" s="65" t="s">
        <v>14</v>
      </c>
      <c r="V377" s="65" t="s">
        <v>1917</v>
      </c>
      <c r="W377" s="65" t="s">
        <v>1922</v>
      </c>
      <c r="X377" s="65" t="s">
        <v>50</v>
      </c>
      <c r="Y377" s="65" t="s">
        <v>2965</v>
      </c>
      <c r="Z377" s="65" t="s">
        <v>4</v>
      </c>
      <c r="AA377" s="65" t="s">
        <v>2834</v>
      </c>
    </row>
    <row r="378" spans="1:27" ht="17.45" customHeight="1">
      <c r="A378" s="131" t="str">
        <f>IF(priority(Main[[#This Row],[Comments]])&lt;&gt;0, priority(Main[[#This Row],[Comments]]),"")</f>
        <v/>
      </c>
      <c r="B378" s="99" t="s">
        <v>1236</v>
      </c>
      <c r="C378" s="65" t="s">
        <v>4</v>
      </c>
      <c r="D378" s="66" t="s">
        <v>295</v>
      </c>
      <c r="E378" s="67"/>
      <c r="F378" s="67"/>
      <c r="G378" s="64" t="str">
        <f>IF(stdProdLT(Main[[#This Row],[Comments]])=0.1,"N/A",IF(stdProdLT(Main[[#This Row],[Comments]])=0,"",stdProdLT(Main[[#This Row],[Comments]])))</f>
        <v/>
      </c>
      <c r="H378" s="68" t="str">
        <f>IF(AND(Main[[#This Row],[In Stock Date]]&lt;&gt;"",Main[[#This Row],[Revised Due Date]]&lt;&gt;""),Main[[#This Row],[In Stock Date]]-Main[[#This Row],[Revised Due Date]],"")</f>
        <v/>
      </c>
      <c r="I378" s="65" t="s">
        <v>4</v>
      </c>
      <c r="J378" s="65" t="s">
        <v>28</v>
      </c>
      <c r="K378" s="65" t="s">
        <v>4</v>
      </c>
      <c r="L378" s="67"/>
      <c r="M378" s="69" t="str">
        <f>IF(Main[[#This Row],[Tech Start Date]]&lt;1/1/1990,"",IF(Main[[#This Row],[Class]]="C",WORKDAY(Main[[#This Row],[Tech Start Date]],9),IF(Main[[#This Row],[Class]]="B", WORKDAY(Main[[#This Row],[Tech Start Date]],6),IF(Main[[#This Row],[Class]]="A",WORKDAY(Main[[#This Row],[Tech Start Date]],2),""))))</f>
        <v/>
      </c>
      <c r="N378" s="69" t="str">
        <f>IF(Main[[#This Row],[Tech Start Date]]&lt;1/1/1990,"",IF(Main[[#This Row],[Class]]="C",WORKDAY(Main[[#This Row],[Tech Start Date]],19),IF(Main[[#This Row],[Class]]="B", WORKDAY(Main[[#This Row],[Tech Start Date]],12),IF(Main[[#This Row],[Class]]="A",WORKDAY(Main[[#This Row],[Tech Start Date]],4),""))))</f>
        <v/>
      </c>
      <c r="O378" s="69" t="str">
        <f>IF(Main[[#This Row],[Tech Start Date]]&lt;1/1/1990,"",IF(Main[[#This Row],[Class]]="C",WORKDAY(Main[[#This Row],[Tech Start Date]],23),IF(Main[[#This Row],[Class]]="B", WORKDAY(Main[[#This Row],[Tech Start Date]],15),IF(Main[[#This Row],[Class]]="A",WORKDAY(Main[[#This Row],[Tech Start Date]],5),""))))</f>
        <v/>
      </c>
      <c r="P378" s="69" t="str">
        <f>IF(Main[[#This Row],[Tech Start Date]]&lt;1/1/1990,"",IF(Main[[#This Row],[Class]]="C",WORKDAY(Main[[#This Row],[Tech Start Date]],28),IF(Main[[#This Row],[Class]]="B", WORKDAY(Main[[#This Row],[Tech Start Date]],19),IF(Main[[#This Row],[Class]]="A",WORKDAY(Main[[#This Row],[Tech Start Date]],9),""))))</f>
        <v/>
      </c>
      <c r="Q378" s="67">
        <v>40471</v>
      </c>
      <c r="R378" s="67"/>
      <c r="S378" s="65" t="s">
        <v>296</v>
      </c>
      <c r="T378" s="70" t="s">
        <v>4</v>
      </c>
      <c r="U378" s="65" t="s">
        <v>14</v>
      </c>
      <c r="V378" s="65" t="s">
        <v>1927</v>
      </c>
      <c r="W378" s="65" t="s">
        <v>1919</v>
      </c>
      <c r="X378" s="65" t="s">
        <v>2853</v>
      </c>
      <c r="Y378" s="65" t="s">
        <v>2984</v>
      </c>
      <c r="Z378" s="65" t="s">
        <v>530</v>
      </c>
      <c r="AA378" s="65" t="s">
        <v>2853</v>
      </c>
    </row>
    <row r="379" spans="1:27" ht="17.45" customHeight="1">
      <c r="A379" s="131" t="str">
        <f>IF(priority(Main[[#This Row],[Comments]])&lt;&gt;0, priority(Main[[#This Row],[Comments]]),"")</f>
        <v/>
      </c>
      <c r="B379" s="99" t="s">
        <v>1237</v>
      </c>
      <c r="C379" s="65" t="s">
        <v>93</v>
      </c>
      <c r="D379" s="66" t="s">
        <v>297</v>
      </c>
      <c r="E379" s="67"/>
      <c r="F379" s="67">
        <v>40210</v>
      </c>
      <c r="G379" s="64" t="str">
        <f>IF(stdProdLT(Main[[#This Row],[Comments]])=0.1,"N/A",IF(stdProdLT(Main[[#This Row],[Comments]])=0,"",stdProdLT(Main[[#This Row],[Comments]])))</f>
        <v/>
      </c>
      <c r="H379" s="68" t="str">
        <f>IF(AND(Main[[#This Row],[In Stock Date]]&lt;&gt;"",Main[[#This Row],[Revised Due Date]]&lt;&gt;""),Main[[#This Row],[In Stock Date]]-Main[[#This Row],[Revised Due Date]],"")</f>
        <v/>
      </c>
      <c r="I379" s="65" t="s">
        <v>4</v>
      </c>
      <c r="J379" s="65" t="s">
        <v>4</v>
      </c>
      <c r="K379" s="65" t="s">
        <v>4</v>
      </c>
      <c r="L379" s="67"/>
      <c r="M379" s="69" t="str">
        <f>IF(Main[[#This Row],[Tech Start Date]]&lt;1/1/1990,"",IF(Main[[#This Row],[Class]]="C",WORKDAY(Main[[#This Row],[Tech Start Date]],9),IF(Main[[#This Row],[Class]]="B", WORKDAY(Main[[#This Row],[Tech Start Date]],6),IF(Main[[#This Row],[Class]]="A",WORKDAY(Main[[#This Row],[Tech Start Date]],2),""))))</f>
        <v/>
      </c>
      <c r="N379" s="69" t="str">
        <f>IF(Main[[#This Row],[Tech Start Date]]&lt;1/1/1990,"",IF(Main[[#This Row],[Class]]="C",WORKDAY(Main[[#This Row],[Tech Start Date]],19),IF(Main[[#This Row],[Class]]="B", WORKDAY(Main[[#This Row],[Tech Start Date]],12),IF(Main[[#This Row],[Class]]="A",WORKDAY(Main[[#This Row],[Tech Start Date]],4),""))))</f>
        <v/>
      </c>
      <c r="O379" s="69" t="str">
        <f>IF(Main[[#This Row],[Tech Start Date]]&lt;1/1/1990,"",IF(Main[[#This Row],[Class]]="C",WORKDAY(Main[[#This Row],[Tech Start Date]],23),IF(Main[[#This Row],[Class]]="B", WORKDAY(Main[[#This Row],[Tech Start Date]],15),IF(Main[[#This Row],[Class]]="A",WORKDAY(Main[[#This Row],[Tech Start Date]],5),""))))</f>
        <v/>
      </c>
      <c r="P379" s="69" t="str">
        <f>IF(Main[[#This Row],[Tech Start Date]]&lt;1/1/1990,"",IF(Main[[#This Row],[Class]]="C",WORKDAY(Main[[#This Row],[Tech Start Date]],28),IF(Main[[#This Row],[Class]]="B", WORKDAY(Main[[#This Row],[Tech Start Date]],19),IF(Main[[#This Row],[Class]]="A",WORKDAY(Main[[#This Row],[Tech Start Date]],9),""))))</f>
        <v/>
      </c>
      <c r="Q379" s="67">
        <v>40145</v>
      </c>
      <c r="R379" s="67"/>
      <c r="S379" s="65" t="s">
        <v>11</v>
      </c>
      <c r="T379" s="70" t="s">
        <v>4</v>
      </c>
      <c r="U379" s="65" t="s">
        <v>14</v>
      </c>
      <c r="V379" s="65" t="s">
        <v>1917</v>
      </c>
      <c r="W379" s="65" t="s">
        <v>1923</v>
      </c>
      <c r="X379" s="65" t="s">
        <v>2877</v>
      </c>
      <c r="Y379" s="65" t="s">
        <v>4</v>
      </c>
      <c r="Z379" s="65" t="s">
        <v>4</v>
      </c>
      <c r="AA379" s="65" t="s">
        <v>2877</v>
      </c>
    </row>
    <row r="380" spans="1:27" ht="17.45" customHeight="1">
      <c r="A380" s="131" t="str">
        <f>IF(priority(Main[[#This Row],[Comments]])&lt;&gt;0, priority(Main[[#This Row],[Comments]]),"")</f>
        <v/>
      </c>
      <c r="B380" s="99" t="s">
        <v>1238</v>
      </c>
      <c r="C380" s="65" t="s">
        <v>63</v>
      </c>
      <c r="D380" s="66" t="s">
        <v>298</v>
      </c>
      <c r="E380" s="67"/>
      <c r="F380" s="67">
        <v>40513</v>
      </c>
      <c r="G380" s="64" t="str">
        <f>IF(stdProdLT(Main[[#This Row],[Comments]])=0.1,"N/A",IF(stdProdLT(Main[[#This Row],[Comments]])=0,"",stdProdLT(Main[[#This Row],[Comments]])))</f>
        <v/>
      </c>
      <c r="H380" s="68" t="str">
        <f>IF(AND(Main[[#This Row],[In Stock Date]]&lt;&gt;"",Main[[#This Row],[Revised Due Date]]&lt;&gt;""),Main[[#This Row],[In Stock Date]]-Main[[#This Row],[Revised Due Date]],"")</f>
        <v/>
      </c>
      <c r="I380" s="65" t="s">
        <v>65</v>
      </c>
      <c r="J380" s="65" t="s">
        <v>28</v>
      </c>
      <c r="K380" s="65" t="s">
        <v>4</v>
      </c>
      <c r="L380" s="67"/>
      <c r="M380" s="69" t="str">
        <f>IF(Main[[#This Row],[Tech Start Date]]&lt;1/1/1990,"",IF(Main[[#This Row],[Class]]="C",WORKDAY(Main[[#This Row],[Tech Start Date]],9),IF(Main[[#This Row],[Class]]="B", WORKDAY(Main[[#This Row],[Tech Start Date]],6),IF(Main[[#This Row],[Class]]="A",WORKDAY(Main[[#This Row],[Tech Start Date]],2),""))))</f>
        <v/>
      </c>
      <c r="N380" s="69" t="str">
        <f>IF(Main[[#This Row],[Tech Start Date]]&lt;1/1/1990,"",IF(Main[[#This Row],[Class]]="C",WORKDAY(Main[[#This Row],[Tech Start Date]],19),IF(Main[[#This Row],[Class]]="B", WORKDAY(Main[[#This Row],[Tech Start Date]],12),IF(Main[[#This Row],[Class]]="A",WORKDAY(Main[[#This Row],[Tech Start Date]],4),""))))</f>
        <v/>
      </c>
      <c r="O380" s="69" t="str">
        <f>IF(Main[[#This Row],[Tech Start Date]]&lt;1/1/1990,"",IF(Main[[#This Row],[Class]]="C",WORKDAY(Main[[#This Row],[Tech Start Date]],23),IF(Main[[#This Row],[Class]]="B", WORKDAY(Main[[#This Row],[Tech Start Date]],15),IF(Main[[#This Row],[Class]]="A",WORKDAY(Main[[#This Row],[Tech Start Date]],5),""))))</f>
        <v/>
      </c>
      <c r="P380" s="69" t="str">
        <f>IF(Main[[#This Row],[Tech Start Date]]&lt;1/1/1990,"",IF(Main[[#This Row],[Class]]="C",WORKDAY(Main[[#This Row],[Tech Start Date]],28),IF(Main[[#This Row],[Class]]="B", WORKDAY(Main[[#This Row],[Tech Start Date]],19),IF(Main[[#This Row],[Class]]="A",WORKDAY(Main[[#This Row],[Tech Start Date]],9),""))))</f>
        <v/>
      </c>
      <c r="Q380" s="67">
        <v>40513</v>
      </c>
      <c r="R380" s="67"/>
      <c r="S380" s="65" t="s">
        <v>11</v>
      </c>
      <c r="T380" s="70" t="s">
        <v>4</v>
      </c>
      <c r="U380" s="65" t="s">
        <v>14</v>
      </c>
      <c r="V380" s="65" t="s">
        <v>1920</v>
      </c>
      <c r="W380" s="65" t="s">
        <v>1925</v>
      </c>
      <c r="X380" s="65" t="s">
        <v>2821</v>
      </c>
      <c r="Y380" s="65" t="s">
        <v>2933</v>
      </c>
      <c r="Z380" s="65" t="s">
        <v>530</v>
      </c>
      <c r="AA380" s="65" t="s">
        <v>2821</v>
      </c>
    </row>
    <row r="381" spans="1:27" ht="17.45" customHeight="1">
      <c r="A381" s="131" t="str">
        <f>IF(priority(Main[[#This Row],[Comments]])&lt;&gt;0, priority(Main[[#This Row],[Comments]]),"")</f>
        <v/>
      </c>
      <c r="B381" s="99" t="s">
        <v>1239</v>
      </c>
      <c r="C381" s="65" t="s">
        <v>4</v>
      </c>
      <c r="D381" s="66" t="s">
        <v>300</v>
      </c>
      <c r="E381" s="67"/>
      <c r="F381" s="67"/>
      <c r="G381" s="64" t="str">
        <f>IF(stdProdLT(Main[[#This Row],[Comments]])=0.1,"N/A",IF(stdProdLT(Main[[#This Row],[Comments]])=0,"",stdProdLT(Main[[#This Row],[Comments]])))</f>
        <v/>
      </c>
      <c r="H381" s="68" t="str">
        <f>IF(AND(Main[[#This Row],[In Stock Date]]&lt;&gt;"",Main[[#This Row],[Revised Due Date]]&lt;&gt;""),Main[[#This Row],[In Stock Date]]-Main[[#This Row],[Revised Due Date]],"")</f>
        <v/>
      </c>
      <c r="I381" s="65" t="s">
        <v>4</v>
      </c>
      <c r="J381" s="65" t="s">
        <v>28</v>
      </c>
      <c r="K381" s="65" t="s">
        <v>1926</v>
      </c>
      <c r="L381" s="67"/>
      <c r="M381" s="69" t="str">
        <f>IF(Main[[#This Row],[Tech Start Date]]&lt;1/1/1990,"",IF(Main[[#This Row],[Class]]="C",WORKDAY(Main[[#This Row],[Tech Start Date]],9),IF(Main[[#This Row],[Class]]="B", WORKDAY(Main[[#This Row],[Tech Start Date]],6),IF(Main[[#This Row],[Class]]="A",WORKDAY(Main[[#This Row],[Tech Start Date]],2),""))))</f>
        <v/>
      </c>
      <c r="N381" s="69" t="str">
        <f>IF(Main[[#This Row],[Tech Start Date]]&lt;1/1/1990,"",IF(Main[[#This Row],[Class]]="C",WORKDAY(Main[[#This Row],[Tech Start Date]],19),IF(Main[[#This Row],[Class]]="B", WORKDAY(Main[[#This Row],[Tech Start Date]],12),IF(Main[[#This Row],[Class]]="A",WORKDAY(Main[[#This Row],[Tech Start Date]],4),""))))</f>
        <v/>
      </c>
      <c r="O381" s="69" t="str">
        <f>IF(Main[[#This Row],[Tech Start Date]]&lt;1/1/1990,"",IF(Main[[#This Row],[Class]]="C",WORKDAY(Main[[#This Row],[Tech Start Date]],23),IF(Main[[#This Row],[Class]]="B", WORKDAY(Main[[#This Row],[Tech Start Date]],15),IF(Main[[#This Row],[Class]]="A",WORKDAY(Main[[#This Row],[Tech Start Date]],5),""))))</f>
        <v/>
      </c>
      <c r="P381" s="69" t="str">
        <f>IF(Main[[#This Row],[Tech Start Date]]&lt;1/1/1990,"",IF(Main[[#This Row],[Class]]="C",WORKDAY(Main[[#This Row],[Tech Start Date]],28),IF(Main[[#This Row],[Class]]="B", WORKDAY(Main[[#This Row],[Tech Start Date]],19),IF(Main[[#This Row],[Class]]="A",WORKDAY(Main[[#This Row],[Tech Start Date]],9),""))))</f>
        <v/>
      </c>
      <c r="Q381" s="67">
        <v>40661</v>
      </c>
      <c r="R381" s="67"/>
      <c r="S381" s="65" t="s">
        <v>6</v>
      </c>
      <c r="T381" s="70" t="s">
        <v>4</v>
      </c>
      <c r="U381" s="65" t="s">
        <v>14</v>
      </c>
      <c r="V381" s="65" t="s">
        <v>1920</v>
      </c>
      <c r="W381" s="65" t="s">
        <v>1921</v>
      </c>
      <c r="X381" s="65" t="s">
        <v>2828</v>
      </c>
      <c r="Y381" s="65" t="s">
        <v>2944</v>
      </c>
      <c r="Z381" s="65" t="s">
        <v>530</v>
      </c>
      <c r="AA381" s="65" t="s">
        <v>2828</v>
      </c>
    </row>
    <row r="382" spans="1:27" ht="17.45" customHeight="1">
      <c r="A382" s="131" t="str">
        <f>IF(priority(Main[[#This Row],[Comments]])&lt;&gt;0, priority(Main[[#This Row],[Comments]]),"")</f>
        <v/>
      </c>
      <c r="B382" s="99" t="s">
        <v>1240</v>
      </c>
      <c r="C382" s="65" t="s">
        <v>4</v>
      </c>
      <c r="D382" s="66" t="s">
        <v>301</v>
      </c>
      <c r="E382" s="67"/>
      <c r="F382" s="67"/>
      <c r="G382" s="64" t="str">
        <f>IF(stdProdLT(Main[[#This Row],[Comments]])=0.1,"N/A",IF(stdProdLT(Main[[#This Row],[Comments]])=0,"",stdProdLT(Main[[#This Row],[Comments]])))</f>
        <v/>
      </c>
      <c r="H382" s="68" t="str">
        <f>IF(AND(Main[[#This Row],[In Stock Date]]&lt;&gt;"",Main[[#This Row],[Revised Due Date]]&lt;&gt;""),Main[[#This Row],[In Stock Date]]-Main[[#This Row],[Revised Due Date]],"")</f>
        <v/>
      </c>
      <c r="I382" s="65" t="s">
        <v>4</v>
      </c>
      <c r="J382" s="65" t="s">
        <v>4</v>
      </c>
      <c r="K382" s="65" t="s">
        <v>4</v>
      </c>
      <c r="L382" s="67"/>
      <c r="M382" s="69" t="str">
        <f>IF(Main[[#This Row],[Tech Start Date]]&lt;1/1/1990,"",IF(Main[[#This Row],[Class]]="C",WORKDAY(Main[[#This Row],[Tech Start Date]],9),IF(Main[[#This Row],[Class]]="B", WORKDAY(Main[[#This Row],[Tech Start Date]],6),IF(Main[[#This Row],[Class]]="A",WORKDAY(Main[[#This Row],[Tech Start Date]],2),""))))</f>
        <v/>
      </c>
      <c r="N382" s="69" t="str">
        <f>IF(Main[[#This Row],[Tech Start Date]]&lt;1/1/1990,"",IF(Main[[#This Row],[Class]]="C",WORKDAY(Main[[#This Row],[Tech Start Date]],19),IF(Main[[#This Row],[Class]]="B", WORKDAY(Main[[#This Row],[Tech Start Date]],12),IF(Main[[#This Row],[Class]]="A",WORKDAY(Main[[#This Row],[Tech Start Date]],4),""))))</f>
        <v/>
      </c>
      <c r="O382" s="69" t="str">
        <f>IF(Main[[#This Row],[Tech Start Date]]&lt;1/1/1990,"",IF(Main[[#This Row],[Class]]="C",WORKDAY(Main[[#This Row],[Tech Start Date]],23),IF(Main[[#This Row],[Class]]="B", WORKDAY(Main[[#This Row],[Tech Start Date]],15),IF(Main[[#This Row],[Class]]="A",WORKDAY(Main[[#This Row],[Tech Start Date]],5),""))))</f>
        <v/>
      </c>
      <c r="P382" s="69" t="str">
        <f>IF(Main[[#This Row],[Tech Start Date]]&lt;1/1/1990,"",IF(Main[[#This Row],[Class]]="C",WORKDAY(Main[[#This Row],[Tech Start Date]],28),IF(Main[[#This Row],[Class]]="B", WORKDAY(Main[[#This Row],[Tech Start Date]],19),IF(Main[[#This Row],[Class]]="A",WORKDAY(Main[[#This Row],[Tech Start Date]],9),""))))</f>
        <v/>
      </c>
      <c r="Q382" s="67">
        <v>40287</v>
      </c>
      <c r="R382" s="67"/>
      <c r="S382" s="65" t="s">
        <v>11</v>
      </c>
      <c r="T382" s="70" t="s">
        <v>4</v>
      </c>
      <c r="U382" s="65" t="s">
        <v>14</v>
      </c>
      <c r="V382" s="65" t="s">
        <v>1917</v>
      </c>
      <c r="W382" s="65" t="s">
        <v>1923</v>
      </c>
      <c r="X382" s="65" t="s">
        <v>885</v>
      </c>
      <c r="Y382" s="65" t="s">
        <v>2969</v>
      </c>
      <c r="Z382" s="65" t="s">
        <v>4</v>
      </c>
      <c r="AA382" s="65" t="s">
        <v>885</v>
      </c>
    </row>
    <row r="383" spans="1:27" ht="17.45" customHeight="1">
      <c r="A383" s="131" t="str">
        <f>IF(priority(Main[[#This Row],[Comments]])&lt;&gt;0, priority(Main[[#This Row],[Comments]]),"")</f>
        <v/>
      </c>
      <c r="B383" s="99" t="s">
        <v>1241</v>
      </c>
      <c r="C383" s="65" t="s">
        <v>93</v>
      </c>
      <c r="D383" s="66" t="s">
        <v>302</v>
      </c>
      <c r="E383" s="67"/>
      <c r="F383" s="67">
        <v>40210</v>
      </c>
      <c r="G383" s="64" t="str">
        <f>IF(stdProdLT(Main[[#This Row],[Comments]])=0.1,"N/A",IF(stdProdLT(Main[[#This Row],[Comments]])=0,"",stdProdLT(Main[[#This Row],[Comments]])))</f>
        <v/>
      </c>
      <c r="H383" s="68" t="str">
        <f>IF(AND(Main[[#This Row],[In Stock Date]]&lt;&gt;"",Main[[#This Row],[Revised Due Date]]&lt;&gt;""),Main[[#This Row],[In Stock Date]]-Main[[#This Row],[Revised Due Date]],"")</f>
        <v/>
      </c>
      <c r="I383" s="65" t="s">
        <v>4</v>
      </c>
      <c r="J383" s="65" t="s">
        <v>4</v>
      </c>
      <c r="K383" s="65" t="s">
        <v>4</v>
      </c>
      <c r="L383" s="67"/>
      <c r="M383" s="69" t="str">
        <f>IF(Main[[#This Row],[Tech Start Date]]&lt;1/1/1990,"",IF(Main[[#This Row],[Class]]="C",WORKDAY(Main[[#This Row],[Tech Start Date]],9),IF(Main[[#This Row],[Class]]="B", WORKDAY(Main[[#This Row],[Tech Start Date]],6),IF(Main[[#This Row],[Class]]="A",WORKDAY(Main[[#This Row],[Tech Start Date]],2),""))))</f>
        <v/>
      </c>
      <c r="N383" s="69" t="str">
        <f>IF(Main[[#This Row],[Tech Start Date]]&lt;1/1/1990,"",IF(Main[[#This Row],[Class]]="C",WORKDAY(Main[[#This Row],[Tech Start Date]],19),IF(Main[[#This Row],[Class]]="B", WORKDAY(Main[[#This Row],[Tech Start Date]],12),IF(Main[[#This Row],[Class]]="A",WORKDAY(Main[[#This Row],[Tech Start Date]],4),""))))</f>
        <v/>
      </c>
      <c r="O383" s="69" t="str">
        <f>IF(Main[[#This Row],[Tech Start Date]]&lt;1/1/1990,"",IF(Main[[#This Row],[Class]]="C",WORKDAY(Main[[#This Row],[Tech Start Date]],23),IF(Main[[#This Row],[Class]]="B", WORKDAY(Main[[#This Row],[Tech Start Date]],15),IF(Main[[#This Row],[Class]]="A",WORKDAY(Main[[#This Row],[Tech Start Date]],5),""))))</f>
        <v/>
      </c>
      <c r="P383" s="69" t="str">
        <f>IF(Main[[#This Row],[Tech Start Date]]&lt;1/1/1990,"",IF(Main[[#This Row],[Class]]="C",WORKDAY(Main[[#This Row],[Tech Start Date]],28),IF(Main[[#This Row],[Class]]="B", WORKDAY(Main[[#This Row],[Tech Start Date]],19),IF(Main[[#This Row],[Class]]="A",WORKDAY(Main[[#This Row],[Tech Start Date]],9),""))))</f>
        <v/>
      </c>
      <c r="Q383" s="67">
        <v>40210</v>
      </c>
      <c r="R383" s="67"/>
      <c r="S383" s="65" t="s">
        <v>11</v>
      </c>
      <c r="T383" s="70" t="s">
        <v>4</v>
      </c>
      <c r="U383" s="65" t="s">
        <v>12</v>
      </c>
      <c r="V383" s="65" t="s">
        <v>1927</v>
      </c>
      <c r="W383" s="65" t="s">
        <v>1928</v>
      </c>
      <c r="X383" s="65" t="s">
        <v>2851</v>
      </c>
      <c r="Y383" s="65" t="s">
        <v>4</v>
      </c>
      <c r="Z383" s="65" t="s">
        <v>4</v>
      </c>
      <c r="AA383" s="65" t="s">
        <v>2851</v>
      </c>
    </row>
    <row r="384" spans="1:27" ht="17.45" customHeight="1">
      <c r="A384" s="131" t="str">
        <f>IF(priority(Main[[#This Row],[Comments]])&lt;&gt;0, priority(Main[[#This Row],[Comments]]),"")</f>
        <v/>
      </c>
      <c r="B384" s="99" t="s">
        <v>2716</v>
      </c>
      <c r="C384" s="65" t="s">
        <v>4</v>
      </c>
      <c r="D384" s="66" t="s">
        <v>2717</v>
      </c>
      <c r="E384" s="67">
        <v>40897.76525462963</v>
      </c>
      <c r="F384" s="67"/>
      <c r="G384" s="64" t="str">
        <f>IF(stdProdLT(Main[[#This Row],[Comments]])=0.1,"N/A",IF(stdProdLT(Main[[#This Row],[Comments]])=0,"",stdProdLT(Main[[#This Row],[Comments]])))</f>
        <v/>
      </c>
      <c r="H384" s="68" t="str">
        <f>IF(AND(Main[[#This Row],[In Stock Date]]&lt;&gt;"",Main[[#This Row],[Revised Due Date]]&lt;&gt;""),Main[[#This Row],[In Stock Date]]-Main[[#This Row],[Revised Due Date]],"")</f>
        <v/>
      </c>
      <c r="I384" s="65" t="s">
        <v>4</v>
      </c>
      <c r="J384" s="65" t="s">
        <v>4</v>
      </c>
      <c r="K384" s="71" t="s">
        <v>4</v>
      </c>
      <c r="L384" s="67"/>
      <c r="M384" s="69" t="str">
        <f>IF(Main[[#This Row],[Tech Start Date]]&lt;1/1/1990,"",IF(Main[[#This Row],[Class]]="C",WORKDAY(Main[[#This Row],[Tech Start Date]],9),IF(Main[[#This Row],[Class]]="B", WORKDAY(Main[[#This Row],[Tech Start Date]],6),IF(Main[[#This Row],[Class]]="A",WORKDAY(Main[[#This Row],[Tech Start Date]],2),""))))</f>
        <v/>
      </c>
      <c r="N384" s="69" t="str">
        <f>IF(Main[[#This Row],[Tech Start Date]]&lt;1/1/1990,"",IF(Main[[#This Row],[Class]]="C",WORKDAY(Main[[#This Row],[Tech Start Date]],19),IF(Main[[#This Row],[Class]]="B", WORKDAY(Main[[#This Row],[Tech Start Date]],12),IF(Main[[#This Row],[Class]]="A",WORKDAY(Main[[#This Row],[Tech Start Date]],4),""))))</f>
        <v/>
      </c>
      <c r="O384" s="69" t="str">
        <f>IF(Main[[#This Row],[Tech Start Date]]&lt;1/1/1990,"",IF(Main[[#This Row],[Class]]="C",WORKDAY(Main[[#This Row],[Tech Start Date]],23),IF(Main[[#This Row],[Class]]="B", WORKDAY(Main[[#This Row],[Tech Start Date]],15),IF(Main[[#This Row],[Class]]="A",WORKDAY(Main[[#This Row],[Tech Start Date]],5),""))))</f>
        <v/>
      </c>
      <c r="P384" s="69" t="str">
        <f>IF(Main[[#This Row],[Tech Start Date]]&lt;1/1/1990,"",IF(Main[[#This Row],[Class]]="C",WORKDAY(Main[[#This Row],[Tech Start Date]],28),IF(Main[[#This Row],[Class]]="B", WORKDAY(Main[[#This Row],[Tech Start Date]],19),IF(Main[[#This Row],[Class]]="A",WORKDAY(Main[[#This Row],[Tech Start Date]],9),""))))</f>
        <v/>
      </c>
      <c r="Q384" s="67">
        <v>40907</v>
      </c>
      <c r="R384" s="67"/>
      <c r="S384" s="65" t="s">
        <v>6</v>
      </c>
      <c r="T384" s="70" t="s">
        <v>4</v>
      </c>
      <c r="U384" s="65" t="s">
        <v>7</v>
      </c>
      <c r="V384" s="65" t="s">
        <v>1917</v>
      </c>
      <c r="W384" s="65" t="s">
        <v>4</v>
      </c>
      <c r="X384" s="65" t="s">
        <v>2825</v>
      </c>
      <c r="Y384" s="65" t="s">
        <v>2938</v>
      </c>
      <c r="Z384" s="65" t="s">
        <v>4</v>
      </c>
      <c r="AA384" s="65" t="s">
        <v>2825</v>
      </c>
    </row>
    <row r="385" spans="1:27" ht="17.45" customHeight="1">
      <c r="A385" s="131" t="str">
        <f>IF(priority(Main[[#This Row],[Comments]])&lt;&gt;0, priority(Main[[#This Row],[Comments]]),"")</f>
        <v/>
      </c>
      <c r="B385" s="99" t="s">
        <v>1242</v>
      </c>
      <c r="C385" s="65" t="s">
        <v>31</v>
      </c>
      <c r="D385" s="66" t="s">
        <v>303</v>
      </c>
      <c r="E385" s="67"/>
      <c r="F385" s="67">
        <v>40269</v>
      </c>
      <c r="G385" s="64" t="str">
        <f>IF(stdProdLT(Main[[#This Row],[Comments]])=0.1,"N/A",IF(stdProdLT(Main[[#This Row],[Comments]])=0,"",stdProdLT(Main[[#This Row],[Comments]])))</f>
        <v/>
      </c>
      <c r="H385" s="68" t="str">
        <f>IF(AND(Main[[#This Row],[In Stock Date]]&lt;&gt;"",Main[[#This Row],[Revised Due Date]]&lt;&gt;""),Main[[#This Row],[In Stock Date]]-Main[[#This Row],[Revised Due Date]],"")</f>
        <v/>
      </c>
      <c r="I385" s="65" t="s">
        <v>4</v>
      </c>
      <c r="J385" s="65" t="s">
        <v>4</v>
      </c>
      <c r="K385" s="65" t="s">
        <v>4</v>
      </c>
      <c r="L385" s="67"/>
      <c r="M385" s="69" t="str">
        <f>IF(Main[[#This Row],[Tech Start Date]]&lt;1/1/1990,"",IF(Main[[#This Row],[Class]]="C",WORKDAY(Main[[#This Row],[Tech Start Date]],9),IF(Main[[#This Row],[Class]]="B", WORKDAY(Main[[#This Row],[Tech Start Date]],6),IF(Main[[#This Row],[Class]]="A",WORKDAY(Main[[#This Row],[Tech Start Date]],2),""))))</f>
        <v/>
      </c>
      <c r="N385" s="69" t="str">
        <f>IF(Main[[#This Row],[Tech Start Date]]&lt;1/1/1990,"",IF(Main[[#This Row],[Class]]="C",WORKDAY(Main[[#This Row],[Tech Start Date]],19),IF(Main[[#This Row],[Class]]="B", WORKDAY(Main[[#This Row],[Tech Start Date]],12),IF(Main[[#This Row],[Class]]="A",WORKDAY(Main[[#This Row],[Tech Start Date]],4),""))))</f>
        <v/>
      </c>
      <c r="O385" s="69" t="str">
        <f>IF(Main[[#This Row],[Tech Start Date]]&lt;1/1/1990,"",IF(Main[[#This Row],[Class]]="C",WORKDAY(Main[[#This Row],[Tech Start Date]],23),IF(Main[[#This Row],[Class]]="B", WORKDAY(Main[[#This Row],[Tech Start Date]],15),IF(Main[[#This Row],[Class]]="A",WORKDAY(Main[[#This Row],[Tech Start Date]],5),""))))</f>
        <v/>
      </c>
      <c r="P385" s="69" t="str">
        <f>IF(Main[[#This Row],[Tech Start Date]]&lt;1/1/1990,"",IF(Main[[#This Row],[Class]]="C",WORKDAY(Main[[#This Row],[Tech Start Date]],28),IF(Main[[#This Row],[Class]]="B", WORKDAY(Main[[#This Row],[Tech Start Date]],19),IF(Main[[#This Row],[Class]]="A",WORKDAY(Main[[#This Row],[Tech Start Date]],9),""))))</f>
        <v/>
      </c>
      <c r="Q385" s="67">
        <v>40274</v>
      </c>
      <c r="R385" s="67"/>
      <c r="S385" s="65" t="s">
        <v>11</v>
      </c>
      <c r="T385" s="70" t="s">
        <v>4</v>
      </c>
      <c r="U385" s="65" t="s">
        <v>14</v>
      </c>
      <c r="V385" s="65" t="s">
        <v>1917</v>
      </c>
      <c r="W385" s="65" t="s">
        <v>1923</v>
      </c>
      <c r="X385" s="65" t="s">
        <v>2877</v>
      </c>
      <c r="Y385" s="65" t="s">
        <v>4</v>
      </c>
      <c r="Z385" s="65" t="s">
        <v>4</v>
      </c>
      <c r="AA385" s="65" t="s">
        <v>2877</v>
      </c>
    </row>
    <row r="386" spans="1:27" ht="17.45" customHeight="1">
      <c r="A386" s="131" t="str">
        <f>IF(priority(Main[[#This Row],[Comments]])&lt;&gt;0, priority(Main[[#This Row],[Comments]]),"")</f>
        <v/>
      </c>
      <c r="B386" s="99" t="s">
        <v>1243</v>
      </c>
      <c r="C386" s="65" t="s">
        <v>4</v>
      </c>
      <c r="D386" s="66" t="s">
        <v>304</v>
      </c>
      <c r="E386" s="67"/>
      <c r="F386" s="67">
        <v>40390</v>
      </c>
      <c r="G386" s="64" t="str">
        <f>IF(stdProdLT(Main[[#This Row],[Comments]])=0.1,"N/A",IF(stdProdLT(Main[[#This Row],[Comments]])=0,"",stdProdLT(Main[[#This Row],[Comments]])))</f>
        <v/>
      </c>
      <c r="H386" s="68" t="str">
        <f>IF(AND(Main[[#This Row],[In Stock Date]]&lt;&gt;"",Main[[#This Row],[Revised Due Date]]&lt;&gt;""),Main[[#This Row],[In Stock Date]]-Main[[#This Row],[Revised Due Date]],"")</f>
        <v/>
      </c>
      <c r="I386" s="65" t="s">
        <v>4</v>
      </c>
      <c r="J386" s="65" t="s">
        <v>4</v>
      </c>
      <c r="K386" s="65" t="s">
        <v>4</v>
      </c>
      <c r="L386" s="67"/>
      <c r="M386" s="69" t="str">
        <f>IF(Main[[#This Row],[Tech Start Date]]&lt;1/1/1990,"",IF(Main[[#This Row],[Class]]="C",WORKDAY(Main[[#This Row],[Tech Start Date]],9),IF(Main[[#This Row],[Class]]="B", WORKDAY(Main[[#This Row],[Tech Start Date]],6),IF(Main[[#This Row],[Class]]="A",WORKDAY(Main[[#This Row],[Tech Start Date]],2),""))))</f>
        <v/>
      </c>
      <c r="N386" s="69" t="str">
        <f>IF(Main[[#This Row],[Tech Start Date]]&lt;1/1/1990,"",IF(Main[[#This Row],[Class]]="C",WORKDAY(Main[[#This Row],[Tech Start Date]],19),IF(Main[[#This Row],[Class]]="B", WORKDAY(Main[[#This Row],[Tech Start Date]],12),IF(Main[[#This Row],[Class]]="A",WORKDAY(Main[[#This Row],[Tech Start Date]],4),""))))</f>
        <v/>
      </c>
      <c r="O386" s="69" t="str">
        <f>IF(Main[[#This Row],[Tech Start Date]]&lt;1/1/1990,"",IF(Main[[#This Row],[Class]]="C",WORKDAY(Main[[#This Row],[Tech Start Date]],23),IF(Main[[#This Row],[Class]]="B", WORKDAY(Main[[#This Row],[Tech Start Date]],15),IF(Main[[#This Row],[Class]]="A",WORKDAY(Main[[#This Row],[Tech Start Date]],5),""))))</f>
        <v/>
      </c>
      <c r="P386" s="69" t="str">
        <f>IF(Main[[#This Row],[Tech Start Date]]&lt;1/1/1990,"",IF(Main[[#This Row],[Class]]="C",WORKDAY(Main[[#This Row],[Tech Start Date]],28),IF(Main[[#This Row],[Class]]="B", WORKDAY(Main[[#This Row],[Tech Start Date]],19),IF(Main[[#This Row],[Class]]="A",WORKDAY(Main[[#This Row],[Tech Start Date]],9),""))))</f>
        <v/>
      </c>
      <c r="Q386" s="67">
        <v>40329</v>
      </c>
      <c r="R386" s="67"/>
      <c r="S386" s="65" t="s">
        <v>11</v>
      </c>
      <c r="T386" s="70" t="s">
        <v>4</v>
      </c>
      <c r="U386" s="65" t="s">
        <v>12</v>
      </c>
      <c r="V386" s="65" t="s">
        <v>1927</v>
      </c>
      <c r="W386" s="65" t="s">
        <v>1923</v>
      </c>
      <c r="X386" s="65" t="s">
        <v>2878</v>
      </c>
      <c r="Y386" s="65" t="s">
        <v>3002</v>
      </c>
      <c r="Z386" s="65" t="s">
        <v>4</v>
      </c>
      <c r="AA386" s="65" t="s">
        <v>2878</v>
      </c>
    </row>
    <row r="387" spans="1:27" ht="17.45" customHeight="1">
      <c r="A387" s="131" t="str">
        <f>IF(priority(Main[[#This Row],[Comments]])&lt;&gt;0, priority(Main[[#This Row],[Comments]]),"")</f>
        <v/>
      </c>
      <c r="B387" s="99" t="s">
        <v>1244</v>
      </c>
      <c r="C387" s="65" t="s">
        <v>4</v>
      </c>
      <c r="D387" s="66" t="s">
        <v>305</v>
      </c>
      <c r="E387" s="67"/>
      <c r="F387" s="67">
        <v>40574</v>
      </c>
      <c r="G387" s="64" t="str">
        <f>IF(stdProdLT(Main[[#This Row],[Comments]])=0.1,"N/A",IF(stdProdLT(Main[[#This Row],[Comments]])=0,"",stdProdLT(Main[[#This Row],[Comments]])))</f>
        <v/>
      </c>
      <c r="H387" s="68" t="str">
        <f>IF(AND(Main[[#This Row],[In Stock Date]]&lt;&gt;"",Main[[#This Row],[Revised Due Date]]&lt;&gt;""),Main[[#This Row],[In Stock Date]]-Main[[#This Row],[Revised Due Date]],"")</f>
        <v/>
      </c>
      <c r="I387" s="65" t="s">
        <v>306</v>
      </c>
      <c r="J387" s="65" t="s">
        <v>75</v>
      </c>
      <c r="K387" s="71" t="s">
        <v>1926</v>
      </c>
      <c r="L387" s="67"/>
      <c r="M387" s="69" t="str">
        <f>IF(Main[[#This Row],[Tech Start Date]]&lt;1/1/1990,"",IF(Main[[#This Row],[Class]]="C",WORKDAY(Main[[#This Row],[Tech Start Date]],9),IF(Main[[#This Row],[Class]]="B", WORKDAY(Main[[#This Row],[Tech Start Date]],6),IF(Main[[#This Row],[Class]]="A",WORKDAY(Main[[#This Row],[Tech Start Date]],2),""))))</f>
        <v/>
      </c>
      <c r="N387" s="69" t="str">
        <f>IF(Main[[#This Row],[Tech Start Date]]&lt;1/1/1990,"",IF(Main[[#This Row],[Class]]="C",WORKDAY(Main[[#This Row],[Tech Start Date]],19),IF(Main[[#This Row],[Class]]="B", WORKDAY(Main[[#This Row],[Tech Start Date]],12),IF(Main[[#This Row],[Class]]="A",WORKDAY(Main[[#This Row],[Tech Start Date]],4),""))))</f>
        <v/>
      </c>
      <c r="O387" s="69" t="str">
        <f>IF(Main[[#This Row],[Tech Start Date]]&lt;1/1/1990,"",IF(Main[[#This Row],[Class]]="C",WORKDAY(Main[[#This Row],[Tech Start Date]],23),IF(Main[[#This Row],[Class]]="B", WORKDAY(Main[[#This Row],[Tech Start Date]],15),IF(Main[[#This Row],[Class]]="A",WORKDAY(Main[[#This Row],[Tech Start Date]],5),""))))</f>
        <v/>
      </c>
      <c r="P387" s="69" t="str">
        <f>IF(Main[[#This Row],[Tech Start Date]]&lt;1/1/1990,"",IF(Main[[#This Row],[Class]]="C",WORKDAY(Main[[#This Row],[Tech Start Date]],28),IF(Main[[#This Row],[Class]]="B", WORKDAY(Main[[#This Row],[Tech Start Date]],19),IF(Main[[#This Row],[Class]]="A",WORKDAY(Main[[#This Row],[Tech Start Date]],9),""))))</f>
        <v/>
      </c>
      <c r="Q387" s="67">
        <v>40574</v>
      </c>
      <c r="R387" s="67"/>
      <c r="S387" s="65" t="s">
        <v>6</v>
      </c>
      <c r="T387" s="70" t="s">
        <v>4</v>
      </c>
      <c r="U387" s="65" t="s">
        <v>14</v>
      </c>
      <c r="V387" s="65" t="s">
        <v>1927</v>
      </c>
      <c r="W387" s="65" t="s">
        <v>1919</v>
      </c>
      <c r="X387" s="65" t="s">
        <v>2824</v>
      </c>
      <c r="Y387" s="65" t="s">
        <v>2935</v>
      </c>
      <c r="Z387" s="65" t="s">
        <v>30</v>
      </c>
      <c r="AA387" s="65" t="s">
        <v>2824</v>
      </c>
    </row>
    <row r="388" spans="1:27" ht="17.45" customHeight="1">
      <c r="A388" s="131" t="str">
        <f>IF(priority(Main[[#This Row],[Comments]])&lt;&gt;0, priority(Main[[#This Row],[Comments]]),"")</f>
        <v/>
      </c>
      <c r="B388" s="99" t="s">
        <v>1245</v>
      </c>
      <c r="C388" s="65" t="s">
        <v>169</v>
      </c>
      <c r="D388" s="66" t="s">
        <v>307</v>
      </c>
      <c r="E388" s="67"/>
      <c r="F388" s="67">
        <v>40237</v>
      </c>
      <c r="G388" s="64" t="str">
        <f>IF(stdProdLT(Main[[#This Row],[Comments]])=0.1,"N/A",IF(stdProdLT(Main[[#This Row],[Comments]])=0,"",stdProdLT(Main[[#This Row],[Comments]])))</f>
        <v/>
      </c>
      <c r="H388" s="68" t="str">
        <f>IF(AND(Main[[#This Row],[In Stock Date]]&lt;&gt;"",Main[[#This Row],[Revised Due Date]]&lt;&gt;""),Main[[#This Row],[In Stock Date]]-Main[[#This Row],[Revised Due Date]],"")</f>
        <v/>
      </c>
      <c r="I388" s="65" t="s">
        <v>4</v>
      </c>
      <c r="J388" s="65" t="s">
        <v>4</v>
      </c>
      <c r="K388" s="65" t="s">
        <v>4</v>
      </c>
      <c r="L388" s="67"/>
      <c r="M388" s="69" t="str">
        <f>IF(Main[[#This Row],[Tech Start Date]]&lt;1/1/1990,"",IF(Main[[#This Row],[Class]]="C",WORKDAY(Main[[#This Row],[Tech Start Date]],9),IF(Main[[#This Row],[Class]]="B", WORKDAY(Main[[#This Row],[Tech Start Date]],6),IF(Main[[#This Row],[Class]]="A",WORKDAY(Main[[#This Row],[Tech Start Date]],2),""))))</f>
        <v/>
      </c>
      <c r="N388" s="69" t="str">
        <f>IF(Main[[#This Row],[Tech Start Date]]&lt;1/1/1990,"",IF(Main[[#This Row],[Class]]="C",WORKDAY(Main[[#This Row],[Tech Start Date]],19),IF(Main[[#This Row],[Class]]="B", WORKDAY(Main[[#This Row],[Tech Start Date]],12),IF(Main[[#This Row],[Class]]="A",WORKDAY(Main[[#This Row],[Tech Start Date]],4),""))))</f>
        <v/>
      </c>
      <c r="O388" s="69" t="str">
        <f>IF(Main[[#This Row],[Tech Start Date]]&lt;1/1/1990,"",IF(Main[[#This Row],[Class]]="C",WORKDAY(Main[[#This Row],[Tech Start Date]],23),IF(Main[[#This Row],[Class]]="B", WORKDAY(Main[[#This Row],[Tech Start Date]],15),IF(Main[[#This Row],[Class]]="A",WORKDAY(Main[[#This Row],[Tech Start Date]],5),""))))</f>
        <v/>
      </c>
      <c r="P388" s="69" t="str">
        <f>IF(Main[[#This Row],[Tech Start Date]]&lt;1/1/1990,"",IF(Main[[#This Row],[Class]]="C",WORKDAY(Main[[#This Row],[Tech Start Date]],28),IF(Main[[#This Row],[Class]]="B", WORKDAY(Main[[#This Row],[Tech Start Date]],19),IF(Main[[#This Row],[Class]]="A",WORKDAY(Main[[#This Row],[Tech Start Date]],9),""))))</f>
        <v/>
      </c>
      <c r="Q388" s="67">
        <v>40132</v>
      </c>
      <c r="R388" s="67"/>
      <c r="S388" s="65" t="s">
        <v>11</v>
      </c>
      <c r="T388" s="70" t="s">
        <v>4</v>
      </c>
      <c r="U388" s="65" t="s">
        <v>14</v>
      </c>
      <c r="V388" s="65" t="s">
        <v>1917</v>
      </c>
      <c r="W388" s="65" t="s">
        <v>1922</v>
      </c>
      <c r="X388" s="65" t="s">
        <v>2864</v>
      </c>
      <c r="Y388" s="65" t="s">
        <v>4</v>
      </c>
      <c r="Z388" s="65" t="s">
        <v>4</v>
      </c>
      <c r="AA388" s="65" t="s">
        <v>2864</v>
      </c>
    </row>
    <row r="389" spans="1:27" ht="17.45" customHeight="1">
      <c r="A389" s="12" t="str">
        <f>IF(priority(Main[[#This Row],[Comments]])&lt;&gt;0, priority(Main[[#This Row],[Comments]]),"")</f>
        <v/>
      </c>
      <c r="B389" s="99" t="s">
        <v>1246</v>
      </c>
      <c r="C389" s="63" t="s">
        <v>4</v>
      </c>
      <c r="D389" s="72" t="s">
        <v>308</v>
      </c>
      <c r="E389" s="73"/>
      <c r="F389" s="73"/>
      <c r="G389" s="63" t="str">
        <f>IF(stdProdLT(Main[[#This Row],[Comments]])=0.1,"N/A",IF(stdProdLT(Main[[#This Row],[Comments]])=0,"",stdProdLT(Main[[#This Row],[Comments]])))</f>
        <v/>
      </c>
      <c r="H389" s="74" t="str">
        <f>IF(AND(Main[[#This Row],[In Stock Date]]&lt;&gt;"",Main[[#This Row],[Revised Due Date]]&lt;&gt;""),Main[[#This Row],[In Stock Date]]-Main[[#This Row],[Revised Due Date]],"")</f>
        <v/>
      </c>
      <c r="I389" s="63" t="s">
        <v>4</v>
      </c>
      <c r="J389" s="63" t="s">
        <v>4</v>
      </c>
      <c r="K389" s="63" t="s">
        <v>4</v>
      </c>
      <c r="L389" s="73"/>
      <c r="M389" s="69" t="str">
        <f>IF(Main[[#This Row],[Tech Start Date]]&lt;1/1/1990,"",IF(Main[[#This Row],[Class]]="C",WORKDAY(Main[[#This Row],[Tech Start Date]],9),IF(Main[[#This Row],[Class]]="B", WORKDAY(Main[[#This Row],[Tech Start Date]],6),IF(Main[[#This Row],[Class]]="A",WORKDAY(Main[[#This Row],[Tech Start Date]],2),""))))</f>
        <v/>
      </c>
      <c r="N389" s="69" t="str">
        <f>IF(Main[[#This Row],[Tech Start Date]]&lt;1/1/1990,"",IF(Main[[#This Row],[Class]]="C",WORKDAY(Main[[#This Row],[Tech Start Date]],19),IF(Main[[#This Row],[Class]]="B", WORKDAY(Main[[#This Row],[Tech Start Date]],12),IF(Main[[#This Row],[Class]]="A",WORKDAY(Main[[#This Row],[Tech Start Date]],4),""))))</f>
        <v/>
      </c>
      <c r="O389" s="69" t="str">
        <f>IF(Main[[#This Row],[Tech Start Date]]&lt;1/1/1990,"",IF(Main[[#This Row],[Class]]="C",WORKDAY(Main[[#This Row],[Tech Start Date]],23),IF(Main[[#This Row],[Class]]="B", WORKDAY(Main[[#This Row],[Tech Start Date]],15),IF(Main[[#This Row],[Class]]="A",WORKDAY(Main[[#This Row],[Tech Start Date]],5),""))))</f>
        <v/>
      </c>
      <c r="P389" s="69" t="str">
        <f>IF(Main[[#This Row],[Tech Start Date]]&lt;1/1/1990,"",IF(Main[[#This Row],[Class]]="C",WORKDAY(Main[[#This Row],[Tech Start Date]],28),IF(Main[[#This Row],[Class]]="B", WORKDAY(Main[[#This Row],[Tech Start Date]],19),IF(Main[[#This Row],[Class]]="A",WORKDAY(Main[[#This Row],[Tech Start Date]],9),""))))</f>
        <v/>
      </c>
      <c r="Q389" s="73">
        <v>40390</v>
      </c>
      <c r="R389" s="73"/>
      <c r="S389" s="63" t="s">
        <v>6</v>
      </c>
      <c r="T389" s="75" t="s">
        <v>4</v>
      </c>
      <c r="U389" s="63" t="s">
        <v>14</v>
      </c>
      <c r="V389" s="63" t="s">
        <v>1920</v>
      </c>
      <c r="W389" s="63" t="s">
        <v>4</v>
      </c>
      <c r="X389" s="63" t="s">
        <v>2825</v>
      </c>
      <c r="Y389" s="63" t="s">
        <v>2938</v>
      </c>
      <c r="Z389" s="63" t="s">
        <v>4</v>
      </c>
      <c r="AA389" s="65" t="s">
        <v>2825</v>
      </c>
    </row>
    <row r="390" spans="1:27" ht="17.45" customHeight="1">
      <c r="A390" s="131" t="str">
        <f>IF(priority(Main[[#This Row],[Comments]])&lt;&gt;0, priority(Main[[#This Row],[Comments]]),"")</f>
        <v/>
      </c>
      <c r="B390" s="99" t="s">
        <v>1248</v>
      </c>
      <c r="C390" s="65" t="s">
        <v>310</v>
      </c>
      <c r="D390" s="66" t="s">
        <v>311</v>
      </c>
      <c r="E390" s="67"/>
      <c r="F390" s="67">
        <v>40179</v>
      </c>
      <c r="G390" s="64" t="str">
        <f>IF(stdProdLT(Main[[#This Row],[Comments]])=0.1,"N/A",IF(stdProdLT(Main[[#This Row],[Comments]])=0,"",stdProdLT(Main[[#This Row],[Comments]])))</f>
        <v/>
      </c>
      <c r="H390" s="68" t="str">
        <f>IF(AND(Main[[#This Row],[In Stock Date]]&lt;&gt;"",Main[[#This Row],[Revised Due Date]]&lt;&gt;""),Main[[#This Row],[In Stock Date]]-Main[[#This Row],[Revised Due Date]],"")</f>
        <v/>
      </c>
      <c r="I390" s="65" t="s">
        <v>4</v>
      </c>
      <c r="J390" s="65" t="s">
        <v>4</v>
      </c>
      <c r="K390" s="65" t="s">
        <v>4</v>
      </c>
      <c r="L390" s="67"/>
      <c r="M390" s="69" t="str">
        <f>IF(Main[[#This Row],[Tech Start Date]]&lt;1/1/1990,"",IF(Main[[#This Row],[Class]]="C",WORKDAY(Main[[#This Row],[Tech Start Date]],9),IF(Main[[#This Row],[Class]]="B", WORKDAY(Main[[#This Row],[Tech Start Date]],6),IF(Main[[#This Row],[Class]]="A",WORKDAY(Main[[#This Row],[Tech Start Date]],2),""))))</f>
        <v/>
      </c>
      <c r="N390" s="69" t="str">
        <f>IF(Main[[#This Row],[Tech Start Date]]&lt;1/1/1990,"",IF(Main[[#This Row],[Class]]="C",WORKDAY(Main[[#This Row],[Tech Start Date]],19),IF(Main[[#This Row],[Class]]="B", WORKDAY(Main[[#This Row],[Tech Start Date]],12),IF(Main[[#This Row],[Class]]="A",WORKDAY(Main[[#This Row],[Tech Start Date]],4),""))))</f>
        <v/>
      </c>
      <c r="O390" s="69" t="str">
        <f>IF(Main[[#This Row],[Tech Start Date]]&lt;1/1/1990,"",IF(Main[[#This Row],[Class]]="C",WORKDAY(Main[[#This Row],[Tech Start Date]],23),IF(Main[[#This Row],[Class]]="B", WORKDAY(Main[[#This Row],[Tech Start Date]],15),IF(Main[[#This Row],[Class]]="A",WORKDAY(Main[[#This Row],[Tech Start Date]],5),""))))</f>
        <v/>
      </c>
      <c r="P390" s="69" t="str">
        <f>IF(Main[[#This Row],[Tech Start Date]]&lt;1/1/1990,"",IF(Main[[#This Row],[Class]]="C",WORKDAY(Main[[#This Row],[Tech Start Date]],28),IF(Main[[#This Row],[Class]]="B", WORKDAY(Main[[#This Row],[Tech Start Date]],19),IF(Main[[#This Row],[Class]]="A",WORKDAY(Main[[#This Row],[Tech Start Date]],9),""))))</f>
        <v/>
      </c>
      <c r="Q390" s="67">
        <v>40174</v>
      </c>
      <c r="R390" s="67"/>
      <c r="S390" s="65" t="s">
        <v>11</v>
      </c>
      <c r="T390" s="70" t="s">
        <v>4</v>
      </c>
      <c r="U390" s="65" t="s">
        <v>12</v>
      </c>
      <c r="V390" s="65" t="s">
        <v>1917</v>
      </c>
      <c r="W390" s="65" t="s">
        <v>1925</v>
      </c>
      <c r="X390" s="65" t="s">
        <v>2879</v>
      </c>
      <c r="Y390" s="65" t="s">
        <v>4</v>
      </c>
      <c r="Z390" s="65" t="s">
        <v>4</v>
      </c>
      <c r="AA390" s="65" t="s">
        <v>2879</v>
      </c>
    </row>
    <row r="391" spans="1:27" ht="17.45" customHeight="1">
      <c r="A391" s="131" t="str">
        <f>IF(priority(Main[[#This Row],[Comments]])&lt;&gt;0, priority(Main[[#This Row],[Comments]]),"")</f>
        <v/>
      </c>
      <c r="B391" s="99" t="s">
        <v>1249</v>
      </c>
      <c r="C391" s="65" t="s">
        <v>4</v>
      </c>
      <c r="D391" s="66" t="s">
        <v>312</v>
      </c>
      <c r="E391" s="67">
        <v>40701.550486111111</v>
      </c>
      <c r="F391" s="67"/>
      <c r="G391" s="64" t="str">
        <f>IF(stdProdLT(Main[[#This Row],[Comments]])=0.1,"N/A",IF(stdProdLT(Main[[#This Row],[Comments]])=0,"",stdProdLT(Main[[#This Row],[Comments]])))</f>
        <v/>
      </c>
      <c r="H391" s="68" t="str">
        <f>IF(AND(Main[[#This Row],[In Stock Date]]&lt;&gt;"",Main[[#This Row],[Revised Due Date]]&lt;&gt;""),Main[[#This Row],[In Stock Date]]-Main[[#This Row],[Revised Due Date]],"")</f>
        <v/>
      </c>
      <c r="I391" s="65" t="s">
        <v>4</v>
      </c>
      <c r="J391" s="65" t="s">
        <v>4</v>
      </c>
      <c r="K391" s="65" t="s">
        <v>4</v>
      </c>
      <c r="L391" s="67"/>
      <c r="M391" s="69" t="str">
        <f>IF(Main[[#This Row],[Tech Start Date]]&lt;1/1/1990,"",IF(Main[[#This Row],[Class]]="C",WORKDAY(Main[[#This Row],[Tech Start Date]],9),IF(Main[[#This Row],[Class]]="B", WORKDAY(Main[[#This Row],[Tech Start Date]],6),IF(Main[[#This Row],[Class]]="A",WORKDAY(Main[[#This Row],[Tech Start Date]],2),""))))</f>
        <v/>
      </c>
      <c r="N391" s="69" t="str">
        <f>IF(Main[[#This Row],[Tech Start Date]]&lt;1/1/1990,"",IF(Main[[#This Row],[Class]]="C",WORKDAY(Main[[#This Row],[Tech Start Date]],19),IF(Main[[#This Row],[Class]]="B", WORKDAY(Main[[#This Row],[Tech Start Date]],12),IF(Main[[#This Row],[Class]]="A",WORKDAY(Main[[#This Row],[Tech Start Date]],4),""))))</f>
        <v/>
      </c>
      <c r="O391" s="69" t="str">
        <f>IF(Main[[#This Row],[Tech Start Date]]&lt;1/1/1990,"",IF(Main[[#This Row],[Class]]="C",WORKDAY(Main[[#This Row],[Tech Start Date]],23),IF(Main[[#This Row],[Class]]="B", WORKDAY(Main[[#This Row],[Tech Start Date]],15),IF(Main[[#This Row],[Class]]="A",WORKDAY(Main[[#This Row],[Tech Start Date]],5),""))))</f>
        <v/>
      </c>
      <c r="P391" s="69" t="str">
        <f>IF(Main[[#This Row],[Tech Start Date]]&lt;1/1/1990,"",IF(Main[[#This Row],[Class]]="C",WORKDAY(Main[[#This Row],[Tech Start Date]],28),IF(Main[[#This Row],[Class]]="B", WORKDAY(Main[[#This Row],[Tech Start Date]],19),IF(Main[[#This Row],[Class]]="A",WORKDAY(Main[[#This Row],[Tech Start Date]],9),""))))</f>
        <v/>
      </c>
      <c r="Q391" s="67"/>
      <c r="R391" s="67"/>
      <c r="S391" s="65" t="s">
        <v>6</v>
      </c>
      <c r="T391" s="70" t="s">
        <v>4</v>
      </c>
      <c r="U391" s="65" t="s">
        <v>7</v>
      </c>
      <c r="V391" s="65" t="s">
        <v>1917</v>
      </c>
      <c r="W391" s="65" t="s">
        <v>4</v>
      </c>
      <c r="X391" s="65" t="s">
        <v>909</v>
      </c>
      <c r="Y391" s="65" t="s">
        <v>3023</v>
      </c>
      <c r="Z391" s="65" t="s">
        <v>4</v>
      </c>
      <c r="AA391" s="65" t="s">
        <v>909</v>
      </c>
    </row>
    <row r="392" spans="1:27" ht="17.45" customHeight="1">
      <c r="A392" s="131" t="str">
        <f>IF(priority(Main[[#This Row],[Comments]])&lt;&gt;0, priority(Main[[#This Row],[Comments]]),"")</f>
        <v/>
      </c>
      <c r="B392" s="99" t="s">
        <v>1250</v>
      </c>
      <c r="C392" s="65" t="s">
        <v>4</v>
      </c>
      <c r="D392" s="66" t="s">
        <v>313</v>
      </c>
      <c r="E392" s="67"/>
      <c r="F392" s="67"/>
      <c r="G392" s="64" t="str">
        <f>IF(stdProdLT(Main[[#This Row],[Comments]])=0.1,"N/A",IF(stdProdLT(Main[[#This Row],[Comments]])=0,"",stdProdLT(Main[[#This Row],[Comments]])))</f>
        <v/>
      </c>
      <c r="H392" s="68" t="str">
        <f>IF(AND(Main[[#This Row],[In Stock Date]]&lt;&gt;"",Main[[#This Row],[Revised Due Date]]&lt;&gt;""),Main[[#This Row],[In Stock Date]]-Main[[#This Row],[Revised Due Date]],"")</f>
        <v/>
      </c>
      <c r="I392" s="65" t="s">
        <v>4</v>
      </c>
      <c r="J392" s="65" t="s">
        <v>4</v>
      </c>
      <c r="K392" s="65" t="s">
        <v>4</v>
      </c>
      <c r="L392" s="67"/>
      <c r="M392" s="69" t="str">
        <f>IF(Main[[#This Row],[Tech Start Date]]&lt;1/1/1990,"",IF(Main[[#This Row],[Class]]="C",WORKDAY(Main[[#This Row],[Tech Start Date]],9),IF(Main[[#This Row],[Class]]="B", WORKDAY(Main[[#This Row],[Tech Start Date]],6),IF(Main[[#This Row],[Class]]="A",WORKDAY(Main[[#This Row],[Tech Start Date]],2),""))))</f>
        <v/>
      </c>
      <c r="N392" s="69" t="str">
        <f>IF(Main[[#This Row],[Tech Start Date]]&lt;1/1/1990,"",IF(Main[[#This Row],[Class]]="C",WORKDAY(Main[[#This Row],[Tech Start Date]],19),IF(Main[[#This Row],[Class]]="B", WORKDAY(Main[[#This Row],[Tech Start Date]],12),IF(Main[[#This Row],[Class]]="A",WORKDAY(Main[[#This Row],[Tech Start Date]],4),""))))</f>
        <v/>
      </c>
      <c r="O392" s="69" t="str">
        <f>IF(Main[[#This Row],[Tech Start Date]]&lt;1/1/1990,"",IF(Main[[#This Row],[Class]]="C",WORKDAY(Main[[#This Row],[Tech Start Date]],23),IF(Main[[#This Row],[Class]]="B", WORKDAY(Main[[#This Row],[Tech Start Date]],15),IF(Main[[#This Row],[Class]]="A",WORKDAY(Main[[#This Row],[Tech Start Date]],5),""))))</f>
        <v/>
      </c>
      <c r="P392" s="69" t="str">
        <f>IF(Main[[#This Row],[Tech Start Date]]&lt;1/1/1990,"",IF(Main[[#This Row],[Class]]="C",WORKDAY(Main[[#This Row],[Tech Start Date]],28),IF(Main[[#This Row],[Class]]="B", WORKDAY(Main[[#This Row],[Tech Start Date]],19),IF(Main[[#This Row],[Class]]="A",WORKDAY(Main[[#This Row],[Tech Start Date]],9),""))))</f>
        <v/>
      </c>
      <c r="Q392" s="67">
        <v>40374</v>
      </c>
      <c r="R392" s="67"/>
      <c r="S392" s="65" t="s">
        <v>11</v>
      </c>
      <c r="T392" s="70" t="s">
        <v>4</v>
      </c>
      <c r="U392" s="65" t="s">
        <v>12</v>
      </c>
      <c r="V392" s="65" t="s">
        <v>1918</v>
      </c>
      <c r="W392" s="65" t="s">
        <v>1919</v>
      </c>
      <c r="X392" s="65" t="s">
        <v>2878</v>
      </c>
      <c r="Y392" s="65" t="s">
        <v>3002</v>
      </c>
      <c r="Z392" s="65" t="s">
        <v>4</v>
      </c>
      <c r="AA392" s="65" t="s">
        <v>2878</v>
      </c>
    </row>
    <row r="393" spans="1:27" ht="17.45" customHeight="1">
      <c r="A393" s="131" t="str">
        <f>IF(priority(Main[[#This Row],[Comments]])&lt;&gt;0, priority(Main[[#This Row],[Comments]]),"")</f>
        <v/>
      </c>
      <c r="B393" s="99" t="s">
        <v>1251</v>
      </c>
      <c r="C393" s="65" t="s">
        <v>4</v>
      </c>
      <c r="D393" s="66" t="s">
        <v>314</v>
      </c>
      <c r="E393" s="67"/>
      <c r="F393" s="67"/>
      <c r="G393" s="64" t="str">
        <f>IF(stdProdLT(Main[[#This Row],[Comments]])=0.1,"N/A",IF(stdProdLT(Main[[#This Row],[Comments]])=0,"",stdProdLT(Main[[#This Row],[Comments]])))</f>
        <v/>
      </c>
      <c r="H393" s="68" t="str">
        <f>IF(AND(Main[[#This Row],[In Stock Date]]&lt;&gt;"",Main[[#This Row],[Revised Due Date]]&lt;&gt;""),Main[[#This Row],[In Stock Date]]-Main[[#This Row],[Revised Due Date]],"")</f>
        <v/>
      </c>
      <c r="I393" s="65" t="s">
        <v>4</v>
      </c>
      <c r="J393" s="65" t="s">
        <v>4</v>
      </c>
      <c r="K393" s="65" t="s">
        <v>4</v>
      </c>
      <c r="L393" s="67"/>
      <c r="M393" s="69" t="str">
        <f>IF(Main[[#This Row],[Tech Start Date]]&lt;1/1/1990,"",IF(Main[[#This Row],[Class]]="C",WORKDAY(Main[[#This Row],[Tech Start Date]],9),IF(Main[[#This Row],[Class]]="B", WORKDAY(Main[[#This Row],[Tech Start Date]],6),IF(Main[[#This Row],[Class]]="A",WORKDAY(Main[[#This Row],[Tech Start Date]],2),""))))</f>
        <v/>
      </c>
      <c r="N393" s="69" t="str">
        <f>IF(Main[[#This Row],[Tech Start Date]]&lt;1/1/1990,"",IF(Main[[#This Row],[Class]]="C",WORKDAY(Main[[#This Row],[Tech Start Date]],19),IF(Main[[#This Row],[Class]]="B", WORKDAY(Main[[#This Row],[Tech Start Date]],12),IF(Main[[#This Row],[Class]]="A",WORKDAY(Main[[#This Row],[Tech Start Date]],4),""))))</f>
        <v/>
      </c>
      <c r="O393" s="69" t="str">
        <f>IF(Main[[#This Row],[Tech Start Date]]&lt;1/1/1990,"",IF(Main[[#This Row],[Class]]="C",WORKDAY(Main[[#This Row],[Tech Start Date]],23),IF(Main[[#This Row],[Class]]="B", WORKDAY(Main[[#This Row],[Tech Start Date]],15),IF(Main[[#This Row],[Class]]="A",WORKDAY(Main[[#This Row],[Tech Start Date]],5),""))))</f>
        <v/>
      </c>
      <c r="P393" s="69" t="str">
        <f>IF(Main[[#This Row],[Tech Start Date]]&lt;1/1/1990,"",IF(Main[[#This Row],[Class]]="C",WORKDAY(Main[[#This Row],[Tech Start Date]],28),IF(Main[[#This Row],[Class]]="B", WORKDAY(Main[[#This Row],[Tech Start Date]],19),IF(Main[[#This Row],[Class]]="A",WORKDAY(Main[[#This Row],[Tech Start Date]],9),""))))</f>
        <v/>
      </c>
      <c r="Q393" s="67"/>
      <c r="R393" s="67"/>
      <c r="S393" s="65" t="s">
        <v>6</v>
      </c>
      <c r="T393" s="70" t="s">
        <v>4</v>
      </c>
      <c r="U393" s="65" t="s">
        <v>14</v>
      </c>
      <c r="V393" s="65" t="s">
        <v>1918</v>
      </c>
      <c r="W393" s="65" t="s">
        <v>1919</v>
      </c>
      <c r="X393" s="65" t="s">
        <v>2868</v>
      </c>
      <c r="Y393" s="65" t="s">
        <v>3012</v>
      </c>
      <c r="Z393" s="65" t="s">
        <v>4</v>
      </c>
      <c r="AA393" s="65" t="s">
        <v>2868</v>
      </c>
    </row>
    <row r="394" spans="1:27" ht="17.45" customHeight="1">
      <c r="A394" s="131" t="str">
        <f>IF(priority(Main[[#This Row],[Comments]])&lt;&gt;0, priority(Main[[#This Row],[Comments]]),"")</f>
        <v/>
      </c>
      <c r="B394" s="99" t="s">
        <v>1252</v>
      </c>
      <c r="C394" s="65" t="s">
        <v>197</v>
      </c>
      <c r="D394" s="66" t="s">
        <v>315</v>
      </c>
      <c r="E394" s="67"/>
      <c r="F394" s="67"/>
      <c r="G394" s="64" t="str">
        <f>IF(stdProdLT(Main[[#This Row],[Comments]])=0.1,"N/A",IF(stdProdLT(Main[[#This Row],[Comments]])=0,"",stdProdLT(Main[[#This Row],[Comments]])))</f>
        <v/>
      </c>
      <c r="H394" s="68" t="str">
        <f>IF(AND(Main[[#This Row],[In Stock Date]]&lt;&gt;"",Main[[#This Row],[Revised Due Date]]&lt;&gt;""),Main[[#This Row],[In Stock Date]]-Main[[#This Row],[Revised Due Date]],"")</f>
        <v/>
      </c>
      <c r="I394" s="65" t="s">
        <v>4</v>
      </c>
      <c r="J394" s="65" t="s">
        <v>4</v>
      </c>
      <c r="K394" s="65" t="s">
        <v>4</v>
      </c>
      <c r="L394" s="67"/>
      <c r="M394" s="69" t="str">
        <f>IF(Main[[#This Row],[Tech Start Date]]&lt;1/1/1990,"",IF(Main[[#This Row],[Class]]="C",WORKDAY(Main[[#This Row],[Tech Start Date]],9),IF(Main[[#This Row],[Class]]="B", WORKDAY(Main[[#This Row],[Tech Start Date]],6),IF(Main[[#This Row],[Class]]="A",WORKDAY(Main[[#This Row],[Tech Start Date]],2),""))))</f>
        <v/>
      </c>
      <c r="N394" s="69" t="str">
        <f>IF(Main[[#This Row],[Tech Start Date]]&lt;1/1/1990,"",IF(Main[[#This Row],[Class]]="C",WORKDAY(Main[[#This Row],[Tech Start Date]],19),IF(Main[[#This Row],[Class]]="B", WORKDAY(Main[[#This Row],[Tech Start Date]],12),IF(Main[[#This Row],[Class]]="A",WORKDAY(Main[[#This Row],[Tech Start Date]],4),""))))</f>
        <v/>
      </c>
      <c r="O394" s="69" t="str">
        <f>IF(Main[[#This Row],[Tech Start Date]]&lt;1/1/1990,"",IF(Main[[#This Row],[Class]]="C",WORKDAY(Main[[#This Row],[Tech Start Date]],23),IF(Main[[#This Row],[Class]]="B", WORKDAY(Main[[#This Row],[Tech Start Date]],15),IF(Main[[#This Row],[Class]]="A",WORKDAY(Main[[#This Row],[Tech Start Date]],5),""))))</f>
        <v/>
      </c>
      <c r="P394" s="69" t="str">
        <f>IF(Main[[#This Row],[Tech Start Date]]&lt;1/1/1990,"",IF(Main[[#This Row],[Class]]="C",WORKDAY(Main[[#This Row],[Tech Start Date]],28),IF(Main[[#This Row],[Class]]="B", WORKDAY(Main[[#This Row],[Tech Start Date]],19),IF(Main[[#This Row],[Class]]="A",WORKDAY(Main[[#This Row],[Tech Start Date]],9),""))))</f>
        <v/>
      </c>
      <c r="Q394" s="67">
        <v>40165</v>
      </c>
      <c r="R394" s="67"/>
      <c r="S394" s="65" t="s">
        <v>11</v>
      </c>
      <c r="T394" s="70" t="s">
        <v>4</v>
      </c>
      <c r="U394" s="65" t="s">
        <v>14</v>
      </c>
      <c r="V394" s="65" t="s">
        <v>1927</v>
      </c>
      <c r="W394" s="65" t="s">
        <v>1923</v>
      </c>
      <c r="X394" s="65" t="s">
        <v>306</v>
      </c>
      <c r="Y394" s="65" t="s">
        <v>2969</v>
      </c>
      <c r="Z394" s="65" t="s">
        <v>4</v>
      </c>
      <c r="AA394" s="65" t="s">
        <v>885</v>
      </c>
    </row>
    <row r="395" spans="1:27" ht="17.45" customHeight="1">
      <c r="A395" s="131" t="str">
        <f>IF(priority(Main[[#This Row],[Comments]])&lt;&gt;0, priority(Main[[#This Row],[Comments]]),"")</f>
        <v/>
      </c>
      <c r="B395" s="99" t="s">
        <v>1254</v>
      </c>
      <c r="C395" s="65" t="s">
        <v>4</v>
      </c>
      <c r="D395" s="66" t="s">
        <v>317</v>
      </c>
      <c r="E395" s="67">
        <v>40275.49355324074</v>
      </c>
      <c r="F395" s="67"/>
      <c r="G395" s="64" t="str">
        <f>IF(stdProdLT(Main[[#This Row],[Comments]])=0.1,"N/A",IF(stdProdLT(Main[[#This Row],[Comments]])=0,"",stdProdLT(Main[[#This Row],[Comments]])))</f>
        <v/>
      </c>
      <c r="H395" s="68" t="str">
        <f>IF(AND(Main[[#This Row],[In Stock Date]]&lt;&gt;"",Main[[#This Row],[Revised Due Date]]&lt;&gt;""),Main[[#This Row],[In Stock Date]]-Main[[#This Row],[Revised Due Date]],"")</f>
        <v/>
      </c>
      <c r="I395" s="65" t="s">
        <v>4</v>
      </c>
      <c r="J395" s="65" t="s">
        <v>4</v>
      </c>
      <c r="K395" s="65" t="s">
        <v>4</v>
      </c>
      <c r="L395" s="67"/>
      <c r="M395" s="69" t="str">
        <f>IF(Main[[#This Row],[Tech Start Date]]&lt;1/1/1990,"",IF(Main[[#This Row],[Class]]="C",WORKDAY(Main[[#This Row],[Tech Start Date]],9),IF(Main[[#This Row],[Class]]="B", WORKDAY(Main[[#This Row],[Tech Start Date]],6),IF(Main[[#This Row],[Class]]="A",WORKDAY(Main[[#This Row],[Tech Start Date]],2),""))))</f>
        <v/>
      </c>
      <c r="N395" s="69" t="str">
        <f>IF(Main[[#This Row],[Tech Start Date]]&lt;1/1/1990,"",IF(Main[[#This Row],[Class]]="C",WORKDAY(Main[[#This Row],[Tech Start Date]],19),IF(Main[[#This Row],[Class]]="B", WORKDAY(Main[[#This Row],[Tech Start Date]],12),IF(Main[[#This Row],[Class]]="A",WORKDAY(Main[[#This Row],[Tech Start Date]],4),""))))</f>
        <v/>
      </c>
      <c r="O395" s="69" t="str">
        <f>IF(Main[[#This Row],[Tech Start Date]]&lt;1/1/1990,"",IF(Main[[#This Row],[Class]]="C",WORKDAY(Main[[#This Row],[Tech Start Date]],23),IF(Main[[#This Row],[Class]]="B", WORKDAY(Main[[#This Row],[Tech Start Date]],15),IF(Main[[#This Row],[Class]]="A",WORKDAY(Main[[#This Row],[Tech Start Date]],5),""))))</f>
        <v/>
      </c>
      <c r="P395" s="69" t="str">
        <f>IF(Main[[#This Row],[Tech Start Date]]&lt;1/1/1990,"",IF(Main[[#This Row],[Class]]="C",WORKDAY(Main[[#This Row],[Tech Start Date]],28),IF(Main[[#This Row],[Class]]="B", WORKDAY(Main[[#This Row],[Tech Start Date]],19),IF(Main[[#This Row],[Class]]="A",WORKDAY(Main[[#This Row],[Tech Start Date]],9),""))))</f>
        <v/>
      </c>
      <c r="Q395" s="67">
        <v>40289</v>
      </c>
      <c r="R395" s="67"/>
      <c r="S395" s="65" t="s">
        <v>318</v>
      </c>
      <c r="T395" s="70" t="s">
        <v>4</v>
      </c>
      <c r="U395" s="65" t="s">
        <v>7</v>
      </c>
      <c r="V395" s="65" t="s">
        <v>1917</v>
      </c>
      <c r="W395" s="65" t="s">
        <v>1919</v>
      </c>
      <c r="X395" s="65" t="s">
        <v>2827</v>
      </c>
      <c r="Y395" s="65" t="s">
        <v>2942</v>
      </c>
      <c r="Z395" s="65" t="s">
        <v>4</v>
      </c>
      <c r="AA395" s="65" t="s">
        <v>2827</v>
      </c>
    </row>
    <row r="396" spans="1:27" ht="17.45" customHeight="1">
      <c r="A396" s="131" t="str">
        <f>IF(priority(Main[[#This Row],[Comments]])&lt;&gt;0, priority(Main[[#This Row],[Comments]]),"")</f>
        <v/>
      </c>
      <c r="B396" s="99" t="s">
        <v>1256</v>
      </c>
      <c r="C396" s="65" t="s">
        <v>4</v>
      </c>
      <c r="D396" s="66" t="s">
        <v>320</v>
      </c>
      <c r="E396" s="67"/>
      <c r="F396" s="67"/>
      <c r="G396" s="64" t="str">
        <f>IF(stdProdLT(Main[[#This Row],[Comments]])=0.1,"N/A",IF(stdProdLT(Main[[#This Row],[Comments]])=0,"",stdProdLT(Main[[#This Row],[Comments]])))</f>
        <v/>
      </c>
      <c r="H396" s="68" t="str">
        <f>IF(AND(Main[[#This Row],[In Stock Date]]&lt;&gt;"",Main[[#This Row],[Revised Due Date]]&lt;&gt;""),Main[[#This Row],[In Stock Date]]-Main[[#This Row],[Revised Due Date]],"")</f>
        <v/>
      </c>
      <c r="I396" s="65" t="s">
        <v>4</v>
      </c>
      <c r="J396" s="65" t="s">
        <v>28</v>
      </c>
      <c r="K396" s="65" t="s">
        <v>4</v>
      </c>
      <c r="L396" s="67"/>
      <c r="M396" s="69" t="str">
        <f>IF(Main[[#This Row],[Tech Start Date]]&lt;1/1/1990,"",IF(Main[[#This Row],[Class]]="C",WORKDAY(Main[[#This Row],[Tech Start Date]],9),IF(Main[[#This Row],[Class]]="B", WORKDAY(Main[[#This Row],[Tech Start Date]],6),IF(Main[[#This Row],[Class]]="A",WORKDAY(Main[[#This Row],[Tech Start Date]],2),""))))</f>
        <v/>
      </c>
      <c r="N396" s="69" t="str">
        <f>IF(Main[[#This Row],[Tech Start Date]]&lt;1/1/1990,"",IF(Main[[#This Row],[Class]]="C",WORKDAY(Main[[#This Row],[Tech Start Date]],19),IF(Main[[#This Row],[Class]]="B", WORKDAY(Main[[#This Row],[Tech Start Date]],12),IF(Main[[#This Row],[Class]]="A",WORKDAY(Main[[#This Row],[Tech Start Date]],4),""))))</f>
        <v/>
      </c>
      <c r="O396" s="69" t="str">
        <f>IF(Main[[#This Row],[Tech Start Date]]&lt;1/1/1990,"",IF(Main[[#This Row],[Class]]="C",WORKDAY(Main[[#This Row],[Tech Start Date]],23),IF(Main[[#This Row],[Class]]="B", WORKDAY(Main[[#This Row],[Tech Start Date]],15),IF(Main[[#This Row],[Class]]="A",WORKDAY(Main[[#This Row],[Tech Start Date]],5),""))))</f>
        <v/>
      </c>
      <c r="P396" s="69" t="str">
        <f>IF(Main[[#This Row],[Tech Start Date]]&lt;1/1/1990,"",IF(Main[[#This Row],[Class]]="C",WORKDAY(Main[[#This Row],[Tech Start Date]],28),IF(Main[[#This Row],[Class]]="B", WORKDAY(Main[[#This Row],[Tech Start Date]],19),IF(Main[[#This Row],[Class]]="A",WORKDAY(Main[[#This Row],[Tech Start Date]],9),""))))</f>
        <v/>
      </c>
      <c r="Q396" s="67"/>
      <c r="R396" s="67"/>
      <c r="S396" s="65" t="s">
        <v>17</v>
      </c>
      <c r="T396" s="70" t="s">
        <v>4</v>
      </c>
      <c r="U396" s="65" t="s">
        <v>14</v>
      </c>
      <c r="V396" s="65" t="s">
        <v>1917</v>
      </c>
      <c r="W396" s="65" t="s">
        <v>1921</v>
      </c>
      <c r="X396" s="65" t="s">
        <v>129</v>
      </c>
      <c r="Y396" s="65" t="s">
        <v>4</v>
      </c>
      <c r="Z396" s="65" t="s">
        <v>129</v>
      </c>
      <c r="AA396" s="65" t="s">
        <v>2827</v>
      </c>
    </row>
    <row r="397" spans="1:27" ht="17.45" customHeight="1">
      <c r="A397" s="131" t="str">
        <f>IF(priority(Main[[#This Row],[Comments]])&lt;&gt;0, priority(Main[[#This Row],[Comments]]),"")</f>
        <v/>
      </c>
      <c r="B397" s="99" t="s">
        <v>1257</v>
      </c>
      <c r="C397" s="65" t="s">
        <v>4</v>
      </c>
      <c r="D397" s="66" t="s">
        <v>321</v>
      </c>
      <c r="E397" s="67"/>
      <c r="F397" s="67"/>
      <c r="G397" s="64" t="str">
        <f>IF(stdProdLT(Main[[#This Row],[Comments]])=0.1,"N/A",IF(stdProdLT(Main[[#This Row],[Comments]])=0,"",stdProdLT(Main[[#This Row],[Comments]])))</f>
        <v/>
      </c>
      <c r="H397" s="68" t="str">
        <f>IF(AND(Main[[#This Row],[In Stock Date]]&lt;&gt;"",Main[[#This Row],[Revised Due Date]]&lt;&gt;""),Main[[#This Row],[In Stock Date]]-Main[[#This Row],[Revised Due Date]],"")</f>
        <v/>
      </c>
      <c r="I397" s="65" t="s">
        <v>4</v>
      </c>
      <c r="J397" s="65" t="s">
        <v>4</v>
      </c>
      <c r="K397" s="65" t="s">
        <v>4</v>
      </c>
      <c r="L397" s="67"/>
      <c r="M397" s="69" t="str">
        <f>IF(Main[[#This Row],[Tech Start Date]]&lt;1/1/1990,"",IF(Main[[#This Row],[Class]]="C",WORKDAY(Main[[#This Row],[Tech Start Date]],9),IF(Main[[#This Row],[Class]]="B", WORKDAY(Main[[#This Row],[Tech Start Date]],6),IF(Main[[#This Row],[Class]]="A",WORKDAY(Main[[#This Row],[Tech Start Date]],2),""))))</f>
        <v/>
      </c>
      <c r="N397" s="69" t="str">
        <f>IF(Main[[#This Row],[Tech Start Date]]&lt;1/1/1990,"",IF(Main[[#This Row],[Class]]="C",WORKDAY(Main[[#This Row],[Tech Start Date]],19),IF(Main[[#This Row],[Class]]="B", WORKDAY(Main[[#This Row],[Tech Start Date]],12),IF(Main[[#This Row],[Class]]="A",WORKDAY(Main[[#This Row],[Tech Start Date]],4),""))))</f>
        <v/>
      </c>
      <c r="O397" s="69" t="str">
        <f>IF(Main[[#This Row],[Tech Start Date]]&lt;1/1/1990,"",IF(Main[[#This Row],[Class]]="C",WORKDAY(Main[[#This Row],[Tech Start Date]],23),IF(Main[[#This Row],[Class]]="B", WORKDAY(Main[[#This Row],[Tech Start Date]],15),IF(Main[[#This Row],[Class]]="A",WORKDAY(Main[[#This Row],[Tech Start Date]],5),""))))</f>
        <v/>
      </c>
      <c r="P397" s="69" t="str">
        <f>IF(Main[[#This Row],[Tech Start Date]]&lt;1/1/1990,"",IF(Main[[#This Row],[Class]]="C",WORKDAY(Main[[#This Row],[Tech Start Date]],28),IF(Main[[#This Row],[Class]]="B", WORKDAY(Main[[#This Row],[Tech Start Date]],19),IF(Main[[#This Row],[Class]]="A",WORKDAY(Main[[#This Row],[Tech Start Date]],9),""))))</f>
        <v/>
      </c>
      <c r="Q397" s="67">
        <v>40725</v>
      </c>
      <c r="R397" s="67"/>
      <c r="S397" s="65" t="s">
        <v>17</v>
      </c>
      <c r="T397" s="70" t="s">
        <v>4</v>
      </c>
      <c r="U397" s="65" t="s">
        <v>14</v>
      </c>
      <c r="V397" s="65" t="s">
        <v>1917</v>
      </c>
      <c r="W397" s="65" t="s">
        <v>1919</v>
      </c>
      <c r="X397" s="65" t="s">
        <v>909</v>
      </c>
      <c r="Y397" s="65" t="s">
        <v>3023</v>
      </c>
      <c r="Z397" s="65" t="s">
        <v>4</v>
      </c>
      <c r="AA397" s="65" t="s">
        <v>909</v>
      </c>
    </row>
    <row r="398" spans="1:27" ht="17.45" customHeight="1">
      <c r="A398" s="131" t="str">
        <f>IF(priority(Main[[#This Row],[Comments]])&lt;&gt;0, priority(Main[[#This Row],[Comments]]),"")</f>
        <v/>
      </c>
      <c r="B398" s="99" t="s">
        <v>1258</v>
      </c>
      <c r="C398" s="65" t="s">
        <v>93</v>
      </c>
      <c r="D398" s="66" t="s">
        <v>322</v>
      </c>
      <c r="E398" s="67"/>
      <c r="F398" s="67">
        <v>40168</v>
      </c>
      <c r="G398" s="64" t="str">
        <f>IF(stdProdLT(Main[[#This Row],[Comments]])=0.1,"N/A",IF(stdProdLT(Main[[#This Row],[Comments]])=0,"",stdProdLT(Main[[#This Row],[Comments]])))</f>
        <v/>
      </c>
      <c r="H398" s="68" t="str">
        <f>IF(AND(Main[[#This Row],[In Stock Date]]&lt;&gt;"",Main[[#This Row],[Revised Due Date]]&lt;&gt;""),Main[[#This Row],[In Stock Date]]-Main[[#This Row],[Revised Due Date]],"")</f>
        <v/>
      </c>
      <c r="I398" s="65" t="s">
        <v>4</v>
      </c>
      <c r="J398" s="65" t="s">
        <v>4</v>
      </c>
      <c r="K398" s="65" t="s">
        <v>4</v>
      </c>
      <c r="L398" s="67"/>
      <c r="M398" s="69" t="str">
        <f>IF(Main[[#This Row],[Tech Start Date]]&lt;1/1/1990,"",IF(Main[[#This Row],[Class]]="C",WORKDAY(Main[[#This Row],[Tech Start Date]],9),IF(Main[[#This Row],[Class]]="B", WORKDAY(Main[[#This Row],[Tech Start Date]],6),IF(Main[[#This Row],[Class]]="A",WORKDAY(Main[[#This Row],[Tech Start Date]],2),""))))</f>
        <v/>
      </c>
      <c r="N398" s="69" t="str">
        <f>IF(Main[[#This Row],[Tech Start Date]]&lt;1/1/1990,"",IF(Main[[#This Row],[Class]]="C",WORKDAY(Main[[#This Row],[Tech Start Date]],19),IF(Main[[#This Row],[Class]]="B", WORKDAY(Main[[#This Row],[Tech Start Date]],12),IF(Main[[#This Row],[Class]]="A",WORKDAY(Main[[#This Row],[Tech Start Date]],4),""))))</f>
        <v/>
      </c>
      <c r="O398" s="69" t="str">
        <f>IF(Main[[#This Row],[Tech Start Date]]&lt;1/1/1990,"",IF(Main[[#This Row],[Class]]="C",WORKDAY(Main[[#This Row],[Tech Start Date]],23),IF(Main[[#This Row],[Class]]="B", WORKDAY(Main[[#This Row],[Tech Start Date]],15),IF(Main[[#This Row],[Class]]="A",WORKDAY(Main[[#This Row],[Tech Start Date]],5),""))))</f>
        <v/>
      </c>
      <c r="P398" s="69" t="str">
        <f>IF(Main[[#This Row],[Tech Start Date]]&lt;1/1/1990,"",IF(Main[[#This Row],[Class]]="C",WORKDAY(Main[[#This Row],[Tech Start Date]],28),IF(Main[[#This Row],[Class]]="B", WORKDAY(Main[[#This Row],[Tech Start Date]],19),IF(Main[[#This Row],[Class]]="A",WORKDAY(Main[[#This Row],[Tech Start Date]],9),""))))</f>
        <v/>
      </c>
      <c r="Q398" s="67">
        <v>39993</v>
      </c>
      <c r="R398" s="67"/>
      <c r="S398" s="65" t="s">
        <v>11</v>
      </c>
      <c r="T398" s="70" t="s">
        <v>4</v>
      </c>
      <c r="U398" s="65" t="s">
        <v>14</v>
      </c>
      <c r="V398" s="65" t="s">
        <v>1918</v>
      </c>
      <c r="W398" s="65" t="s">
        <v>1925</v>
      </c>
      <c r="X398" s="65" t="s">
        <v>2859</v>
      </c>
      <c r="Y398" s="65" t="s">
        <v>2997</v>
      </c>
      <c r="Z398" s="65" t="s">
        <v>4</v>
      </c>
      <c r="AA398" s="65" t="s">
        <v>2859</v>
      </c>
    </row>
    <row r="399" spans="1:27" ht="17.45" customHeight="1">
      <c r="A399" s="131" t="str">
        <f>IF(priority(Main[[#This Row],[Comments]])&lt;&gt;0, priority(Main[[#This Row],[Comments]]),"")</f>
        <v/>
      </c>
      <c r="B399" s="99" t="s">
        <v>1259</v>
      </c>
      <c r="C399" s="65" t="s">
        <v>93</v>
      </c>
      <c r="D399" s="66" t="s">
        <v>323</v>
      </c>
      <c r="E399" s="67"/>
      <c r="F399" s="67">
        <v>40299</v>
      </c>
      <c r="G399" s="64" t="str">
        <f>IF(stdProdLT(Main[[#This Row],[Comments]])=0.1,"N/A",IF(stdProdLT(Main[[#This Row],[Comments]])=0,"",stdProdLT(Main[[#This Row],[Comments]])))</f>
        <v/>
      </c>
      <c r="H399" s="68" t="str">
        <f>IF(AND(Main[[#This Row],[In Stock Date]]&lt;&gt;"",Main[[#This Row],[Revised Due Date]]&lt;&gt;""),Main[[#This Row],[In Stock Date]]-Main[[#This Row],[Revised Due Date]],"")</f>
        <v/>
      </c>
      <c r="I399" s="65" t="s">
        <v>4</v>
      </c>
      <c r="J399" s="65" t="s">
        <v>4</v>
      </c>
      <c r="K399" s="65" t="s">
        <v>4</v>
      </c>
      <c r="L399" s="67"/>
      <c r="M399" s="69" t="str">
        <f>IF(Main[[#This Row],[Tech Start Date]]&lt;1/1/1990,"",IF(Main[[#This Row],[Class]]="C",WORKDAY(Main[[#This Row],[Tech Start Date]],9),IF(Main[[#This Row],[Class]]="B", WORKDAY(Main[[#This Row],[Tech Start Date]],6),IF(Main[[#This Row],[Class]]="A",WORKDAY(Main[[#This Row],[Tech Start Date]],2),""))))</f>
        <v/>
      </c>
      <c r="N399" s="69" t="str">
        <f>IF(Main[[#This Row],[Tech Start Date]]&lt;1/1/1990,"",IF(Main[[#This Row],[Class]]="C",WORKDAY(Main[[#This Row],[Tech Start Date]],19),IF(Main[[#This Row],[Class]]="B", WORKDAY(Main[[#This Row],[Tech Start Date]],12),IF(Main[[#This Row],[Class]]="A",WORKDAY(Main[[#This Row],[Tech Start Date]],4),""))))</f>
        <v/>
      </c>
      <c r="O399" s="69" t="str">
        <f>IF(Main[[#This Row],[Tech Start Date]]&lt;1/1/1990,"",IF(Main[[#This Row],[Class]]="C",WORKDAY(Main[[#This Row],[Tech Start Date]],23),IF(Main[[#This Row],[Class]]="B", WORKDAY(Main[[#This Row],[Tech Start Date]],15),IF(Main[[#This Row],[Class]]="A",WORKDAY(Main[[#This Row],[Tech Start Date]],5),""))))</f>
        <v/>
      </c>
      <c r="P399" s="69" t="str">
        <f>IF(Main[[#This Row],[Tech Start Date]]&lt;1/1/1990,"",IF(Main[[#This Row],[Class]]="C",WORKDAY(Main[[#This Row],[Tech Start Date]],28),IF(Main[[#This Row],[Class]]="B", WORKDAY(Main[[#This Row],[Tech Start Date]],19),IF(Main[[#This Row],[Class]]="A",WORKDAY(Main[[#This Row],[Tech Start Date]],9),""))))</f>
        <v/>
      </c>
      <c r="Q399" s="67">
        <v>40214</v>
      </c>
      <c r="R399" s="67"/>
      <c r="S399" s="65" t="s">
        <v>11</v>
      </c>
      <c r="T399" s="70" t="s">
        <v>4</v>
      </c>
      <c r="U399" s="65" t="s">
        <v>12</v>
      </c>
      <c r="V399" s="65" t="s">
        <v>1917</v>
      </c>
      <c r="W399" s="65" t="s">
        <v>1923</v>
      </c>
      <c r="X399" s="65" t="s">
        <v>2851</v>
      </c>
      <c r="Y399" s="65" t="s">
        <v>4</v>
      </c>
      <c r="Z399" s="65" t="s">
        <v>4</v>
      </c>
      <c r="AA399" s="65" t="s">
        <v>2851</v>
      </c>
    </row>
    <row r="400" spans="1:27" ht="17.45" customHeight="1">
      <c r="A400" s="131" t="str">
        <f>IF(priority(Main[[#This Row],[Comments]])&lt;&gt;0, priority(Main[[#This Row],[Comments]]),"")</f>
        <v/>
      </c>
      <c r="B400" s="99" t="s">
        <v>1260</v>
      </c>
      <c r="C400" s="65" t="s">
        <v>4</v>
      </c>
      <c r="D400" s="66" t="s">
        <v>328</v>
      </c>
      <c r="E400" s="67"/>
      <c r="F400" s="67"/>
      <c r="G400" s="64" t="str">
        <f>IF(stdProdLT(Main[[#This Row],[Comments]])=0.1,"N/A",IF(stdProdLT(Main[[#This Row],[Comments]])=0,"",stdProdLT(Main[[#This Row],[Comments]])))</f>
        <v/>
      </c>
      <c r="H400" s="68" t="str">
        <f>IF(AND(Main[[#This Row],[In Stock Date]]&lt;&gt;"",Main[[#This Row],[Revised Due Date]]&lt;&gt;""),Main[[#This Row],[In Stock Date]]-Main[[#This Row],[Revised Due Date]],"")</f>
        <v/>
      </c>
      <c r="I400" s="65" t="s">
        <v>4</v>
      </c>
      <c r="J400" s="65" t="s">
        <v>4</v>
      </c>
      <c r="K400" s="65" t="s">
        <v>4</v>
      </c>
      <c r="L400" s="67"/>
      <c r="M400" s="69" t="str">
        <f>IF(Main[[#This Row],[Tech Start Date]]&lt;1/1/1990,"",IF(Main[[#This Row],[Class]]="C",WORKDAY(Main[[#This Row],[Tech Start Date]],9),IF(Main[[#This Row],[Class]]="B", WORKDAY(Main[[#This Row],[Tech Start Date]],6),IF(Main[[#This Row],[Class]]="A",WORKDAY(Main[[#This Row],[Tech Start Date]],2),""))))</f>
        <v/>
      </c>
      <c r="N400" s="69" t="str">
        <f>IF(Main[[#This Row],[Tech Start Date]]&lt;1/1/1990,"",IF(Main[[#This Row],[Class]]="C",WORKDAY(Main[[#This Row],[Tech Start Date]],19),IF(Main[[#This Row],[Class]]="B", WORKDAY(Main[[#This Row],[Tech Start Date]],12),IF(Main[[#This Row],[Class]]="A",WORKDAY(Main[[#This Row],[Tech Start Date]],4),""))))</f>
        <v/>
      </c>
      <c r="O400" s="69" t="str">
        <f>IF(Main[[#This Row],[Tech Start Date]]&lt;1/1/1990,"",IF(Main[[#This Row],[Class]]="C",WORKDAY(Main[[#This Row],[Tech Start Date]],23),IF(Main[[#This Row],[Class]]="B", WORKDAY(Main[[#This Row],[Tech Start Date]],15),IF(Main[[#This Row],[Class]]="A",WORKDAY(Main[[#This Row],[Tech Start Date]],5),""))))</f>
        <v/>
      </c>
      <c r="P400" s="69" t="str">
        <f>IF(Main[[#This Row],[Tech Start Date]]&lt;1/1/1990,"",IF(Main[[#This Row],[Class]]="C",WORKDAY(Main[[#This Row],[Tech Start Date]],28),IF(Main[[#This Row],[Class]]="B", WORKDAY(Main[[#This Row],[Tech Start Date]],19),IF(Main[[#This Row],[Class]]="A",WORKDAY(Main[[#This Row],[Tech Start Date]],9),""))))</f>
        <v/>
      </c>
      <c r="Q400" s="67"/>
      <c r="R400" s="67"/>
      <c r="S400" s="65" t="s">
        <v>17</v>
      </c>
      <c r="T400" s="70" t="s">
        <v>4</v>
      </c>
      <c r="U400" s="65" t="s">
        <v>14</v>
      </c>
      <c r="V400" s="65" t="s">
        <v>1917</v>
      </c>
      <c r="W400" s="65" t="s">
        <v>1919</v>
      </c>
      <c r="X400" s="65" t="s">
        <v>909</v>
      </c>
      <c r="Y400" s="65" t="s">
        <v>3023</v>
      </c>
      <c r="Z400" s="65" t="s">
        <v>4</v>
      </c>
      <c r="AA400" s="65" t="s">
        <v>909</v>
      </c>
    </row>
    <row r="401" spans="1:27" ht="17.45" customHeight="1">
      <c r="A401" s="131" t="str">
        <f>IF(priority(Main[[#This Row],[Comments]])&lt;&gt;0, priority(Main[[#This Row],[Comments]]),"")</f>
        <v/>
      </c>
      <c r="B401" s="99" t="s">
        <v>3608</v>
      </c>
      <c r="C401" s="65" t="s">
        <v>4</v>
      </c>
      <c r="D401" s="66" t="s">
        <v>3609</v>
      </c>
      <c r="E401" s="67">
        <v>40967.694027777776</v>
      </c>
      <c r="F401" s="67"/>
      <c r="G401" s="64" t="str">
        <f>IF(stdProdLT(Main[[#This Row],[Comments]])=0.1,"N/A",IF(stdProdLT(Main[[#This Row],[Comments]])=0,"",stdProdLT(Main[[#This Row],[Comments]])))</f>
        <v/>
      </c>
      <c r="H401" s="68" t="str">
        <f>IF(AND(Main[[#This Row],[In Stock Date]]&lt;&gt;"",Main[[#This Row],[Revised Due Date]]&lt;&gt;""),Main[[#This Row],[In Stock Date]]-Main[[#This Row],[Revised Due Date]],"")</f>
        <v/>
      </c>
      <c r="I401" s="65" t="s">
        <v>4</v>
      </c>
      <c r="J401" s="65" t="s">
        <v>4</v>
      </c>
      <c r="K401" s="65" t="s">
        <v>4</v>
      </c>
      <c r="L401" s="67"/>
      <c r="M401" s="69" t="str">
        <f>IF(Main[[#This Row],[Tech Start Date]]&lt;1/1/1990,"",IF(Main[[#This Row],[Class]]="C",WORKDAY(Main[[#This Row],[Tech Start Date]],9),IF(Main[[#This Row],[Class]]="B", WORKDAY(Main[[#This Row],[Tech Start Date]],6),IF(Main[[#This Row],[Class]]="A",WORKDAY(Main[[#This Row],[Tech Start Date]],2),""))))</f>
        <v/>
      </c>
      <c r="N401" s="69" t="str">
        <f>IF(Main[[#This Row],[Tech Start Date]]&lt;1/1/1990,"",IF(Main[[#This Row],[Class]]="C",WORKDAY(Main[[#This Row],[Tech Start Date]],19),IF(Main[[#This Row],[Class]]="B", WORKDAY(Main[[#This Row],[Tech Start Date]],12),IF(Main[[#This Row],[Class]]="A",WORKDAY(Main[[#This Row],[Tech Start Date]],4),""))))</f>
        <v/>
      </c>
      <c r="O401" s="69" t="str">
        <f>IF(Main[[#This Row],[Tech Start Date]]&lt;1/1/1990,"",IF(Main[[#This Row],[Class]]="C",WORKDAY(Main[[#This Row],[Tech Start Date]],23),IF(Main[[#This Row],[Class]]="B", WORKDAY(Main[[#This Row],[Tech Start Date]],15),IF(Main[[#This Row],[Class]]="A",WORKDAY(Main[[#This Row],[Tech Start Date]],5),""))))</f>
        <v/>
      </c>
      <c r="P401" s="69" t="str">
        <f>IF(Main[[#This Row],[Tech Start Date]]&lt;1/1/1990,"",IF(Main[[#This Row],[Class]]="C",WORKDAY(Main[[#This Row],[Tech Start Date]],28),IF(Main[[#This Row],[Class]]="B", WORKDAY(Main[[#This Row],[Tech Start Date]],19),IF(Main[[#This Row],[Class]]="A",WORKDAY(Main[[#This Row],[Tech Start Date]],9),""))))</f>
        <v/>
      </c>
      <c r="Q401" s="67"/>
      <c r="R401" s="67"/>
      <c r="S401" s="65" t="s">
        <v>6</v>
      </c>
      <c r="T401" s="70" t="s">
        <v>4</v>
      </c>
      <c r="U401" s="65" t="s">
        <v>7</v>
      </c>
      <c r="V401" s="65" t="s">
        <v>1920</v>
      </c>
      <c r="W401" s="65" t="s">
        <v>1921</v>
      </c>
      <c r="X401" s="65" t="s">
        <v>69</v>
      </c>
      <c r="Y401" s="65" t="s">
        <v>4</v>
      </c>
      <c r="Z401" s="65" t="s">
        <v>4</v>
      </c>
      <c r="AA401" s="65" t="s">
        <v>4</v>
      </c>
    </row>
    <row r="402" spans="1:27" ht="17.45" customHeight="1">
      <c r="A402" s="131" t="str">
        <f>IF(priority(Main[[#This Row],[Comments]])&lt;&gt;0, priority(Main[[#This Row],[Comments]]),"")</f>
        <v/>
      </c>
      <c r="B402" s="99" t="s">
        <v>1261</v>
      </c>
      <c r="C402" s="65" t="s">
        <v>4</v>
      </c>
      <c r="D402" s="66" t="s">
        <v>329</v>
      </c>
      <c r="E402" s="67">
        <v>40519.3518287037</v>
      </c>
      <c r="F402" s="67"/>
      <c r="G402" s="64" t="str">
        <f>IF(stdProdLT(Main[[#This Row],[Comments]])=0.1,"N/A",IF(stdProdLT(Main[[#This Row],[Comments]])=0,"",stdProdLT(Main[[#This Row],[Comments]])))</f>
        <v/>
      </c>
      <c r="H402" s="68" t="str">
        <f>IF(AND(Main[[#This Row],[In Stock Date]]&lt;&gt;"",Main[[#This Row],[Revised Due Date]]&lt;&gt;""),Main[[#This Row],[In Stock Date]]-Main[[#This Row],[Revised Due Date]],"")</f>
        <v/>
      </c>
      <c r="I402" s="65" t="s">
        <v>4</v>
      </c>
      <c r="J402" s="65" t="s">
        <v>4</v>
      </c>
      <c r="K402" s="65" t="s">
        <v>4</v>
      </c>
      <c r="L402" s="67"/>
      <c r="M402" s="69" t="str">
        <f>IF(Main[[#This Row],[Tech Start Date]]&lt;1/1/1990,"",IF(Main[[#This Row],[Class]]="C",WORKDAY(Main[[#This Row],[Tech Start Date]],9),IF(Main[[#This Row],[Class]]="B", WORKDAY(Main[[#This Row],[Tech Start Date]],6),IF(Main[[#This Row],[Class]]="A",WORKDAY(Main[[#This Row],[Tech Start Date]],2),""))))</f>
        <v/>
      </c>
      <c r="N402" s="69" t="str">
        <f>IF(Main[[#This Row],[Tech Start Date]]&lt;1/1/1990,"",IF(Main[[#This Row],[Class]]="C",WORKDAY(Main[[#This Row],[Tech Start Date]],19),IF(Main[[#This Row],[Class]]="B", WORKDAY(Main[[#This Row],[Tech Start Date]],12),IF(Main[[#This Row],[Class]]="A",WORKDAY(Main[[#This Row],[Tech Start Date]],4),""))))</f>
        <v/>
      </c>
      <c r="O402" s="69" t="str">
        <f>IF(Main[[#This Row],[Tech Start Date]]&lt;1/1/1990,"",IF(Main[[#This Row],[Class]]="C",WORKDAY(Main[[#This Row],[Tech Start Date]],23),IF(Main[[#This Row],[Class]]="B", WORKDAY(Main[[#This Row],[Tech Start Date]],15),IF(Main[[#This Row],[Class]]="A",WORKDAY(Main[[#This Row],[Tech Start Date]],5),""))))</f>
        <v/>
      </c>
      <c r="P402" s="69" t="str">
        <f>IF(Main[[#This Row],[Tech Start Date]]&lt;1/1/1990,"",IF(Main[[#This Row],[Class]]="C",WORKDAY(Main[[#This Row],[Tech Start Date]],28),IF(Main[[#This Row],[Class]]="B", WORKDAY(Main[[#This Row],[Tech Start Date]],19),IF(Main[[#This Row],[Class]]="A",WORKDAY(Main[[#This Row],[Tech Start Date]],9),""))))</f>
        <v/>
      </c>
      <c r="Q402" s="67">
        <v>40536</v>
      </c>
      <c r="R402" s="67"/>
      <c r="S402" s="65" t="s">
        <v>4</v>
      </c>
      <c r="T402" s="70" t="s">
        <v>4</v>
      </c>
      <c r="U402" s="65" t="s">
        <v>7</v>
      </c>
      <c r="V402" s="65" t="s">
        <v>1917</v>
      </c>
      <c r="W402" s="65" t="s">
        <v>4</v>
      </c>
      <c r="X402" s="65" t="s">
        <v>2824</v>
      </c>
      <c r="Y402" s="65" t="s">
        <v>2935</v>
      </c>
      <c r="Z402" s="65" t="s">
        <v>4</v>
      </c>
      <c r="AA402" s="65" t="s">
        <v>2824</v>
      </c>
    </row>
    <row r="403" spans="1:27" ht="17.45" customHeight="1">
      <c r="A403" s="131" t="str">
        <f>IF(priority(Main[[#This Row],[Comments]])&lt;&gt;0, priority(Main[[#This Row],[Comments]]),"")</f>
        <v/>
      </c>
      <c r="B403" s="99" t="s">
        <v>1262</v>
      </c>
      <c r="C403" s="65" t="s">
        <v>72</v>
      </c>
      <c r="D403" s="66" t="s">
        <v>330</v>
      </c>
      <c r="E403" s="67"/>
      <c r="F403" s="67">
        <v>40313</v>
      </c>
      <c r="G403" s="64" t="str">
        <f>IF(stdProdLT(Main[[#This Row],[Comments]])=0.1,"N/A",IF(stdProdLT(Main[[#This Row],[Comments]])=0,"",stdProdLT(Main[[#This Row],[Comments]])))</f>
        <v/>
      </c>
      <c r="H403" s="68" t="str">
        <f>IF(AND(Main[[#This Row],[In Stock Date]]&lt;&gt;"",Main[[#This Row],[Revised Due Date]]&lt;&gt;""),Main[[#This Row],[In Stock Date]]-Main[[#This Row],[Revised Due Date]],"")</f>
        <v/>
      </c>
      <c r="I403" s="65" t="s">
        <v>4</v>
      </c>
      <c r="J403" s="65" t="s">
        <v>4</v>
      </c>
      <c r="K403" s="65" t="s">
        <v>4</v>
      </c>
      <c r="L403" s="67"/>
      <c r="M403" s="69" t="str">
        <f>IF(Main[[#This Row],[Tech Start Date]]&lt;1/1/1990,"",IF(Main[[#This Row],[Class]]="C",WORKDAY(Main[[#This Row],[Tech Start Date]],9),IF(Main[[#This Row],[Class]]="B", WORKDAY(Main[[#This Row],[Tech Start Date]],6),IF(Main[[#This Row],[Class]]="A",WORKDAY(Main[[#This Row],[Tech Start Date]],2),""))))</f>
        <v/>
      </c>
      <c r="N403" s="69" t="str">
        <f>IF(Main[[#This Row],[Tech Start Date]]&lt;1/1/1990,"",IF(Main[[#This Row],[Class]]="C",WORKDAY(Main[[#This Row],[Tech Start Date]],19),IF(Main[[#This Row],[Class]]="B", WORKDAY(Main[[#This Row],[Tech Start Date]],12),IF(Main[[#This Row],[Class]]="A",WORKDAY(Main[[#This Row],[Tech Start Date]],4),""))))</f>
        <v/>
      </c>
      <c r="O403" s="69" t="str">
        <f>IF(Main[[#This Row],[Tech Start Date]]&lt;1/1/1990,"",IF(Main[[#This Row],[Class]]="C",WORKDAY(Main[[#This Row],[Tech Start Date]],23),IF(Main[[#This Row],[Class]]="B", WORKDAY(Main[[#This Row],[Tech Start Date]],15),IF(Main[[#This Row],[Class]]="A",WORKDAY(Main[[#This Row],[Tech Start Date]],5),""))))</f>
        <v/>
      </c>
      <c r="P403" s="69" t="str">
        <f>IF(Main[[#This Row],[Tech Start Date]]&lt;1/1/1990,"",IF(Main[[#This Row],[Class]]="C",WORKDAY(Main[[#This Row],[Tech Start Date]],28),IF(Main[[#This Row],[Class]]="B", WORKDAY(Main[[#This Row],[Tech Start Date]],19),IF(Main[[#This Row],[Class]]="A",WORKDAY(Main[[#This Row],[Tech Start Date]],9),""))))</f>
        <v/>
      </c>
      <c r="Q403" s="67">
        <v>40233</v>
      </c>
      <c r="R403" s="67"/>
      <c r="S403" s="65" t="s">
        <v>11</v>
      </c>
      <c r="T403" s="70" t="s">
        <v>4</v>
      </c>
      <c r="U403" s="65" t="s">
        <v>14</v>
      </c>
      <c r="V403" s="65" t="s">
        <v>1920</v>
      </c>
      <c r="W403" s="65" t="s">
        <v>1925</v>
      </c>
      <c r="X403" s="65" t="s">
        <v>2830</v>
      </c>
      <c r="Y403" s="65" t="s">
        <v>2949</v>
      </c>
      <c r="Z403" s="65" t="s">
        <v>4</v>
      </c>
      <c r="AA403" s="65" t="s">
        <v>2830</v>
      </c>
    </row>
    <row r="404" spans="1:27" ht="17.45" customHeight="1">
      <c r="A404" s="131" t="str">
        <f>IF(priority(Main[[#This Row],[Comments]])&lt;&gt;0, priority(Main[[#This Row],[Comments]]),"")</f>
        <v/>
      </c>
      <c r="B404" s="99" t="s">
        <v>1263</v>
      </c>
      <c r="C404" s="65" t="s">
        <v>4</v>
      </c>
      <c r="D404" s="66" t="s">
        <v>331</v>
      </c>
      <c r="E404" s="67"/>
      <c r="F404" s="67"/>
      <c r="G404" s="64" t="str">
        <f>IF(stdProdLT(Main[[#This Row],[Comments]])=0.1,"N/A",IF(stdProdLT(Main[[#This Row],[Comments]])=0,"",stdProdLT(Main[[#This Row],[Comments]])))</f>
        <v/>
      </c>
      <c r="H404" s="68" t="str">
        <f>IF(AND(Main[[#This Row],[In Stock Date]]&lt;&gt;"",Main[[#This Row],[Revised Due Date]]&lt;&gt;""),Main[[#This Row],[In Stock Date]]-Main[[#This Row],[Revised Due Date]],"")</f>
        <v/>
      </c>
      <c r="I404" s="65" t="s">
        <v>4</v>
      </c>
      <c r="J404" s="65" t="s">
        <v>4</v>
      </c>
      <c r="K404" s="65" t="s">
        <v>4</v>
      </c>
      <c r="L404" s="67"/>
      <c r="M404" s="69" t="str">
        <f>IF(Main[[#This Row],[Tech Start Date]]&lt;1/1/1990,"",IF(Main[[#This Row],[Class]]="C",WORKDAY(Main[[#This Row],[Tech Start Date]],9),IF(Main[[#This Row],[Class]]="B", WORKDAY(Main[[#This Row],[Tech Start Date]],6),IF(Main[[#This Row],[Class]]="A",WORKDAY(Main[[#This Row],[Tech Start Date]],2),""))))</f>
        <v/>
      </c>
      <c r="N404" s="69" t="str">
        <f>IF(Main[[#This Row],[Tech Start Date]]&lt;1/1/1990,"",IF(Main[[#This Row],[Class]]="C",WORKDAY(Main[[#This Row],[Tech Start Date]],19),IF(Main[[#This Row],[Class]]="B", WORKDAY(Main[[#This Row],[Tech Start Date]],12),IF(Main[[#This Row],[Class]]="A",WORKDAY(Main[[#This Row],[Tech Start Date]],4),""))))</f>
        <v/>
      </c>
      <c r="O404" s="69" t="str">
        <f>IF(Main[[#This Row],[Tech Start Date]]&lt;1/1/1990,"",IF(Main[[#This Row],[Class]]="C",WORKDAY(Main[[#This Row],[Tech Start Date]],23),IF(Main[[#This Row],[Class]]="B", WORKDAY(Main[[#This Row],[Tech Start Date]],15),IF(Main[[#This Row],[Class]]="A",WORKDAY(Main[[#This Row],[Tech Start Date]],5),""))))</f>
        <v/>
      </c>
      <c r="P404" s="69" t="str">
        <f>IF(Main[[#This Row],[Tech Start Date]]&lt;1/1/1990,"",IF(Main[[#This Row],[Class]]="C",WORKDAY(Main[[#This Row],[Tech Start Date]],28),IF(Main[[#This Row],[Class]]="B", WORKDAY(Main[[#This Row],[Tech Start Date]],19),IF(Main[[#This Row],[Class]]="A",WORKDAY(Main[[#This Row],[Tech Start Date]],9),""))))</f>
        <v/>
      </c>
      <c r="Q404" s="67"/>
      <c r="R404" s="67"/>
      <c r="S404" s="65" t="s">
        <v>11</v>
      </c>
      <c r="T404" s="70" t="s">
        <v>4</v>
      </c>
      <c r="U404" s="65" t="s">
        <v>12</v>
      </c>
      <c r="V404" s="65" t="s">
        <v>1917</v>
      </c>
      <c r="W404" s="65" t="s">
        <v>1931</v>
      </c>
      <c r="X404" s="65" t="s">
        <v>924</v>
      </c>
      <c r="Y404" s="65" t="s">
        <v>2988</v>
      </c>
      <c r="Z404" s="65" t="s">
        <v>4</v>
      </c>
      <c r="AA404" s="65" t="s">
        <v>924</v>
      </c>
    </row>
    <row r="405" spans="1:27" ht="17.45" customHeight="1">
      <c r="A405" s="131" t="str">
        <f>IF(priority(Main[[#This Row],[Comments]])&lt;&gt;0, priority(Main[[#This Row],[Comments]]),"")</f>
        <v/>
      </c>
      <c r="B405" s="99" t="s">
        <v>1264</v>
      </c>
      <c r="C405" s="65" t="s">
        <v>4</v>
      </c>
      <c r="D405" s="66" t="s">
        <v>332</v>
      </c>
      <c r="E405" s="67">
        <v>40322.153738425928</v>
      </c>
      <c r="F405" s="67"/>
      <c r="G405" s="64" t="str">
        <f>IF(stdProdLT(Main[[#This Row],[Comments]])=0.1,"N/A",IF(stdProdLT(Main[[#This Row],[Comments]])=0,"",stdProdLT(Main[[#This Row],[Comments]])))</f>
        <v/>
      </c>
      <c r="H405" s="68" t="str">
        <f>IF(AND(Main[[#This Row],[In Stock Date]]&lt;&gt;"",Main[[#This Row],[Revised Due Date]]&lt;&gt;""),Main[[#This Row],[In Stock Date]]-Main[[#This Row],[Revised Due Date]],"")</f>
        <v/>
      </c>
      <c r="I405" s="65" t="s">
        <v>129</v>
      </c>
      <c r="J405" s="65" t="s">
        <v>4</v>
      </c>
      <c r="K405" s="65" t="s">
        <v>4</v>
      </c>
      <c r="L405" s="67"/>
      <c r="M405" s="69" t="str">
        <f>IF(Main[[#This Row],[Tech Start Date]]&lt;1/1/1990,"",IF(Main[[#This Row],[Class]]="C",WORKDAY(Main[[#This Row],[Tech Start Date]],9),IF(Main[[#This Row],[Class]]="B", WORKDAY(Main[[#This Row],[Tech Start Date]],6),IF(Main[[#This Row],[Class]]="A",WORKDAY(Main[[#This Row],[Tech Start Date]],2),""))))</f>
        <v/>
      </c>
      <c r="N405" s="69" t="str">
        <f>IF(Main[[#This Row],[Tech Start Date]]&lt;1/1/1990,"",IF(Main[[#This Row],[Class]]="C",WORKDAY(Main[[#This Row],[Tech Start Date]],19),IF(Main[[#This Row],[Class]]="B", WORKDAY(Main[[#This Row],[Tech Start Date]],12),IF(Main[[#This Row],[Class]]="A",WORKDAY(Main[[#This Row],[Tech Start Date]],4),""))))</f>
        <v/>
      </c>
      <c r="O405" s="69" t="str">
        <f>IF(Main[[#This Row],[Tech Start Date]]&lt;1/1/1990,"",IF(Main[[#This Row],[Class]]="C",WORKDAY(Main[[#This Row],[Tech Start Date]],23),IF(Main[[#This Row],[Class]]="B", WORKDAY(Main[[#This Row],[Tech Start Date]],15),IF(Main[[#This Row],[Class]]="A",WORKDAY(Main[[#This Row],[Tech Start Date]],5),""))))</f>
        <v/>
      </c>
      <c r="P405" s="69" t="str">
        <f>IF(Main[[#This Row],[Tech Start Date]]&lt;1/1/1990,"",IF(Main[[#This Row],[Class]]="C",WORKDAY(Main[[#This Row],[Tech Start Date]],28),IF(Main[[#This Row],[Class]]="B", WORKDAY(Main[[#This Row],[Tech Start Date]],19),IF(Main[[#This Row],[Class]]="A",WORKDAY(Main[[#This Row],[Tech Start Date]],9),""))))</f>
        <v/>
      </c>
      <c r="Q405" s="67">
        <v>40353</v>
      </c>
      <c r="R405" s="67"/>
      <c r="S405" s="65" t="s">
        <v>6</v>
      </c>
      <c r="T405" s="70" t="s">
        <v>4</v>
      </c>
      <c r="U405" s="65" t="s">
        <v>7</v>
      </c>
      <c r="V405" s="65" t="s">
        <v>1917</v>
      </c>
      <c r="W405" s="65" t="s">
        <v>1919</v>
      </c>
      <c r="X405" s="65" t="s">
        <v>2828</v>
      </c>
      <c r="Y405" s="65" t="s">
        <v>2944</v>
      </c>
      <c r="Z405" s="65" t="s">
        <v>4</v>
      </c>
      <c r="AA405" s="65" t="s">
        <v>2828</v>
      </c>
    </row>
    <row r="406" spans="1:27" ht="17.45" customHeight="1">
      <c r="A406" s="131" t="str">
        <f>IF(priority(Main[[#This Row],[Comments]])&lt;&gt;0, priority(Main[[#This Row],[Comments]]),"")</f>
        <v/>
      </c>
      <c r="B406" s="99" t="s">
        <v>1265</v>
      </c>
      <c r="C406" s="65" t="s">
        <v>169</v>
      </c>
      <c r="D406" s="66" t="s">
        <v>333</v>
      </c>
      <c r="E406" s="67"/>
      <c r="F406" s="67">
        <v>40237</v>
      </c>
      <c r="G406" s="64" t="str">
        <f>IF(stdProdLT(Main[[#This Row],[Comments]])=0.1,"N/A",IF(stdProdLT(Main[[#This Row],[Comments]])=0,"",stdProdLT(Main[[#This Row],[Comments]])))</f>
        <v/>
      </c>
      <c r="H406" s="68" t="str">
        <f>IF(AND(Main[[#This Row],[In Stock Date]]&lt;&gt;"",Main[[#This Row],[Revised Due Date]]&lt;&gt;""),Main[[#This Row],[In Stock Date]]-Main[[#This Row],[Revised Due Date]],"")</f>
        <v/>
      </c>
      <c r="I406" s="65" t="s">
        <v>4</v>
      </c>
      <c r="J406" s="65" t="s">
        <v>4</v>
      </c>
      <c r="K406" s="65" t="s">
        <v>4</v>
      </c>
      <c r="L406" s="67"/>
      <c r="M406" s="69" t="str">
        <f>IF(Main[[#This Row],[Tech Start Date]]&lt;1/1/1990,"",IF(Main[[#This Row],[Class]]="C",WORKDAY(Main[[#This Row],[Tech Start Date]],9),IF(Main[[#This Row],[Class]]="B", WORKDAY(Main[[#This Row],[Tech Start Date]],6),IF(Main[[#This Row],[Class]]="A",WORKDAY(Main[[#This Row],[Tech Start Date]],2),""))))</f>
        <v/>
      </c>
      <c r="N406" s="69" t="str">
        <f>IF(Main[[#This Row],[Tech Start Date]]&lt;1/1/1990,"",IF(Main[[#This Row],[Class]]="C",WORKDAY(Main[[#This Row],[Tech Start Date]],19),IF(Main[[#This Row],[Class]]="B", WORKDAY(Main[[#This Row],[Tech Start Date]],12),IF(Main[[#This Row],[Class]]="A",WORKDAY(Main[[#This Row],[Tech Start Date]],4),""))))</f>
        <v/>
      </c>
      <c r="O406" s="69" t="str">
        <f>IF(Main[[#This Row],[Tech Start Date]]&lt;1/1/1990,"",IF(Main[[#This Row],[Class]]="C",WORKDAY(Main[[#This Row],[Tech Start Date]],23),IF(Main[[#This Row],[Class]]="B", WORKDAY(Main[[#This Row],[Tech Start Date]],15),IF(Main[[#This Row],[Class]]="A",WORKDAY(Main[[#This Row],[Tech Start Date]],5),""))))</f>
        <v/>
      </c>
      <c r="P406" s="69" t="str">
        <f>IF(Main[[#This Row],[Tech Start Date]]&lt;1/1/1990,"",IF(Main[[#This Row],[Class]]="C",WORKDAY(Main[[#This Row],[Tech Start Date]],28),IF(Main[[#This Row],[Class]]="B", WORKDAY(Main[[#This Row],[Tech Start Date]],19),IF(Main[[#This Row],[Class]]="A",WORKDAY(Main[[#This Row],[Tech Start Date]],9),""))))</f>
        <v/>
      </c>
      <c r="Q406" s="67">
        <v>40132</v>
      </c>
      <c r="R406" s="67"/>
      <c r="S406" s="65" t="s">
        <v>11</v>
      </c>
      <c r="T406" s="70" t="s">
        <v>4</v>
      </c>
      <c r="U406" s="65" t="s">
        <v>14</v>
      </c>
      <c r="V406" s="65" t="s">
        <v>1917</v>
      </c>
      <c r="W406" s="65" t="s">
        <v>1922</v>
      </c>
      <c r="X406" s="65" t="s">
        <v>2864</v>
      </c>
      <c r="Y406" s="65" t="s">
        <v>4</v>
      </c>
      <c r="Z406" s="65" t="s">
        <v>4</v>
      </c>
      <c r="AA406" s="65" t="s">
        <v>2864</v>
      </c>
    </row>
    <row r="407" spans="1:27" ht="17.45" customHeight="1">
      <c r="A407" s="131" t="str">
        <f>IF(priority(Main[[#This Row],[Comments]])&lt;&gt;0, priority(Main[[#This Row],[Comments]]),"")</f>
        <v/>
      </c>
      <c r="B407" s="99" t="s">
        <v>1266</v>
      </c>
      <c r="C407" s="65" t="s">
        <v>4</v>
      </c>
      <c r="D407" s="66" t="s">
        <v>341</v>
      </c>
      <c r="E407" s="67"/>
      <c r="F407" s="67"/>
      <c r="G407" s="64" t="str">
        <f>IF(stdProdLT(Main[[#This Row],[Comments]])=0.1,"N/A",IF(stdProdLT(Main[[#This Row],[Comments]])=0,"",stdProdLT(Main[[#This Row],[Comments]])))</f>
        <v/>
      </c>
      <c r="H407" s="68" t="str">
        <f>IF(AND(Main[[#This Row],[In Stock Date]]&lt;&gt;"",Main[[#This Row],[Revised Due Date]]&lt;&gt;""),Main[[#This Row],[In Stock Date]]-Main[[#This Row],[Revised Due Date]],"")</f>
        <v/>
      </c>
      <c r="I407" s="65" t="s">
        <v>4</v>
      </c>
      <c r="J407" s="65" t="s">
        <v>4</v>
      </c>
      <c r="K407" s="71" t="s">
        <v>4</v>
      </c>
      <c r="L407" s="67"/>
      <c r="M407" s="69" t="str">
        <f>IF(Main[[#This Row],[Tech Start Date]]&lt;1/1/1990,"",IF(Main[[#This Row],[Class]]="C",WORKDAY(Main[[#This Row],[Tech Start Date]],9),IF(Main[[#This Row],[Class]]="B", WORKDAY(Main[[#This Row],[Tech Start Date]],6),IF(Main[[#This Row],[Class]]="A",WORKDAY(Main[[#This Row],[Tech Start Date]],2),""))))</f>
        <v/>
      </c>
      <c r="N407" s="69" t="str">
        <f>IF(Main[[#This Row],[Tech Start Date]]&lt;1/1/1990,"",IF(Main[[#This Row],[Class]]="C",WORKDAY(Main[[#This Row],[Tech Start Date]],19),IF(Main[[#This Row],[Class]]="B", WORKDAY(Main[[#This Row],[Tech Start Date]],12),IF(Main[[#This Row],[Class]]="A",WORKDAY(Main[[#This Row],[Tech Start Date]],4),""))))</f>
        <v/>
      </c>
      <c r="O407" s="69" t="str">
        <f>IF(Main[[#This Row],[Tech Start Date]]&lt;1/1/1990,"",IF(Main[[#This Row],[Class]]="C",WORKDAY(Main[[#This Row],[Tech Start Date]],23),IF(Main[[#This Row],[Class]]="B", WORKDAY(Main[[#This Row],[Tech Start Date]],15),IF(Main[[#This Row],[Class]]="A",WORKDAY(Main[[#This Row],[Tech Start Date]],5),""))))</f>
        <v/>
      </c>
      <c r="P407" s="69" t="str">
        <f>IF(Main[[#This Row],[Tech Start Date]]&lt;1/1/1990,"",IF(Main[[#This Row],[Class]]="C",WORKDAY(Main[[#This Row],[Tech Start Date]],28),IF(Main[[#This Row],[Class]]="B", WORKDAY(Main[[#This Row],[Tech Start Date]],19),IF(Main[[#This Row],[Class]]="A",WORKDAY(Main[[#This Row],[Tech Start Date]],9),""))))</f>
        <v/>
      </c>
      <c r="Q407" s="67"/>
      <c r="R407" s="67"/>
      <c r="S407" s="65" t="s">
        <v>11</v>
      </c>
      <c r="T407" s="70" t="s">
        <v>4</v>
      </c>
      <c r="U407" s="65" t="s">
        <v>14</v>
      </c>
      <c r="V407" s="65" t="s">
        <v>1918</v>
      </c>
      <c r="W407" s="65" t="s">
        <v>1925</v>
      </c>
      <c r="X407" s="65" t="s">
        <v>2868</v>
      </c>
      <c r="Y407" s="65" t="s">
        <v>3012</v>
      </c>
      <c r="Z407" s="65" t="s">
        <v>4</v>
      </c>
      <c r="AA407" s="65" t="s">
        <v>2868</v>
      </c>
    </row>
    <row r="408" spans="1:27" ht="17.45" customHeight="1">
      <c r="A408" s="131" t="str">
        <f>IF(priority(Main[[#This Row],[Comments]])&lt;&gt;0, priority(Main[[#This Row],[Comments]]),"")</f>
        <v/>
      </c>
      <c r="B408" s="99" t="s">
        <v>1205</v>
      </c>
      <c r="C408" s="65" t="s">
        <v>4</v>
      </c>
      <c r="D408" s="66" t="s">
        <v>261</v>
      </c>
      <c r="E408" s="67"/>
      <c r="F408" s="67"/>
      <c r="G408" s="64" t="str">
        <f>IF(stdProdLT(Main[[#This Row],[Comments]])=0.1,"N/A",IF(stdProdLT(Main[[#This Row],[Comments]])=0,"",stdProdLT(Main[[#This Row],[Comments]])))</f>
        <v/>
      </c>
      <c r="H408" s="68" t="str">
        <f>IF(AND(Main[[#This Row],[In Stock Date]]&lt;&gt;"",Main[[#This Row],[Revised Due Date]]&lt;&gt;""),Main[[#This Row],[In Stock Date]]-Main[[#This Row],[Revised Due Date]],"")</f>
        <v/>
      </c>
      <c r="I408" s="65" t="s">
        <v>4</v>
      </c>
      <c r="J408" s="65" t="s">
        <v>4</v>
      </c>
      <c r="K408" s="65" t="s">
        <v>4</v>
      </c>
      <c r="L408" s="67"/>
      <c r="M408" s="69" t="str">
        <f>IF(Main[[#This Row],[Tech Start Date]]&lt;1/1/1990,"",IF(Main[[#This Row],[Class]]="C",WORKDAY(Main[[#This Row],[Tech Start Date]],9),IF(Main[[#This Row],[Class]]="B", WORKDAY(Main[[#This Row],[Tech Start Date]],6),IF(Main[[#This Row],[Class]]="A",WORKDAY(Main[[#This Row],[Tech Start Date]],2),""))))</f>
        <v/>
      </c>
      <c r="N408" s="69" t="str">
        <f>IF(Main[[#This Row],[Tech Start Date]]&lt;1/1/1990,"",IF(Main[[#This Row],[Class]]="C",WORKDAY(Main[[#This Row],[Tech Start Date]],19),IF(Main[[#This Row],[Class]]="B", WORKDAY(Main[[#This Row],[Tech Start Date]],12),IF(Main[[#This Row],[Class]]="A",WORKDAY(Main[[#This Row],[Tech Start Date]],4),""))))</f>
        <v/>
      </c>
      <c r="O408" s="69" t="str">
        <f>IF(Main[[#This Row],[Tech Start Date]]&lt;1/1/1990,"",IF(Main[[#This Row],[Class]]="C",WORKDAY(Main[[#This Row],[Tech Start Date]],23),IF(Main[[#This Row],[Class]]="B", WORKDAY(Main[[#This Row],[Tech Start Date]],15),IF(Main[[#This Row],[Class]]="A",WORKDAY(Main[[#This Row],[Tech Start Date]],5),""))))</f>
        <v/>
      </c>
      <c r="P408" s="69" t="str">
        <f>IF(Main[[#This Row],[Tech Start Date]]&lt;1/1/1990,"",IF(Main[[#This Row],[Class]]="C",WORKDAY(Main[[#This Row],[Tech Start Date]],28),IF(Main[[#This Row],[Class]]="B", WORKDAY(Main[[#This Row],[Tech Start Date]],19),IF(Main[[#This Row],[Class]]="A",WORKDAY(Main[[#This Row],[Tech Start Date]],9),""))))</f>
        <v/>
      </c>
      <c r="Q408" s="67">
        <v>40313</v>
      </c>
      <c r="R408" s="67"/>
      <c r="S408" s="65" t="s">
        <v>11</v>
      </c>
      <c r="T408" s="70" t="s">
        <v>4</v>
      </c>
      <c r="U408" s="65" t="s">
        <v>14</v>
      </c>
      <c r="V408" s="65" t="s">
        <v>1917</v>
      </c>
      <c r="W408" s="65" t="s">
        <v>1925</v>
      </c>
      <c r="X408" s="65" t="s">
        <v>129</v>
      </c>
      <c r="Y408" s="65" t="s">
        <v>2939</v>
      </c>
      <c r="Z408" s="65" t="s">
        <v>4</v>
      </c>
      <c r="AA408" s="65" t="s">
        <v>129</v>
      </c>
    </row>
    <row r="409" spans="1:27" ht="17.45" customHeight="1">
      <c r="A409" s="131" t="str">
        <f>IF(priority(Main[[#This Row],[Comments]])&lt;&gt;0, priority(Main[[#This Row],[Comments]]),"")</f>
        <v/>
      </c>
      <c r="B409" s="99" t="s">
        <v>1206</v>
      </c>
      <c r="C409" s="65" t="s">
        <v>4</v>
      </c>
      <c r="D409" s="66" t="s">
        <v>262</v>
      </c>
      <c r="E409" s="67"/>
      <c r="F409" s="67"/>
      <c r="G409" s="64" t="str">
        <f>IF(stdProdLT(Main[[#This Row],[Comments]])=0.1,"N/A",IF(stdProdLT(Main[[#This Row],[Comments]])=0,"",stdProdLT(Main[[#This Row],[Comments]])))</f>
        <v/>
      </c>
      <c r="H409" s="68" t="str">
        <f>IF(AND(Main[[#This Row],[In Stock Date]]&lt;&gt;"",Main[[#This Row],[Revised Due Date]]&lt;&gt;""),Main[[#This Row],[In Stock Date]]-Main[[#This Row],[Revised Due Date]],"")</f>
        <v/>
      </c>
      <c r="I409" s="65" t="s">
        <v>4</v>
      </c>
      <c r="J409" s="65" t="s">
        <v>4</v>
      </c>
      <c r="K409" s="65" t="s">
        <v>4</v>
      </c>
      <c r="L409" s="67"/>
      <c r="M409" s="69" t="str">
        <f>IF(Main[[#This Row],[Tech Start Date]]&lt;1/1/1990,"",IF(Main[[#This Row],[Class]]="C",WORKDAY(Main[[#This Row],[Tech Start Date]],9),IF(Main[[#This Row],[Class]]="B", WORKDAY(Main[[#This Row],[Tech Start Date]],6),IF(Main[[#This Row],[Class]]="A",WORKDAY(Main[[#This Row],[Tech Start Date]],2),""))))</f>
        <v/>
      </c>
      <c r="N409" s="69" t="str">
        <f>IF(Main[[#This Row],[Tech Start Date]]&lt;1/1/1990,"",IF(Main[[#This Row],[Class]]="C",WORKDAY(Main[[#This Row],[Tech Start Date]],19),IF(Main[[#This Row],[Class]]="B", WORKDAY(Main[[#This Row],[Tech Start Date]],12),IF(Main[[#This Row],[Class]]="A",WORKDAY(Main[[#This Row],[Tech Start Date]],4),""))))</f>
        <v/>
      </c>
      <c r="O409" s="69" t="str">
        <f>IF(Main[[#This Row],[Tech Start Date]]&lt;1/1/1990,"",IF(Main[[#This Row],[Class]]="C",WORKDAY(Main[[#This Row],[Tech Start Date]],23),IF(Main[[#This Row],[Class]]="B", WORKDAY(Main[[#This Row],[Tech Start Date]],15),IF(Main[[#This Row],[Class]]="A",WORKDAY(Main[[#This Row],[Tech Start Date]],5),""))))</f>
        <v/>
      </c>
      <c r="P409" s="69" t="str">
        <f>IF(Main[[#This Row],[Tech Start Date]]&lt;1/1/1990,"",IF(Main[[#This Row],[Class]]="C",WORKDAY(Main[[#This Row],[Tech Start Date]],28),IF(Main[[#This Row],[Class]]="B", WORKDAY(Main[[#This Row],[Tech Start Date]],19),IF(Main[[#This Row],[Class]]="A",WORKDAY(Main[[#This Row],[Tech Start Date]],9),""))))</f>
        <v/>
      </c>
      <c r="Q409" s="67"/>
      <c r="R409" s="67"/>
      <c r="S409" s="65" t="s">
        <v>11</v>
      </c>
      <c r="T409" s="70" t="s">
        <v>4</v>
      </c>
      <c r="U409" s="65" t="s">
        <v>12</v>
      </c>
      <c r="V409" s="65" t="s">
        <v>1918</v>
      </c>
      <c r="W409" s="65" t="s">
        <v>1921</v>
      </c>
      <c r="X409" s="65" t="s">
        <v>924</v>
      </c>
      <c r="Y409" s="65" t="s">
        <v>2988</v>
      </c>
      <c r="Z409" s="65" t="s">
        <v>4</v>
      </c>
      <c r="AA409" s="65" t="s">
        <v>924</v>
      </c>
    </row>
    <row r="410" spans="1:27" ht="17.45" customHeight="1">
      <c r="A410" s="131" t="str">
        <f>IF(priority(Main[[#This Row],[Comments]])&lt;&gt;0, priority(Main[[#This Row],[Comments]]),"")</f>
        <v/>
      </c>
      <c r="B410" s="99" t="s">
        <v>1976</v>
      </c>
      <c r="C410" s="65" t="s">
        <v>4</v>
      </c>
      <c r="D410" s="66" t="s">
        <v>1977</v>
      </c>
      <c r="E410" s="67">
        <v>40732.708599537036</v>
      </c>
      <c r="F410" s="67"/>
      <c r="G410" s="64" t="str">
        <f>IF(stdProdLT(Main[[#This Row],[Comments]])=0.1,"N/A",IF(stdProdLT(Main[[#This Row],[Comments]])=0,"",stdProdLT(Main[[#This Row],[Comments]])))</f>
        <v/>
      </c>
      <c r="H410" s="68" t="str">
        <f>IF(AND(Main[[#This Row],[In Stock Date]]&lt;&gt;"",Main[[#This Row],[Revised Due Date]]&lt;&gt;""),Main[[#This Row],[In Stock Date]]-Main[[#This Row],[Revised Due Date]],"")</f>
        <v/>
      </c>
      <c r="I410" s="65" t="s">
        <v>4</v>
      </c>
      <c r="J410" s="65" t="s">
        <v>4</v>
      </c>
      <c r="K410" s="71" t="s">
        <v>4</v>
      </c>
      <c r="L410" s="67"/>
      <c r="M410" s="69" t="str">
        <f>IF(Main[[#This Row],[Tech Start Date]]&lt;1/1/1990,"",IF(Main[[#This Row],[Class]]="C",WORKDAY(Main[[#This Row],[Tech Start Date]],9),IF(Main[[#This Row],[Class]]="B", WORKDAY(Main[[#This Row],[Tech Start Date]],6),IF(Main[[#This Row],[Class]]="A",WORKDAY(Main[[#This Row],[Tech Start Date]],2),""))))</f>
        <v/>
      </c>
      <c r="N410" s="69" t="str">
        <f>IF(Main[[#This Row],[Tech Start Date]]&lt;1/1/1990,"",IF(Main[[#This Row],[Class]]="C",WORKDAY(Main[[#This Row],[Tech Start Date]],19),IF(Main[[#This Row],[Class]]="B", WORKDAY(Main[[#This Row],[Tech Start Date]],12),IF(Main[[#This Row],[Class]]="A",WORKDAY(Main[[#This Row],[Tech Start Date]],4),""))))</f>
        <v/>
      </c>
      <c r="O410" s="69" t="str">
        <f>IF(Main[[#This Row],[Tech Start Date]]&lt;1/1/1990,"",IF(Main[[#This Row],[Class]]="C",WORKDAY(Main[[#This Row],[Tech Start Date]],23),IF(Main[[#This Row],[Class]]="B", WORKDAY(Main[[#This Row],[Tech Start Date]],15),IF(Main[[#This Row],[Class]]="A",WORKDAY(Main[[#This Row],[Tech Start Date]],5),""))))</f>
        <v/>
      </c>
      <c r="P410" s="69" t="str">
        <f>IF(Main[[#This Row],[Tech Start Date]]&lt;1/1/1990,"",IF(Main[[#This Row],[Class]]="C",WORKDAY(Main[[#This Row],[Tech Start Date]],28),IF(Main[[#This Row],[Class]]="B", WORKDAY(Main[[#This Row],[Tech Start Date]],19),IF(Main[[#This Row],[Class]]="A",WORKDAY(Main[[#This Row],[Tech Start Date]],9),""))))</f>
        <v/>
      </c>
      <c r="Q410" s="67">
        <v>40908</v>
      </c>
      <c r="R410" s="67"/>
      <c r="S410" s="65" t="s">
        <v>17</v>
      </c>
      <c r="T410" s="70" t="s">
        <v>4</v>
      </c>
      <c r="U410" s="65" t="s">
        <v>7</v>
      </c>
      <c r="V410" s="65" t="s">
        <v>1920</v>
      </c>
      <c r="W410" s="65" t="s">
        <v>1931</v>
      </c>
      <c r="X410" s="65" t="s">
        <v>554</v>
      </c>
      <c r="Y410" s="65" t="s">
        <v>2958</v>
      </c>
      <c r="Z410" s="65" t="s">
        <v>4</v>
      </c>
      <c r="AA410" s="65" t="s">
        <v>554</v>
      </c>
    </row>
    <row r="411" spans="1:27" ht="17.45" customHeight="1">
      <c r="A411" s="131" t="str">
        <f>IF(priority(Main[[#This Row],[Comments]])&lt;&gt;0, priority(Main[[#This Row],[Comments]]),"")</f>
        <v/>
      </c>
      <c r="B411" s="99" t="s">
        <v>1208</v>
      </c>
      <c r="C411" s="65" t="s">
        <v>4</v>
      </c>
      <c r="D411" s="66" t="s">
        <v>264</v>
      </c>
      <c r="E411" s="67">
        <v>40609.588946759257</v>
      </c>
      <c r="F411" s="67"/>
      <c r="G411" s="64" t="str">
        <f>IF(stdProdLT(Main[[#This Row],[Comments]])=0.1,"N/A",IF(stdProdLT(Main[[#This Row],[Comments]])=0,"",stdProdLT(Main[[#This Row],[Comments]])))</f>
        <v/>
      </c>
      <c r="H411" s="68" t="str">
        <f>IF(AND(Main[[#This Row],[In Stock Date]]&lt;&gt;"",Main[[#This Row],[Revised Due Date]]&lt;&gt;""),Main[[#This Row],[In Stock Date]]-Main[[#This Row],[Revised Due Date]],"")</f>
        <v/>
      </c>
      <c r="I411" s="65" t="s">
        <v>4</v>
      </c>
      <c r="J411" s="65" t="s">
        <v>28</v>
      </c>
      <c r="K411" s="65" t="s">
        <v>1926</v>
      </c>
      <c r="L411" s="67"/>
      <c r="M411" s="69" t="str">
        <f>IF(Main[[#This Row],[Tech Start Date]]&lt;1/1/1990,"",IF(Main[[#This Row],[Class]]="C",WORKDAY(Main[[#This Row],[Tech Start Date]],9),IF(Main[[#This Row],[Class]]="B", WORKDAY(Main[[#This Row],[Tech Start Date]],6),IF(Main[[#This Row],[Class]]="A",WORKDAY(Main[[#This Row],[Tech Start Date]],2),""))))</f>
        <v/>
      </c>
      <c r="N411" s="69" t="str">
        <f>IF(Main[[#This Row],[Tech Start Date]]&lt;1/1/1990,"",IF(Main[[#This Row],[Class]]="C",WORKDAY(Main[[#This Row],[Tech Start Date]],19),IF(Main[[#This Row],[Class]]="B", WORKDAY(Main[[#This Row],[Tech Start Date]],12),IF(Main[[#This Row],[Class]]="A",WORKDAY(Main[[#This Row],[Tech Start Date]],4),""))))</f>
        <v/>
      </c>
      <c r="O411" s="69" t="str">
        <f>IF(Main[[#This Row],[Tech Start Date]]&lt;1/1/1990,"",IF(Main[[#This Row],[Class]]="C",WORKDAY(Main[[#This Row],[Tech Start Date]],23),IF(Main[[#This Row],[Class]]="B", WORKDAY(Main[[#This Row],[Tech Start Date]],15),IF(Main[[#This Row],[Class]]="A",WORKDAY(Main[[#This Row],[Tech Start Date]],5),""))))</f>
        <v/>
      </c>
      <c r="P411" s="69" t="str">
        <f>IF(Main[[#This Row],[Tech Start Date]]&lt;1/1/1990,"",IF(Main[[#This Row],[Class]]="C",WORKDAY(Main[[#This Row],[Tech Start Date]],28),IF(Main[[#This Row],[Class]]="B", WORKDAY(Main[[#This Row],[Tech Start Date]],19),IF(Main[[#This Row],[Class]]="A",WORKDAY(Main[[#This Row],[Tech Start Date]],9),""))))</f>
        <v/>
      </c>
      <c r="Q411" s="67">
        <v>40640</v>
      </c>
      <c r="R411" s="67"/>
      <c r="S411" s="65" t="s">
        <v>6</v>
      </c>
      <c r="T411" s="70" t="s">
        <v>4</v>
      </c>
      <c r="U411" s="65" t="s">
        <v>7</v>
      </c>
      <c r="V411" s="65" t="s">
        <v>1917</v>
      </c>
      <c r="W411" s="65" t="s">
        <v>1919</v>
      </c>
      <c r="X411" s="65" t="s">
        <v>2825</v>
      </c>
      <c r="Y411" s="65" t="s">
        <v>2938</v>
      </c>
      <c r="Z411" s="65" t="s">
        <v>129</v>
      </c>
      <c r="AA411" s="65" t="s">
        <v>2825</v>
      </c>
    </row>
    <row r="412" spans="1:27" ht="17.45" customHeight="1">
      <c r="A412" s="131" t="str">
        <f>IF(priority(Main[[#This Row],[Comments]])&lt;&gt;0, priority(Main[[#This Row],[Comments]]),"")</f>
        <v/>
      </c>
      <c r="B412" s="99" t="s">
        <v>1209</v>
      </c>
      <c r="C412" s="65" t="s">
        <v>265</v>
      </c>
      <c r="D412" s="66" t="s">
        <v>266</v>
      </c>
      <c r="E412" s="67"/>
      <c r="F412" s="67"/>
      <c r="G412" s="64" t="str">
        <f>IF(stdProdLT(Main[[#This Row],[Comments]])=0.1,"N/A",IF(stdProdLT(Main[[#This Row],[Comments]])=0,"",stdProdLT(Main[[#This Row],[Comments]])))</f>
        <v/>
      </c>
      <c r="H412" s="68" t="str">
        <f>IF(AND(Main[[#This Row],[In Stock Date]]&lt;&gt;"",Main[[#This Row],[Revised Due Date]]&lt;&gt;""),Main[[#This Row],[In Stock Date]]-Main[[#This Row],[Revised Due Date]],"")</f>
        <v/>
      </c>
      <c r="I412" s="65" t="s">
        <v>4</v>
      </c>
      <c r="J412" s="65" t="s">
        <v>4</v>
      </c>
      <c r="K412" s="65" t="s">
        <v>4</v>
      </c>
      <c r="L412" s="67"/>
      <c r="M412" s="69" t="str">
        <f>IF(Main[[#This Row],[Tech Start Date]]&lt;1/1/1990,"",IF(Main[[#This Row],[Class]]="C",WORKDAY(Main[[#This Row],[Tech Start Date]],9),IF(Main[[#This Row],[Class]]="B", WORKDAY(Main[[#This Row],[Tech Start Date]],6),IF(Main[[#This Row],[Class]]="A",WORKDAY(Main[[#This Row],[Tech Start Date]],2),""))))</f>
        <v/>
      </c>
      <c r="N412" s="69" t="str">
        <f>IF(Main[[#This Row],[Tech Start Date]]&lt;1/1/1990,"",IF(Main[[#This Row],[Class]]="C",WORKDAY(Main[[#This Row],[Tech Start Date]],19),IF(Main[[#This Row],[Class]]="B", WORKDAY(Main[[#This Row],[Tech Start Date]],12),IF(Main[[#This Row],[Class]]="A",WORKDAY(Main[[#This Row],[Tech Start Date]],4),""))))</f>
        <v/>
      </c>
      <c r="O412" s="69" t="str">
        <f>IF(Main[[#This Row],[Tech Start Date]]&lt;1/1/1990,"",IF(Main[[#This Row],[Class]]="C",WORKDAY(Main[[#This Row],[Tech Start Date]],23),IF(Main[[#This Row],[Class]]="B", WORKDAY(Main[[#This Row],[Tech Start Date]],15),IF(Main[[#This Row],[Class]]="A",WORKDAY(Main[[#This Row],[Tech Start Date]],5),""))))</f>
        <v/>
      </c>
      <c r="P412" s="69" t="str">
        <f>IF(Main[[#This Row],[Tech Start Date]]&lt;1/1/1990,"",IF(Main[[#This Row],[Class]]="C",WORKDAY(Main[[#This Row],[Tech Start Date]],28),IF(Main[[#This Row],[Class]]="B", WORKDAY(Main[[#This Row],[Tech Start Date]],19),IF(Main[[#This Row],[Class]]="A",WORKDAY(Main[[#This Row],[Tech Start Date]],9),""))))</f>
        <v/>
      </c>
      <c r="Q412" s="67">
        <v>40497</v>
      </c>
      <c r="R412" s="67"/>
      <c r="S412" s="65" t="s">
        <v>11</v>
      </c>
      <c r="T412" s="70" t="s">
        <v>4</v>
      </c>
      <c r="U412" s="65" t="s">
        <v>12</v>
      </c>
      <c r="V412" s="65" t="s">
        <v>1917</v>
      </c>
      <c r="W412" s="65" t="s">
        <v>1919</v>
      </c>
      <c r="X412" s="65" t="s">
        <v>2861</v>
      </c>
      <c r="Y412" s="65" t="s">
        <v>4</v>
      </c>
      <c r="Z412" s="65" t="s">
        <v>4</v>
      </c>
      <c r="AA412" s="65" t="s">
        <v>2861</v>
      </c>
    </row>
    <row r="413" spans="1:27" ht="17.45" customHeight="1">
      <c r="A413" s="131" t="str">
        <f>IF(priority(Main[[#This Row],[Comments]])&lt;&gt;0, priority(Main[[#This Row],[Comments]]),"")</f>
        <v/>
      </c>
      <c r="B413" s="99" t="s">
        <v>1211</v>
      </c>
      <c r="C413" s="65" t="s">
        <v>268</v>
      </c>
      <c r="D413" s="66" t="s">
        <v>269</v>
      </c>
      <c r="E413" s="67"/>
      <c r="F413" s="67">
        <v>40399</v>
      </c>
      <c r="G413" s="64" t="str">
        <f>IF(stdProdLT(Main[[#This Row],[Comments]])=0.1,"N/A",IF(stdProdLT(Main[[#This Row],[Comments]])=0,"",stdProdLT(Main[[#This Row],[Comments]])))</f>
        <v/>
      </c>
      <c r="H413" s="68" t="str">
        <f>IF(AND(Main[[#This Row],[In Stock Date]]&lt;&gt;"",Main[[#This Row],[Revised Due Date]]&lt;&gt;""),Main[[#This Row],[In Stock Date]]-Main[[#This Row],[Revised Due Date]],"")</f>
        <v/>
      </c>
      <c r="I413" s="65" t="s">
        <v>129</v>
      </c>
      <c r="J413" s="65" t="s">
        <v>4</v>
      </c>
      <c r="K413" s="71" t="s">
        <v>4</v>
      </c>
      <c r="L413" s="67"/>
      <c r="M413" s="69" t="str">
        <f>IF(Main[[#This Row],[Tech Start Date]]&lt;1/1/1990,"",IF(Main[[#This Row],[Class]]="C",WORKDAY(Main[[#This Row],[Tech Start Date]],9),IF(Main[[#This Row],[Class]]="B", WORKDAY(Main[[#This Row],[Tech Start Date]],6),IF(Main[[#This Row],[Class]]="A",WORKDAY(Main[[#This Row],[Tech Start Date]],2),""))))</f>
        <v/>
      </c>
      <c r="N413" s="69" t="str">
        <f>IF(Main[[#This Row],[Tech Start Date]]&lt;1/1/1990,"",IF(Main[[#This Row],[Class]]="C",WORKDAY(Main[[#This Row],[Tech Start Date]],19),IF(Main[[#This Row],[Class]]="B", WORKDAY(Main[[#This Row],[Tech Start Date]],12),IF(Main[[#This Row],[Class]]="A",WORKDAY(Main[[#This Row],[Tech Start Date]],4),""))))</f>
        <v/>
      </c>
      <c r="O413" s="69" t="str">
        <f>IF(Main[[#This Row],[Tech Start Date]]&lt;1/1/1990,"",IF(Main[[#This Row],[Class]]="C",WORKDAY(Main[[#This Row],[Tech Start Date]],23),IF(Main[[#This Row],[Class]]="B", WORKDAY(Main[[#This Row],[Tech Start Date]],15),IF(Main[[#This Row],[Class]]="A",WORKDAY(Main[[#This Row],[Tech Start Date]],5),""))))</f>
        <v/>
      </c>
      <c r="P413" s="69" t="str">
        <f>IF(Main[[#This Row],[Tech Start Date]]&lt;1/1/1990,"",IF(Main[[#This Row],[Class]]="C",WORKDAY(Main[[#This Row],[Tech Start Date]],28),IF(Main[[#This Row],[Class]]="B", WORKDAY(Main[[#This Row],[Tech Start Date]],19),IF(Main[[#This Row],[Class]]="A",WORKDAY(Main[[#This Row],[Tech Start Date]],9),""))))</f>
        <v/>
      </c>
      <c r="Q413" s="67">
        <v>40344</v>
      </c>
      <c r="R413" s="67"/>
      <c r="S413" s="65" t="s">
        <v>11</v>
      </c>
      <c r="T413" s="70" t="s">
        <v>4</v>
      </c>
      <c r="U413" s="65" t="s">
        <v>14</v>
      </c>
      <c r="V413" s="65" t="s">
        <v>1917</v>
      </c>
      <c r="W413" s="65" t="s">
        <v>1922</v>
      </c>
      <c r="X413" s="65" t="s">
        <v>2860</v>
      </c>
      <c r="Y413" s="65" t="s">
        <v>4</v>
      </c>
      <c r="Z413" s="65" t="s">
        <v>4</v>
      </c>
      <c r="AA413" s="65" t="s">
        <v>2860</v>
      </c>
    </row>
    <row r="414" spans="1:27" ht="17.45" customHeight="1">
      <c r="A414" s="131" t="str">
        <f>IF(priority(Main[[#This Row],[Comments]])&lt;&gt;0, priority(Main[[#This Row],[Comments]]),"")</f>
        <v/>
      </c>
      <c r="B414" s="99" t="s">
        <v>1387</v>
      </c>
      <c r="C414" s="65" t="s">
        <v>4</v>
      </c>
      <c r="D414" s="66" t="s">
        <v>2364</v>
      </c>
      <c r="E414" s="67">
        <v>40407.653564814813</v>
      </c>
      <c r="F414" s="67"/>
      <c r="G414" s="64" t="str">
        <f>IF(stdProdLT(Main[[#This Row],[Comments]])=0.1,"N/A",IF(stdProdLT(Main[[#This Row],[Comments]])=0,"",stdProdLT(Main[[#This Row],[Comments]])))</f>
        <v/>
      </c>
      <c r="H414" s="68" t="str">
        <f>IF(AND(Main[[#This Row],[In Stock Date]]&lt;&gt;"",Main[[#This Row],[Revised Due Date]]&lt;&gt;""),Main[[#This Row],[In Stock Date]]-Main[[#This Row],[Revised Due Date]],"")</f>
        <v/>
      </c>
      <c r="I414" s="65" t="s">
        <v>4</v>
      </c>
      <c r="J414" s="65" t="s">
        <v>28</v>
      </c>
      <c r="K414" s="65" t="s">
        <v>4</v>
      </c>
      <c r="L414" s="67"/>
      <c r="M414" s="69" t="str">
        <f>IF(Main[[#This Row],[Tech Start Date]]&lt;1/1/1990,"",IF(Main[[#This Row],[Class]]="C",WORKDAY(Main[[#This Row],[Tech Start Date]],9),IF(Main[[#This Row],[Class]]="B", WORKDAY(Main[[#This Row],[Tech Start Date]],6),IF(Main[[#This Row],[Class]]="A",WORKDAY(Main[[#This Row],[Tech Start Date]],2),""))))</f>
        <v/>
      </c>
      <c r="N414" s="69" t="str">
        <f>IF(Main[[#This Row],[Tech Start Date]]&lt;1/1/1990,"",IF(Main[[#This Row],[Class]]="C",WORKDAY(Main[[#This Row],[Tech Start Date]],19),IF(Main[[#This Row],[Class]]="B", WORKDAY(Main[[#This Row],[Tech Start Date]],12),IF(Main[[#This Row],[Class]]="A",WORKDAY(Main[[#This Row],[Tech Start Date]],4),""))))</f>
        <v/>
      </c>
      <c r="O414" s="69" t="str">
        <f>IF(Main[[#This Row],[Tech Start Date]]&lt;1/1/1990,"",IF(Main[[#This Row],[Class]]="C",WORKDAY(Main[[#This Row],[Tech Start Date]],23),IF(Main[[#This Row],[Class]]="B", WORKDAY(Main[[#This Row],[Tech Start Date]],15),IF(Main[[#This Row],[Class]]="A",WORKDAY(Main[[#This Row],[Tech Start Date]],5),""))))</f>
        <v/>
      </c>
      <c r="P414" s="69" t="str">
        <f>IF(Main[[#This Row],[Tech Start Date]]&lt;1/1/1990,"",IF(Main[[#This Row],[Class]]="C",WORKDAY(Main[[#This Row],[Tech Start Date]],28),IF(Main[[#This Row],[Class]]="B", WORKDAY(Main[[#This Row],[Tech Start Date]],19),IF(Main[[#This Row],[Class]]="A",WORKDAY(Main[[#This Row],[Tech Start Date]],9),""))))</f>
        <v/>
      </c>
      <c r="Q414" s="67"/>
      <c r="R414" s="67"/>
      <c r="S414" s="65" t="s">
        <v>6</v>
      </c>
      <c r="T414" s="70" t="s">
        <v>4</v>
      </c>
      <c r="U414" s="65" t="s">
        <v>7</v>
      </c>
      <c r="V414" s="65" t="s">
        <v>1917</v>
      </c>
      <c r="W414" s="65" t="s">
        <v>1919</v>
      </c>
      <c r="X414" s="65" t="s">
        <v>879</v>
      </c>
      <c r="Y414" s="65" t="s">
        <v>3024</v>
      </c>
      <c r="Z414" s="65" t="s">
        <v>129</v>
      </c>
      <c r="AA414" s="65" t="s">
        <v>3414</v>
      </c>
    </row>
    <row r="415" spans="1:27" ht="17.45" customHeight="1">
      <c r="A415" s="131" t="str">
        <f>IF(priority(Main[[#This Row],[Comments]])&lt;&gt;0, priority(Main[[#This Row],[Comments]]),"")</f>
        <v/>
      </c>
      <c r="B415" s="99" t="s">
        <v>1212</v>
      </c>
      <c r="C415" s="65" t="s">
        <v>180</v>
      </c>
      <c r="D415" s="66" t="s">
        <v>270</v>
      </c>
      <c r="E415" s="67"/>
      <c r="F415" s="67">
        <v>40389</v>
      </c>
      <c r="G415" s="64" t="str">
        <f>IF(stdProdLT(Main[[#This Row],[Comments]])=0.1,"N/A",IF(stdProdLT(Main[[#This Row],[Comments]])=0,"",stdProdLT(Main[[#This Row],[Comments]])))</f>
        <v/>
      </c>
      <c r="H415" s="68" t="str">
        <f>IF(AND(Main[[#This Row],[In Stock Date]]&lt;&gt;"",Main[[#This Row],[Revised Due Date]]&lt;&gt;""),Main[[#This Row],[In Stock Date]]-Main[[#This Row],[Revised Due Date]],"")</f>
        <v/>
      </c>
      <c r="I415" s="65" t="s">
        <v>4</v>
      </c>
      <c r="J415" s="65" t="s">
        <v>4</v>
      </c>
      <c r="K415" s="65" t="s">
        <v>4</v>
      </c>
      <c r="L415" s="67"/>
      <c r="M415" s="69" t="str">
        <f>IF(Main[[#This Row],[Tech Start Date]]&lt;1/1/1990,"",IF(Main[[#This Row],[Class]]="C",WORKDAY(Main[[#This Row],[Tech Start Date]],9),IF(Main[[#This Row],[Class]]="B", WORKDAY(Main[[#This Row],[Tech Start Date]],6),IF(Main[[#This Row],[Class]]="A",WORKDAY(Main[[#This Row],[Tech Start Date]],2),""))))</f>
        <v/>
      </c>
      <c r="N415" s="69" t="str">
        <f>IF(Main[[#This Row],[Tech Start Date]]&lt;1/1/1990,"",IF(Main[[#This Row],[Class]]="C",WORKDAY(Main[[#This Row],[Tech Start Date]],19),IF(Main[[#This Row],[Class]]="B", WORKDAY(Main[[#This Row],[Tech Start Date]],12),IF(Main[[#This Row],[Class]]="A",WORKDAY(Main[[#This Row],[Tech Start Date]],4),""))))</f>
        <v/>
      </c>
      <c r="O415" s="69" t="str">
        <f>IF(Main[[#This Row],[Tech Start Date]]&lt;1/1/1990,"",IF(Main[[#This Row],[Class]]="C",WORKDAY(Main[[#This Row],[Tech Start Date]],23),IF(Main[[#This Row],[Class]]="B", WORKDAY(Main[[#This Row],[Tech Start Date]],15),IF(Main[[#This Row],[Class]]="A",WORKDAY(Main[[#This Row],[Tech Start Date]],5),""))))</f>
        <v/>
      </c>
      <c r="P415" s="69" t="str">
        <f>IF(Main[[#This Row],[Tech Start Date]]&lt;1/1/1990,"",IF(Main[[#This Row],[Class]]="C",WORKDAY(Main[[#This Row],[Tech Start Date]],28),IF(Main[[#This Row],[Class]]="B", WORKDAY(Main[[#This Row],[Tech Start Date]],19),IF(Main[[#This Row],[Class]]="A",WORKDAY(Main[[#This Row],[Tech Start Date]],9),""))))</f>
        <v/>
      </c>
      <c r="Q415" s="67">
        <v>40298</v>
      </c>
      <c r="R415" s="67"/>
      <c r="S415" s="65" t="s">
        <v>11</v>
      </c>
      <c r="T415" s="70" t="s">
        <v>4</v>
      </c>
      <c r="U415" s="65" t="s">
        <v>14</v>
      </c>
      <c r="V415" s="65" t="s">
        <v>1917</v>
      </c>
      <c r="W415" s="65" t="s">
        <v>1923</v>
      </c>
      <c r="X415" s="65" t="s">
        <v>2830</v>
      </c>
      <c r="Y415" s="65" t="s">
        <v>2949</v>
      </c>
      <c r="Z415" s="65" t="s">
        <v>4</v>
      </c>
      <c r="AA415" s="65" t="s">
        <v>2830</v>
      </c>
    </row>
    <row r="416" spans="1:27" ht="17.45" customHeight="1">
      <c r="A416" s="131" t="str">
        <f>IF(priority(Main[[#This Row],[Comments]])&lt;&gt;0, priority(Main[[#This Row],[Comments]]),"")</f>
        <v/>
      </c>
      <c r="B416" s="99" t="s">
        <v>1214</v>
      </c>
      <c r="C416" s="65" t="s">
        <v>273</v>
      </c>
      <c r="D416" s="66" t="s">
        <v>274</v>
      </c>
      <c r="E416" s="67"/>
      <c r="F416" s="67">
        <v>40262</v>
      </c>
      <c r="G416" s="64" t="str">
        <f>IF(stdProdLT(Main[[#This Row],[Comments]])=0.1,"N/A",IF(stdProdLT(Main[[#This Row],[Comments]])=0,"",stdProdLT(Main[[#This Row],[Comments]])))</f>
        <v/>
      </c>
      <c r="H416" s="68" t="str">
        <f>IF(AND(Main[[#This Row],[In Stock Date]]&lt;&gt;"",Main[[#This Row],[Revised Due Date]]&lt;&gt;""),Main[[#This Row],[In Stock Date]]-Main[[#This Row],[Revised Due Date]],"")</f>
        <v/>
      </c>
      <c r="I416" s="65" t="s">
        <v>4</v>
      </c>
      <c r="J416" s="65" t="s">
        <v>4</v>
      </c>
      <c r="K416" s="65" t="s">
        <v>4</v>
      </c>
      <c r="L416" s="67"/>
      <c r="M416" s="69" t="str">
        <f>IF(Main[[#This Row],[Tech Start Date]]&lt;1/1/1990,"",IF(Main[[#This Row],[Class]]="C",WORKDAY(Main[[#This Row],[Tech Start Date]],9),IF(Main[[#This Row],[Class]]="B", WORKDAY(Main[[#This Row],[Tech Start Date]],6),IF(Main[[#This Row],[Class]]="A",WORKDAY(Main[[#This Row],[Tech Start Date]],2),""))))</f>
        <v/>
      </c>
      <c r="N416" s="69" t="str">
        <f>IF(Main[[#This Row],[Tech Start Date]]&lt;1/1/1990,"",IF(Main[[#This Row],[Class]]="C",WORKDAY(Main[[#This Row],[Tech Start Date]],19),IF(Main[[#This Row],[Class]]="B", WORKDAY(Main[[#This Row],[Tech Start Date]],12),IF(Main[[#This Row],[Class]]="A",WORKDAY(Main[[#This Row],[Tech Start Date]],4),""))))</f>
        <v/>
      </c>
      <c r="O416" s="69" t="str">
        <f>IF(Main[[#This Row],[Tech Start Date]]&lt;1/1/1990,"",IF(Main[[#This Row],[Class]]="C",WORKDAY(Main[[#This Row],[Tech Start Date]],23),IF(Main[[#This Row],[Class]]="B", WORKDAY(Main[[#This Row],[Tech Start Date]],15),IF(Main[[#This Row],[Class]]="A",WORKDAY(Main[[#This Row],[Tech Start Date]],5),""))))</f>
        <v/>
      </c>
      <c r="P416" s="69" t="str">
        <f>IF(Main[[#This Row],[Tech Start Date]]&lt;1/1/1990,"",IF(Main[[#This Row],[Class]]="C",WORKDAY(Main[[#This Row],[Tech Start Date]],28),IF(Main[[#This Row],[Class]]="B", WORKDAY(Main[[#This Row],[Tech Start Date]],19),IF(Main[[#This Row],[Class]]="A",WORKDAY(Main[[#This Row],[Tech Start Date]],9),""))))</f>
        <v/>
      </c>
      <c r="Q416" s="67">
        <v>40242</v>
      </c>
      <c r="R416" s="67"/>
      <c r="S416" s="65" t="s">
        <v>11</v>
      </c>
      <c r="T416" s="70" t="s">
        <v>4</v>
      </c>
      <c r="U416" s="65" t="s">
        <v>14</v>
      </c>
      <c r="V416" s="65" t="s">
        <v>1927</v>
      </c>
      <c r="W416" s="65" t="s">
        <v>1921</v>
      </c>
      <c r="X416" s="65" t="s">
        <v>2874</v>
      </c>
      <c r="Y416" s="65" t="s">
        <v>3018</v>
      </c>
      <c r="Z416" s="65" t="s">
        <v>4</v>
      </c>
      <c r="AA416" s="65" t="s">
        <v>2874</v>
      </c>
    </row>
    <row r="417" spans="1:27" ht="17.45" customHeight="1">
      <c r="A417" s="131" t="str">
        <f>IF(priority(Main[[#This Row],[Comments]])&lt;&gt;0, priority(Main[[#This Row],[Comments]]),"")</f>
        <v/>
      </c>
      <c r="B417" s="99" t="s">
        <v>1215</v>
      </c>
      <c r="C417" s="65" t="s">
        <v>275</v>
      </c>
      <c r="D417" s="66" t="s">
        <v>276</v>
      </c>
      <c r="E417" s="67"/>
      <c r="F417" s="67">
        <v>40186</v>
      </c>
      <c r="G417" s="64" t="str">
        <f>IF(stdProdLT(Main[[#This Row],[Comments]])=0.1,"N/A",IF(stdProdLT(Main[[#This Row],[Comments]])=0,"",stdProdLT(Main[[#This Row],[Comments]])))</f>
        <v/>
      </c>
      <c r="H417" s="68" t="str">
        <f>IF(AND(Main[[#This Row],[In Stock Date]]&lt;&gt;"",Main[[#This Row],[Revised Due Date]]&lt;&gt;""),Main[[#This Row],[In Stock Date]]-Main[[#This Row],[Revised Due Date]],"")</f>
        <v/>
      </c>
      <c r="I417" s="65" t="s">
        <v>4</v>
      </c>
      <c r="J417" s="65" t="s">
        <v>4</v>
      </c>
      <c r="K417" s="65" t="s">
        <v>4</v>
      </c>
      <c r="L417" s="67"/>
      <c r="M417" s="69" t="str">
        <f>IF(Main[[#This Row],[Tech Start Date]]&lt;1/1/1990,"",IF(Main[[#This Row],[Class]]="C",WORKDAY(Main[[#This Row],[Tech Start Date]],9),IF(Main[[#This Row],[Class]]="B", WORKDAY(Main[[#This Row],[Tech Start Date]],6),IF(Main[[#This Row],[Class]]="A",WORKDAY(Main[[#This Row],[Tech Start Date]],2),""))))</f>
        <v/>
      </c>
      <c r="N417" s="69" t="str">
        <f>IF(Main[[#This Row],[Tech Start Date]]&lt;1/1/1990,"",IF(Main[[#This Row],[Class]]="C",WORKDAY(Main[[#This Row],[Tech Start Date]],19),IF(Main[[#This Row],[Class]]="B", WORKDAY(Main[[#This Row],[Tech Start Date]],12),IF(Main[[#This Row],[Class]]="A",WORKDAY(Main[[#This Row],[Tech Start Date]],4),""))))</f>
        <v/>
      </c>
      <c r="O417" s="69" t="str">
        <f>IF(Main[[#This Row],[Tech Start Date]]&lt;1/1/1990,"",IF(Main[[#This Row],[Class]]="C",WORKDAY(Main[[#This Row],[Tech Start Date]],23),IF(Main[[#This Row],[Class]]="B", WORKDAY(Main[[#This Row],[Tech Start Date]],15),IF(Main[[#This Row],[Class]]="A",WORKDAY(Main[[#This Row],[Tech Start Date]],5),""))))</f>
        <v/>
      </c>
      <c r="P417" s="69" t="str">
        <f>IF(Main[[#This Row],[Tech Start Date]]&lt;1/1/1990,"",IF(Main[[#This Row],[Class]]="C",WORKDAY(Main[[#This Row],[Tech Start Date]],28),IF(Main[[#This Row],[Class]]="B", WORKDAY(Main[[#This Row],[Tech Start Date]],19),IF(Main[[#This Row],[Class]]="A",WORKDAY(Main[[#This Row],[Tech Start Date]],9),""))))</f>
        <v/>
      </c>
      <c r="Q417" s="67">
        <v>40196</v>
      </c>
      <c r="R417" s="67"/>
      <c r="S417" s="65" t="s">
        <v>11</v>
      </c>
      <c r="T417" s="70" t="s">
        <v>4</v>
      </c>
      <c r="U417" s="65" t="s">
        <v>14</v>
      </c>
      <c r="V417" s="65" t="s">
        <v>1920</v>
      </c>
      <c r="W417" s="65" t="s">
        <v>1925</v>
      </c>
      <c r="X417" s="65" t="s">
        <v>2848</v>
      </c>
      <c r="Y417" s="65" t="s">
        <v>4</v>
      </c>
      <c r="Z417" s="65" t="s">
        <v>4</v>
      </c>
      <c r="AA417" s="65" t="s">
        <v>2848</v>
      </c>
    </row>
    <row r="418" spans="1:27" ht="17.45" customHeight="1">
      <c r="A418" s="131" t="str">
        <f>IF(priority(Main[[#This Row],[Comments]])&lt;&gt;0, priority(Main[[#This Row],[Comments]]),"")</f>
        <v/>
      </c>
      <c r="B418" s="99" t="s">
        <v>2226</v>
      </c>
      <c r="C418" s="65" t="s">
        <v>4</v>
      </c>
      <c r="D418" s="66" t="s">
        <v>2227</v>
      </c>
      <c r="E418" s="67"/>
      <c r="F418" s="67"/>
      <c r="G418" s="64" t="str">
        <f>IF(stdProdLT(Main[[#This Row],[Comments]])=0.1,"N/A",IF(stdProdLT(Main[[#This Row],[Comments]])=0,"",stdProdLT(Main[[#This Row],[Comments]])))</f>
        <v/>
      </c>
      <c r="H418" s="68" t="str">
        <f>IF(AND(Main[[#This Row],[In Stock Date]]&lt;&gt;"",Main[[#This Row],[Revised Due Date]]&lt;&gt;""),Main[[#This Row],[In Stock Date]]-Main[[#This Row],[Revised Due Date]],"")</f>
        <v/>
      </c>
      <c r="I418" s="65" t="s">
        <v>4</v>
      </c>
      <c r="J418" s="65" t="s">
        <v>4</v>
      </c>
      <c r="K418" s="65" t="s">
        <v>4</v>
      </c>
      <c r="L418" s="67"/>
      <c r="M418" s="69" t="str">
        <f>IF(Main[[#This Row],[Tech Start Date]]&lt;1/1/1990,"",IF(Main[[#This Row],[Class]]="C",WORKDAY(Main[[#This Row],[Tech Start Date]],9),IF(Main[[#This Row],[Class]]="B", WORKDAY(Main[[#This Row],[Tech Start Date]],6),IF(Main[[#This Row],[Class]]="A",WORKDAY(Main[[#This Row],[Tech Start Date]],2),""))))</f>
        <v/>
      </c>
      <c r="N418" s="69" t="str">
        <f>IF(Main[[#This Row],[Tech Start Date]]&lt;1/1/1990,"",IF(Main[[#This Row],[Class]]="C",WORKDAY(Main[[#This Row],[Tech Start Date]],19),IF(Main[[#This Row],[Class]]="B", WORKDAY(Main[[#This Row],[Tech Start Date]],12),IF(Main[[#This Row],[Class]]="A",WORKDAY(Main[[#This Row],[Tech Start Date]],4),""))))</f>
        <v/>
      </c>
      <c r="O418" s="69" t="str">
        <f>IF(Main[[#This Row],[Tech Start Date]]&lt;1/1/1990,"",IF(Main[[#This Row],[Class]]="C",WORKDAY(Main[[#This Row],[Tech Start Date]],23),IF(Main[[#This Row],[Class]]="B", WORKDAY(Main[[#This Row],[Tech Start Date]],15),IF(Main[[#This Row],[Class]]="A",WORKDAY(Main[[#This Row],[Tech Start Date]],5),""))))</f>
        <v/>
      </c>
      <c r="P418" s="69" t="str">
        <f>IF(Main[[#This Row],[Tech Start Date]]&lt;1/1/1990,"",IF(Main[[#This Row],[Class]]="C",WORKDAY(Main[[#This Row],[Tech Start Date]],28),IF(Main[[#This Row],[Class]]="B", WORKDAY(Main[[#This Row],[Tech Start Date]],19),IF(Main[[#This Row],[Class]]="A",WORKDAY(Main[[#This Row],[Tech Start Date]],9),""))))</f>
        <v/>
      </c>
      <c r="Q418" s="67">
        <v>40837</v>
      </c>
      <c r="R418" s="67"/>
      <c r="S418" s="65" t="s">
        <v>6</v>
      </c>
      <c r="T418" s="70" t="s">
        <v>4</v>
      </c>
      <c r="U418" s="65" t="s">
        <v>14</v>
      </c>
      <c r="V418" s="65" t="s">
        <v>1920</v>
      </c>
      <c r="W418" s="65" t="s">
        <v>4</v>
      </c>
      <c r="X418" s="65" t="s">
        <v>2824</v>
      </c>
      <c r="Y418" s="65" t="s">
        <v>2935</v>
      </c>
      <c r="Z418" s="65" t="s">
        <v>4</v>
      </c>
      <c r="AA418" s="65" t="s">
        <v>2824</v>
      </c>
    </row>
    <row r="419" spans="1:27" ht="17.45" customHeight="1">
      <c r="A419" s="131" t="str">
        <f>IF(priority(Main[[#This Row],[Comments]])&lt;&gt;0, priority(Main[[#This Row],[Comments]]),"")</f>
        <v/>
      </c>
      <c r="B419" s="99" t="s">
        <v>1407</v>
      </c>
      <c r="C419" s="65" t="s">
        <v>4</v>
      </c>
      <c r="D419" s="66" t="s">
        <v>487</v>
      </c>
      <c r="E419" s="67">
        <v>40704.65116898148</v>
      </c>
      <c r="F419" s="67"/>
      <c r="G419" s="64" t="str">
        <f>IF(stdProdLT(Main[[#This Row],[Comments]])=0.1,"N/A",IF(stdProdLT(Main[[#This Row],[Comments]])=0,"",stdProdLT(Main[[#This Row],[Comments]])))</f>
        <v/>
      </c>
      <c r="H419" s="68" t="str">
        <f>IF(AND(Main[[#This Row],[In Stock Date]]&lt;&gt;"",Main[[#This Row],[Revised Due Date]]&lt;&gt;""),Main[[#This Row],[In Stock Date]]-Main[[#This Row],[Revised Due Date]],"")</f>
        <v/>
      </c>
      <c r="I419" s="65" t="s">
        <v>4</v>
      </c>
      <c r="J419" s="65" t="s">
        <v>4</v>
      </c>
      <c r="K419" s="65" t="s">
        <v>4</v>
      </c>
      <c r="L419" s="67"/>
      <c r="M419" s="69" t="str">
        <f>IF(Main[[#This Row],[Tech Start Date]]&lt;1/1/1990,"",IF(Main[[#This Row],[Class]]="C",WORKDAY(Main[[#This Row],[Tech Start Date]],9),IF(Main[[#This Row],[Class]]="B", WORKDAY(Main[[#This Row],[Tech Start Date]],6),IF(Main[[#This Row],[Class]]="A",WORKDAY(Main[[#This Row],[Tech Start Date]],2),""))))</f>
        <v/>
      </c>
      <c r="N419" s="69" t="str">
        <f>IF(Main[[#This Row],[Tech Start Date]]&lt;1/1/1990,"",IF(Main[[#This Row],[Class]]="C",WORKDAY(Main[[#This Row],[Tech Start Date]],19),IF(Main[[#This Row],[Class]]="B", WORKDAY(Main[[#This Row],[Tech Start Date]],12),IF(Main[[#This Row],[Class]]="A",WORKDAY(Main[[#This Row],[Tech Start Date]],4),""))))</f>
        <v/>
      </c>
      <c r="O419" s="69" t="str">
        <f>IF(Main[[#This Row],[Tech Start Date]]&lt;1/1/1990,"",IF(Main[[#This Row],[Class]]="C",WORKDAY(Main[[#This Row],[Tech Start Date]],23),IF(Main[[#This Row],[Class]]="B", WORKDAY(Main[[#This Row],[Tech Start Date]],15),IF(Main[[#This Row],[Class]]="A",WORKDAY(Main[[#This Row],[Tech Start Date]],5),""))))</f>
        <v/>
      </c>
      <c r="P419" s="69" t="str">
        <f>IF(Main[[#This Row],[Tech Start Date]]&lt;1/1/1990,"",IF(Main[[#This Row],[Class]]="C",WORKDAY(Main[[#This Row],[Tech Start Date]],28),IF(Main[[#This Row],[Class]]="B", WORKDAY(Main[[#This Row],[Tech Start Date]],19),IF(Main[[#This Row],[Class]]="A",WORKDAY(Main[[#This Row],[Tech Start Date]],9),""))))</f>
        <v/>
      </c>
      <c r="Q419" s="67"/>
      <c r="R419" s="67"/>
      <c r="S419" s="65" t="s">
        <v>6</v>
      </c>
      <c r="T419" s="70" t="s">
        <v>4</v>
      </c>
      <c r="U419" s="65" t="s">
        <v>29</v>
      </c>
      <c r="V419" s="65" t="s">
        <v>1917</v>
      </c>
      <c r="W419" s="65" t="s">
        <v>1921</v>
      </c>
      <c r="X419" s="65" t="s">
        <v>399</v>
      </c>
      <c r="Y419" s="65" t="s">
        <v>4</v>
      </c>
      <c r="Z419" s="65" t="s">
        <v>4</v>
      </c>
      <c r="AA419" s="65" t="s">
        <v>3390</v>
      </c>
    </row>
    <row r="420" spans="1:27" ht="17.45" customHeight="1">
      <c r="A420" s="131" t="str">
        <f>IF(priority(Main[[#This Row],[Comments]])&lt;&gt;0, priority(Main[[#This Row],[Comments]]),"")</f>
        <v/>
      </c>
      <c r="B420" s="99" t="s">
        <v>1216</v>
      </c>
      <c r="C420" s="65" t="s">
        <v>4</v>
      </c>
      <c r="D420" s="66" t="s">
        <v>281</v>
      </c>
      <c r="E420" s="67">
        <v>40297.413148148145</v>
      </c>
      <c r="F420" s="67"/>
      <c r="G420" s="64" t="str">
        <f>IF(stdProdLT(Main[[#This Row],[Comments]])=0.1,"N/A",IF(stdProdLT(Main[[#This Row],[Comments]])=0,"",stdProdLT(Main[[#This Row],[Comments]])))</f>
        <v/>
      </c>
      <c r="H420" s="68" t="str">
        <f>IF(AND(Main[[#This Row],[In Stock Date]]&lt;&gt;"",Main[[#This Row],[Revised Due Date]]&lt;&gt;""),Main[[#This Row],[In Stock Date]]-Main[[#This Row],[Revised Due Date]],"")</f>
        <v/>
      </c>
      <c r="I420" s="65" t="s">
        <v>4</v>
      </c>
      <c r="J420" s="65" t="s">
        <v>4</v>
      </c>
      <c r="K420" s="65" t="s">
        <v>4</v>
      </c>
      <c r="L420" s="67"/>
      <c r="M420" s="69" t="str">
        <f>IF(Main[[#This Row],[Tech Start Date]]&lt;1/1/1990,"",IF(Main[[#This Row],[Class]]="C",WORKDAY(Main[[#This Row],[Tech Start Date]],9),IF(Main[[#This Row],[Class]]="B", WORKDAY(Main[[#This Row],[Tech Start Date]],6),IF(Main[[#This Row],[Class]]="A",WORKDAY(Main[[#This Row],[Tech Start Date]],2),""))))</f>
        <v/>
      </c>
      <c r="N420" s="69" t="str">
        <f>IF(Main[[#This Row],[Tech Start Date]]&lt;1/1/1990,"",IF(Main[[#This Row],[Class]]="C",WORKDAY(Main[[#This Row],[Tech Start Date]],19),IF(Main[[#This Row],[Class]]="B", WORKDAY(Main[[#This Row],[Tech Start Date]],12),IF(Main[[#This Row],[Class]]="A",WORKDAY(Main[[#This Row],[Tech Start Date]],4),""))))</f>
        <v/>
      </c>
      <c r="O420" s="69" t="str">
        <f>IF(Main[[#This Row],[Tech Start Date]]&lt;1/1/1990,"",IF(Main[[#This Row],[Class]]="C",WORKDAY(Main[[#This Row],[Tech Start Date]],23),IF(Main[[#This Row],[Class]]="B", WORKDAY(Main[[#This Row],[Tech Start Date]],15),IF(Main[[#This Row],[Class]]="A",WORKDAY(Main[[#This Row],[Tech Start Date]],5),""))))</f>
        <v/>
      </c>
      <c r="P420" s="69" t="str">
        <f>IF(Main[[#This Row],[Tech Start Date]]&lt;1/1/1990,"",IF(Main[[#This Row],[Class]]="C",WORKDAY(Main[[#This Row],[Tech Start Date]],28),IF(Main[[#This Row],[Class]]="B", WORKDAY(Main[[#This Row],[Tech Start Date]],19),IF(Main[[#This Row],[Class]]="A",WORKDAY(Main[[#This Row],[Tech Start Date]],9),""))))</f>
        <v/>
      </c>
      <c r="Q420" s="67">
        <v>40319</v>
      </c>
      <c r="R420" s="67"/>
      <c r="S420" s="65" t="s">
        <v>17</v>
      </c>
      <c r="T420" s="70" t="s">
        <v>4</v>
      </c>
      <c r="U420" s="65" t="s">
        <v>29</v>
      </c>
      <c r="V420" s="65" t="s">
        <v>1918</v>
      </c>
      <c r="W420" s="65" t="s">
        <v>1921</v>
      </c>
      <c r="X420" s="65" t="s">
        <v>2868</v>
      </c>
      <c r="Y420" s="65" t="s">
        <v>4</v>
      </c>
      <c r="Z420" s="65" t="s">
        <v>4</v>
      </c>
      <c r="AA420" s="65" t="s">
        <v>2841</v>
      </c>
    </row>
    <row r="421" spans="1:27" ht="17.45" customHeight="1">
      <c r="A421" s="131" t="str">
        <f>IF(priority(Main[[#This Row],[Comments]])&lt;&gt;0, priority(Main[[#This Row],[Comments]]),"")</f>
        <v/>
      </c>
      <c r="B421" s="99" t="s">
        <v>1217</v>
      </c>
      <c r="C421" s="65" t="s">
        <v>282</v>
      </c>
      <c r="D421" s="66" t="s">
        <v>283</v>
      </c>
      <c r="E421" s="67"/>
      <c r="F421" s="67">
        <v>40391</v>
      </c>
      <c r="G421" s="64" t="str">
        <f>IF(stdProdLT(Main[[#This Row],[Comments]])=0.1,"N/A",IF(stdProdLT(Main[[#This Row],[Comments]])=0,"",stdProdLT(Main[[#This Row],[Comments]])))</f>
        <v/>
      </c>
      <c r="H421" s="68" t="str">
        <f>IF(AND(Main[[#This Row],[In Stock Date]]&lt;&gt;"",Main[[#This Row],[Revised Due Date]]&lt;&gt;""),Main[[#This Row],[In Stock Date]]-Main[[#This Row],[Revised Due Date]],"")</f>
        <v/>
      </c>
      <c r="I421" s="65" t="s">
        <v>4</v>
      </c>
      <c r="J421" s="65" t="s">
        <v>4</v>
      </c>
      <c r="K421" s="65" t="s">
        <v>4</v>
      </c>
      <c r="L421" s="67"/>
      <c r="M421" s="69" t="str">
        <f>IF(Main[[#This Row],[Tech Start Date]]&lt;1/1/1990,"",IF(Main[[#This Row],[Class]]="C",WORKDAY(Main[[#This Row],[Tech Start Date]],9),IF(Main[[#This Row],[Class]]="B", WORKDAY(Main[[#This Row],[Tech Start Date]],6),IF(Main[[#This Row],[Class]]="A",WORKDAY(Main[[#This Row],[Tech Start Date]],2),""))))</f>
        <v/>
      </c>
      <c r="N421" s="69" t="str">
        <f>IF(Main[[#This Row],[Tech Start Date]]&lt;1/1/1990,"",IF(Main[[#This Row],[Class]]="C",WORKDAY(Main[[#This Row],[Tech Start Date]],19),IF(Main[[#This Row],[Class]]="B", WORKDAY(Main[[#This Row],[Tech Start Date]],12),IF(Main[[#This Row],[Class]]="A",WORKDAY(Main[[#This Row],[Tech Start Date]],4),""))))</f>
        <v/>
      </c>
      <c r="O421" s="69" t="str">
        <f>IF(Main[[#This Row],[Tech Start Date]]&lt;1/1/1990,"",IF(Main[[#This Row],[Class]]="C",WORKDAY(Main[[#This Row],[Tech Start Date]],23),IF(Main[[#This Row],[Class]]="B", WORKDAY(Main[[#This Row],[Tech Start Date]],15),IF(Main[[#This Row],[Class]]="A",WORKDAY(Main[[#This Row],[Tech Start Date]],5),""))))</f>
        <v/>
      </c>
      <c r="P421" s="69" t="str">
        <f>IF(Main[[#This Row],[Tech Start Date]]&lt;1/1/1990,"",IF(Main[[#This Row],[Class]]="C",WORKDAY(Main[[#This Row],[Tech Start Date]],28),IF(Main[[#This Row],[Class]]="B", WORKDAY(Main[[#This Row],[Tech Start Date]],19),IF(Main[[#This Row],[Class]]="A",WORKDAY(Main[[#This Row],[Tech Start Date]],9),""))))</f>
        <v/>
      </c>
      <c r="Q421" s="67">
        <v>40314</v>
      </c>
      <c r="R421" s="67"/>
      <c r="S421" s="65" t="s">
        <v>11</v>
      </c>
      <c r="T421" s="70" t="s">
        <v>4</v>
      </c>
      <c r="U421" s="65" t="s">
        <v>14</v>
      </c>
      <c r="V421" s="65" t="s">
        <v>1920</v>
      </c>
      <c r="W421" s="65" t="s">
        <v>1923</v>
      </c>
      <c r="X421" s="65" t="s">
        <v>2864</v>
      </c>
      <c r="Y421" s="65" t="s">
        <v>4</v>
      </c>
      <c r="Z421" s="65" t="s">
        <v>4</v>
      </c>
      <c r="AA421" s="65" t="s">
        <v>2864</v>
      </c>
    </row>
    <row r="422" spans="1:27" ht="17.45" customHeight="1">
      <c r="A422" s="131" t="str">
        <f>IF(priority(Main[[#This Row],[Comments]])&lt;&gt;0, priority(Main[[#This Row],[Comments]]),"")</f>
        <v/>
      </c>
      <c r="B422" s="99" t="s">
        <v>1218</v>
      </c>
      <c r="C422" s="65" t="s">
        <v>284</v>
      </c>
      <c r="D422" s="66" t="s">
        <v>285</v>
      </c>
      <c r="E422" s="67"/>
      <c r="F422" s="67"/>
      <c r="G422" s="64" t="str">
        <f>IF(stdProdLT(Main[[#This Row],[Comments]])=0.1,"N/A",IF(stdProdLT(Main[[#This Row],[Comments]])=0,"",stdProdLT(Main[[#This Row],[Comments]])))</f>
        <v/>
      </c>
      <c r="H422" s="68" t="str">
        <f>IF(AND(Main[[#This Row],[In Stock Date]]&lt;&gt;"",Main[[#This Row],[Revised Due Date]]&lt;&gt;""),Main[[#This Row],[In Stock Date]]-Main[[#This Row],[Revised Due Date]],"")</f>
        <v/>
      </c>
      <c r="I422" s="65" t="s">
        <v>4</v>
      </c>
      <c r="J422" s="65" t="s">
        <v>4</v>
      </c>
      <c r="K422" s="65" t="s">
        <v>4</v>
      </c>
      <c r="L422" s="67"/>
      <c r="M422" s="69" t="str">
        <f>IF(Main[[#This Row],[Tech Start Date]]&lt;1/1/1990,"",IF(Main[[#This Row],[Class]]="C",WORKDAY(Main[[#This Row],[Tech Start Date]],9),IF(Main[[#This Row],[Class]]="B", WORKDAY(Main[[#This Row],[Tech Start Date]],6),IF(Main[[#This Row],[Class]]="A",WORKDAY(Main[[#This Row],[Tech Start Date]],2),""))))</f>
        <v/>
      </c>
      <c r="N422" s="69" t="str">
        <f>IF(Main[[#This Row],[Tech Start Date]]&lt;1/1/1990,"",IF(Main[[#This Row],[Class]]="C",WORKDAY(Main[[#This Row],[Tech Start Date]],19),IF(Main[[#This Row],[Class]]="B", WORKDAY(Main[[#This Row],[Tech Start Date]],12),IF(Main[[#This Row],[Class]]="A",WORKDAY(Main[[#This Row],[Tech Start Date]],4),""))))</f>
        <v/>
      </c>
      <c r="O422" s="69" t="str">
        <f>IF(Main[[#This Row],[Tech Start Date]]&lt;1/1/1990,"",IF(Main[[#This Row],[Class]]="C",WORKDAY(Main[[#This Row],[Tech Start Date]],23),IF(Main[[#This Row],[Class]]="B", WORKDAY(Main[[#This Row],[Tech Start Date]],15),IF(Main[[#This Row],[Class]]="A",WORKDAY(Main[[#This Row],[Tech Start Date]],5),""))))</f>
        <v/>
      </c>
      <c r="P422" s="69" t="str">
        <f>IF(Main[[#This Row],[Tech Start Date]]&lt;1/1/1990,"",IF(Main[[#This Row],[Class]]="C",WORKDAY(Main[[#This Row],[Tech Start Date]],28),IF(Main[[#This Row],[Class]]="B", WORKDAY(Main[[#This Row],[Tech Start Date]],19),IF(Main[[#This Row],[Class]]="A",WORKDAY(Main[[#This Row],[Tech Start Date]],9),""))))</f>
        <v/>
      </c>
      <c r="Q422" s="67">
        <v>40147</v>
      </c>
      <c r="R422" s="67"/>
      <c r="S422" s="65" t="s">
        <v>11</v>
      </c>
      <c r="T422" s="70" t="s">
        <v>4</v>
      </c>
      <c r="U422" s="65" t="s">
        <v>14</v>
      </c>
      <c r="V422" s="65" t="s">
        <v>1927</v>
      </c>
      <c r="W422" s="65" t="s">
        <v>1925</v>
      </c>
      <c r="X422" s="65" t="s">
        <v>2823</v>
      </c>
      <c r="Y422" s="65" t="s">
        <v>4</v>
      </c>
      <c r="Z422" s="65" t="s">
        <v>4</v>
      </c>
      <c r="AA422" s="65" t="s">
        <v>2823</v>
      </c>
    </row>
    <row r="423" spans="1:27" ht="17.45" customHeight="1">
      <c r="A423" s="131" t="str">
        <f>IF(priority(Main[[#This Row],[Comments]])&lt;&gt;0, priority(Main[[#This Row],[Comments]]),"")</f>
        <v/>
      </c>
      <c r="B423" s="99" t="s">
        <v>2078</v>
      </c>
      <c r="C423" s="65" t="s">
        <v>4</v>
      </c>
      <c r="D423" s="66" t="s">
        <v>2068</v>
      </c>
      <c r="E423" s="67"/>
      <c r="F423" s="67"/>
      <c r="G423" s="64" t="str">
        <f>IF(stdProdLT(Main[[#This Row],[Comments]])=0.1,"N/A",IF(stdProdLT(Main[[#This Row],[Comments]])=0,"",stdProdLT(Main[[#This Row],[Comments]])))</f>
        <v/>
      </c>
      <c r="H423" s="68" t="str">
        <f>IF(AND(Main[[#This Row],[In Stock Date]]&lt;&gt;"",Main[[#This Row],[Revised Due Date]]&lt;&gt;""),Main[[#This Row],[In Stock Date]]-Main[[#This Row],[Revised Due Date]],"")</f>
        <v/>
      </c>
      <c r="I423" s="65" t="s">
        <v>4</v>
      </c>
      <c r="J423" s="65" t="s">
        <v>4</v>
      </c>
      <c r="K423" s="71" t="s">
        <v>4</v>
      </c>
      <c r="L423" s="67"/>
      <c r="M423" s="69" t="str">
        <f>IF(Main[[#This Row],[Tech Start Date]]&lt;1/1/1990,"",IF(Main[[#This Row],[Class]]="C",WORKDAY(Main[[#This Row],[Tech Start Date]],9),IF(Main[[#This Row],[Class]]="B", WORKDAY(Main[[#This Row],[Tech Start Date]],6),IF(Main[[#This Row],[Class]]="A",WORKDAY(Main[[#This Row],[Tech Start Date]],2),""))))</f>
        <v/>
      </c>
      <c r="N423" s="69" t="str">
        <f>IF(Main[[#This Row],[Tech Start Date]]&lt;1/1/1990,"",IF(Main[[#This Row],[Class]]="C",WORKDAY(Main[[#This Row],[Tech Start Date]],19),IF(Main[[#This Row],[Class]]="B", WORKDAY(Main[[#This Row],[Tech Start Date]],12),IF(Main[[#This Row],[Class]]="A",WORKDAY(Main[[#This Row],[Tech Start Date]],4),""))))</f>
        <v/>
      </c>
      <c r="O423" s="69" t="str">
        <f>IF(Main[[#This Row],[Tech Start Date]]&lt;1/1/1990,"",IF(Main[[#This Row],[Class]]="C",WORKDAY(Main[[#This Row],[Tech Start Date]],23),IF(Main[[#This Row],[Class]]="B", WORKDAY(Main[[#This Row],[Tech Start Date]],15),IF(Main[[#This Row],[Class]]="A",WORKDAY(Main[[#This Row],[Tech Start Date]],5),""))))</f>
        <v/>
      </c>
      <c r="P423" s="69" t="str">
        <f>IF(Main[[#This Row],[Tech Start Date]]&lt;1/1/1990,"",IF(Main[[#This Row],[Class]]="C",WORKDAY(Main[[#This Row],[Tech Start Date]],28),IF(Main[[#This Row],[Class]]="B", WORKDAY(Main[[#This Row],[Tech Start Date]],19),IF(Main[[#This Row],[Class]]="A",WORKDAY(Main[[#This Row],[Tech Start Date]],9),""))))</f>
        <v/>
      </c>
      <c r="Q423" s="67">
        <v>40798</v>
      </c>
      <c r="R423" s="67"/>
      <c r="S423" s="65" t="s">
        <v>6</v>
      </c>
      <c r="T423" s="70" t="s">
        <v>4</v>
      </c>
      <c r="U423" s="65" t="s">
        <v>12</v>
      </c>
      <c r="V423" s="65" t="s">
        <v>1920</v>
      </c>
      <c r="W423" s="65" t="s">
        <v>4</v>
      </c>
      <c r="X423" s="65" t="s">
        <v>2825</v>
      </c>
      <c r="Y423" s="65" t="s">
        <v>2938</v>
      </c>
      <c r="Z423" s="65" t="s">
        <v>4</v>
      </c>
      <c r="AA423" s="65" t="s">
        <v>2825</v>
      </c>
    </row>
    <row r="424" spans="1:27" ht="17.45" customHeight="1">
      <c r="A424" s="131" t="str">
        <f>IF(priority(Main[[#This Row],[Comments]])&lt;&gt;0, priority(Main[[#This Row],[Comments]]),"")</f>
        <v/>
      </c>
      <c r="B424" s="99" t="s">
        <v>1219</v>
      </c>
      <c r="C424" s="65" t="s">
        <v>286</v>
      </c>
      <c r="D424" s="66" t="s">
        <v>287</v>
      </c>
      <c r="E424" s="67"/>
      <c r="F424" s="67">
        <v>40421</v>
      </c>
      <c r="G424" s="64" t="str">
        <f>IF(stdProdLT(Main[[#This Row],[Comments]])=0.1,"N/A",IF(stdProdLT(Main[[#This Row],[Comments]])=0,"",stdProdLT(Main[[#This Row],[Comments]])))</f>
        <v/>
      </c>
      <c r="H424" s="68" t="str">
        <f>IF(AND(Main[[#This Row],[In Stock Date]]&lt;&gt;"",Main[[#This Row],[Revised Due Date]]&lt;&gt;""),Main[[#This Row],[In Stock Date]]-Main[[#This Row],[Revised Due Date]],"")</f>
        <v/>
      </c>
      <c r="I424" s="65" t="s">
        <v>4</v>
      </c>
      <c r="J424" s="65" t="s">
        <v>4</v>
      </c>
      <c r="K424" s="65" t="s">
        <v>4</v>
      </c>
      <c r="L424" s="67"/>
      <c r="M424" s="69" t="str">
        <f>IF(Main[[#This Row],[Tech Start Date]]&lt;1/1/1990,"",IF(Main[[#This Row],[Class]]="C",WORKDAY(Main[[#This Row],[Tech Start Date]],9),IF(Main[[#This Row],[Class]]="B", WORKDAY(Main[[#This Row],[Tech Start Date]],6),IF(Main[[#This Row],[Class]]="A",WORKDAY(Main[[#This Row],[Tech Start Date]],2),""))))</f>
        <v/>
      </c>
      <c r="N424" s="69" t="str">
        <f>IF(Main[[#This Row],[Tech Start Date]]&lt;1/1/1990,"",IF(Main[[#This Row],[Class]]="C",WORKDAY(Main[[#This Row],[Tech Start Date]],19),IF(Main[[#This Row],[Class]]="B", WORKDAY(Main[[#This Row],[Tech Start Date]],12),IF(Main[[#This Row],[Class]]="A",WORKDAY(Main[[#This Row],[Tech Start Date]],4),""))))</f>
        <v/>
      </c>
      <c r="O424" s="69" t="str">
        <f>IF(Main[[#This Row],[Tech Start Date]]&lt;1/1/1990,"",IF(Main[[#This Row],[Class]]="C",WORKDAY(Main[[#This Row],[Tech Start Date]],23),IF(Main[[#This Row],[Class]]="B", WORKDAY(Main[[#This Row],[Tech Start Date]],15),IF(Main[[#This Row],[Class]]="A",WORKDAY(Main[[#This Row],[Tech Start Date]],5),""))))</f>
        <v/>
      </c>
      <c r="P424" s="69" t="str">
        <f>IF(Main[[#This Row],[Tech Start Date]]&lt;1/1/1990,"",IF(Main[[#This Row],[Class]]="C",WORKDAY(Main[[#This Row],[Tech Start Date]],28),IF(Main[[#This Row],[Class]]="B", WORKDAY(Main[[#This Row],[Tech Start Date]],19),IF(Main[[#This Row],[Class]]="A",WORKDAY(Main[[#This Row],[Tech Start Date]],9),""))))</f>
        <v/>
      </c>
      <c r="Q424" s="67">
        <v>40360</v>
      </c>
      <c r="R424" s="67"/>
      <c r="S424" s="65" t="s">
        <v>11</v>
      </c>
      <c r="T424" s="70" t="s">
        <v>4</v>
      </c>
      <c r="U424" s="65" t="s">
        <v>12</v>
      </c>
      <c r="V424" s="65" t="s">
        <v>1918</v>
      </c>
      <c r="W424" s="65" t="s">
        <v>1922</v>
      </c>
      <c r="X424" s="65" t="s">
        <v>2880</v>
      </c>
      <c r="Y424" s="65" t="s">
        <v>3025</v>
      </c>
      <c r="Z424" s="65" t="s">
        <v>4</v>
      </c>
      <c r="AA424" s="65" t="s">
        <v>2880</v>
      </c>
    </row>
    <row r="425" spans="1:27" ht="17.45" customHeight="1">
      <c r="A425" s="131" t="str">
        <f>IF(priority(Main[[#This Row],[Comments]])&lt;&gt;0, priority(Main[[#This Row],[Comments]]),"")</f>
        <v/>
      </c>
      <c r="B425" s="99" t="s">
        <v>1426</v>
      </c>
      <c r="C425" s="65" t="s">
        <v>4</v>
      </c>
      <c r="D425" s="66" t="s">
        <v>1954</v>
      </c>
      <c r="E425" s="67"/>
      <c r="F425" s="67"/>
      <c r="G425" s="64" t="str">
        <f>IF(stdProdLT(Main[[#This Row],[Comments]])=0.1,"N/A",IF(stdProdLT(Main[[#This Row],[Comments]])=0,"",stdProdLT(Main[[#This Row],[Comments]])))</f>
        <v/>
      </c>
      <c r="H425" s="68" t="str">
        <f>IF(AND(Main[[#This Row],[In Stock Date]]&lt;&gt;"",Main[[#This Row],[Revised Due Date]]&lt;&gt;""),Main[[#This Row],[In Stock Date]]-Main[[#This Row],[Revised Due Date]],"")</f>
        <v/>
      </c>
      <c r="I425" s="65" t="s">
        <v>4</v>
      </c>
      <c r="J425" s="65" t="s">
        <v>4</v>
      </c>
      <c r="K425" s="65" t="s">
        <v>4</v>
      </c>
      <c r="L425" s="67"/>
      <c r="M425" s="69" t="str">
        <f>IF(Main[[#This Row],[Tech Start Date]]&lt;1/1/1990,"",IF(Main[[#This Row],[Class]]="C",WORKDAY(Main[[#This Row],[Tech Start Date]],9),IF(Main[[#This Row],[Class]]="B", WORKDAY(Main[[#This Row],[Tech Start Date]],6),IF(Main[[#This Row],[Class]]="A",WORKDAY(Main[[#This Row],[Tech Start Date]],2),""))))</f>
        <v/>
      </c>
      <c r="N425" s="69" t="str">
        <f>IF(Main[[#This Row],[Tech Start Date]]&lt;1/1/1990,"",IF(Main[[#This Row],[Class]]="C",WORKDAY(Main[[#This Row],[Tech Start Date]],19),IF(Main[[#This Row],[Class]]="B", WORKDAY(Main[[#This Row],[Tech Start Date]],12),IF(Main[[#This Row],[Class]]="A",WORKDAY(Main[[#This Row],[Tech Start Date]],4),""))))</f>
        <v/>
      </c>
      <c r="O425" s="69" t="str">
        <f>IF(Main[[#This Row],[Tech Start Date]]&lt;1/1/1990,"",IF(Main[[#This Row],[Class]]="C",WORKDAY(Main[[#This Row],[Tech Start Date]],23),IF(Main[[#This Row],[Class]]="B", WORKDAY(Main[[#This Row],[Tech Start Date]],15),IF(Main[[#This Row],[Class]]="A",WORKDAY(Main[[#This Row],[Tech Start Date]],5),""))))</f>
        <v/>
      </c>
      <c r="P425" s="69" t="str">
        <f>IF(Main[[#This Row],[Tech Start Date]]&lt;1/1/1990,"",IF(Main[[#This Row],[Class]]="C",WORKDAY(Main[[#This Row],[Tech Start Date]],28),IF(Main[[#This Row],[Class]]="B", WORKDAY(Main[[#This Row],[Tech Start Date]],19),IF(Main[[#This Row],[Class]]="A",WORKDAY(Main[[#This Row],[Tech Start Date]],9),""))))</f>
        <v/>
      </c>
      <c r="Q425" s="67"/>
      <c r="R425" s="67"/>
      <c r="S425" s="65" t="s">
        <v>6</v>
      </c>
      <c r="T425" s="70" t="s">
        <v>4</v>
      </c>
      <c r="U425" s="65" t="s">
        <v>14</v>
      </c>
      <c r="V425" s="65" t="s">
        <v>1918</v>
      </c>
      <c r="W425" s="65" t="s">
        <v>1919</v>
      </c>
      <c r="X425" s="65" t="s">
        <v>924</v>
      </c>
      <c r="Y425" s="65" t="s">
        <v>3026</v>
      </c>
      <c r="Z425" s="65" t="s">
        <v>4</v>
      </c>
      <c r="AA425" s="65" t="s">
        <v>3415</v>
      </c>
    </row>
    <row r="426" spans="1:27" ht="17.45" customHeight="1">
      <c r="A426" s="131" t="str">
        <f>IF(priority(Main[[#This Row],[Comments]])&lt;&gt;0, priority(Main[[#This Row],[Comments]]),"")</f>
        <v/>
      </c>
      <c r="B426" s="99" t="s">
        <v>1131</v>
      </c>
      <c r="C426" s="65" t="s">
        <v>4</v>
      </c>
      <c r="D426" s="66" t="s">
        <v>2365</v>
      </c>
      <c r="E426" s="67">
        <v>40574.415509259263</v>
      </c>
      <c r="F426" s="67">
        <v>40613</v>
      </c>
      <c r="G426" s="64" t="str">
        <f>IF(stdProdLT(Main[[#This Row],[Comments]])=0.1,"N/A",IF(stdProdLT(Main[[#This Row],[Comments]])=0,"",stdProdLT(Main[[#This Row],[Comments]])))</f>
        <v/>
      </c>
      <c r="H426" s="68" t="str">
        <f>IF(AND(Main[[#This Row],[In Stock Date]]&lt;&gt;"",Main[[#This Row],[Revised Due Date]]&lt;&gt;""),Main[[#This Row],[In Stock Date]]-Main[[#This Row],[Revised Due Date]],"")</f>
        <v/>
      </c>
      <c r="I426" s="65" t="s">
        <v>914</v>
      </c>
      <c r="J426" s="65" t="s">
        <v>52</v>
      </c>
      <c r="K426" s="65" t="s">
        <v>1926</v>
      </c>
      <c r="L426" s="67"/>
      <c r="M426" s="69" t="str">
        <f>IF(Main[[#This Row],[Tech Start Date]]&lt;1/1/1990,"",IF(Main[[#This Row],[Class]]="C",WORKDAY(Main[[#This Row],[Tech Start Date]],9),IF(Main[[#This Row],[Class]]="B", WORKDAY(Main[[#This Row],[Tech Start Date]],6),IF(Main[[#This Row],[Class]]="A",WORKDAY(Main[[#This Row],[Tech Start Date]],2),""))))</f>
        <v/>
      </c>
      <c r="N426" s="69" t="str">
        <f>IF(Main[[#This Row],[Tech Start Date]]&lt;1/1/1990,"",IF(Main[[#This Row],[Class]]="C",WORKDAY(Main[[#This Row],[Tech Start Date]],19),IF(Main[[#This Row],[Class]]="B", WORKDAY(Main[[#This Row],[Tech Start Date]],12),IF(Main[[#This Row],[Class]]="A",WORKDAY(Main[[#This Row],[Tech Start Date]],4),""))))</f>
        <v/>
      </c>
      <c r="O426" s="69" t="str">
        <f>IF(Main[[#This Row],[Tech Start Date]]&lt;1/1/1990,"",IF(Main[[#This Row],[Class]]="C",WORKDAY(Main[[#This Row],[Tech Start Date]],23),IF(Main[[#This Row],[Class]]="B", WORKDAY(Main[[#This Row],[Tech Start Date]],15),IF(Main[[#This Row],[Class]]="A",WORKDAY(Main[[#This Row],[Tech Start Date]],5),""))))</f>
        <v/>
      </c>
      <c r="P426" s="69" t="str">
        <f>IF(Main[[#This Row],[Tech Start Date]]&lt;1/1/1990,"",IF(Main[[#This Row],[Class]]="C",WORKDAY(Main[[#This Row],[Tech Start Date]],28),IF(Main[[#This Row],[Class]]="B", WORKDAY(Main[[#This Row],[Tech Start Date]],19),IF(Main[[#This Row],[Class]]="A",WORKDAY(Main[[#This Row],[Tech Start Date]],9),""))))</f>
        <v/>
      </c>
      <c r="Q426" s="67">
        <v>40613</v>
      </c>
      <c r="R426" s="67"/>
      <c r="S426" s="65" t="s">
        <v>6</v>
      </c>
      <c r="T426" s="70" t="s">
        <v>4</v>
      </c>
      <c r="U426" s="65" t="s">
        <v>29</v>
      </c>
      <c r="V426" s="65" t="s">
        <v>1917</v>
      </c>
      <c r="W426" s="65" t="s">
        <v>1919</v>
      </c>
      <c r="X426" s="65" t="s">
        <v>2824</v>
      </c>
      <c r="Y426" s="65" t="s">
        <v>2935</v>
      </c>
      <c r="Z426" s="65" t="s">
        <v>129</v>
      </c>
      <c r="AA426" s="65" t="s">
        <v>2824</v>
      </c>
    </row>
    <row r="427" spans="1:27" ht="17.45" customHeight="1">
      <c r="A427" s="131" t="str">
        <f>IF(priority(Main[[#This Row],[Comments]])&lt;&gt;0, priority(Main[[#This Row],[Comments]]),"")</f>
        <v/>
      </c>
      <c r="B427" s="99" t="s">
        <v>2293</v>
      </c>
      <c r="C427" s="65" t="s">
        <v>4</v>
      </c>
      <c r="D427" s="66" t="s">
        <v>2370</v>
      </c>
      <c r="E427" s="67">
        <v>40813.664259259262</v>
      </c>
      <c r="F427" s="67"/>
      <c r="G427" s="64" t="str">
        <f>IF(stdProdLT(Main[[#This Row],[Comments]])=0.1,"N/A",IF(stdProdLT(Main[[#This Row],[Comments]])=0,"",stdProdLT(Main[[#This Row],[Comments]])))</f>
        <v/>
      </c>
      <c r="H427" s="68" t="str">
        <f>IF(AND(Main[[#This Row],[In Stock Date]]&lt;&gt;"",Main[[#This Row],[Revised Due Date]]&lt;&gt;""),Main[[#This Row],[In Stock Date]]-Main[[#This Row],[Revised Due Date]],"")</f>
        <v/>
      </c>
      <c r="I427" s="65" t="s">
        <v>939</v>
      </c>
      <c r="J427" s="65" t="s">
        <v>4</v>
      </c>
      <c r="K427" s="65" t="s">
        <v>4</v>
      </c>
      <c r="L427" s="67"/>
      <c r="M427" s="69" t="str">
        <f>IF(Main[[#This Row],[Tech Start Date]]&lt;1/1/1990,"",IF(Main[[#This Row],[Class]]="C",WORKDAY(Main[[#This Row],[Tech Start Date]],9),IF(Main[[#This Row],[Class]]="B", WORKDAY(Main[[#This Row],[Tech Start Date]],6),IF(Main[[#This Row],[Class]]="A",WORKDAY(Main[[#This Row],[Tech Start Date]],2),""))))</f>
        <v/>
      </c>
      <c r="N427" s="69" t="str">
        <f>IF(Main[[#This Row],[Tech Start Date]]&lt;1/1/1990,"",IF(Main[[#This Row],[Class]]="C",WORKDAY(Main[[#This Row],[Tech Start Date]],19),IF(Main[[#This Row],[Class]]="B", WORKDAY(Main[[#This Row],[Tech Start Date]],12),IF(Main[[#This Row],[Class]]="A",WORKDAY(Main[[#This Row],[Tech Start Date]],4),""))))</f>
        <v/>
      </c>
      <c r="O427" s="69" t="str">
        <f>IF(Main[[#This Row],[Tech Start Date]]&lt;1/1/1990,"",IF(Main[[#This Row],[Class]]="C",WORKDAY(Main[[#This Row],[Tech Start Date]],23),IF(Main[[#This Row],[Class]]="B", WORKDAY(Main[[#This Row],[Tech Start Date]],15),IF(Main[[#This Row],[Class]]="A",WORKDAY(Main[[#This Row],[Tech Start Date]],5),""))))</f>
        <v/>
      </c>
      <c r="P427" s="69" t="str">
        <f>IF(Main[[#This Row],[Tech Start Date]]&lt;1/1/1990,"",IF(Main[[#This Row],[Class]]="C",WORKDAY(Main[[#This Row],[Tech Start Date]],28),IF(Main[[#This Row],[Class]]="B", WORKDAY(Main[[#This Row],[Tech Start Date]],19),IF(Main[[#This Row],[Class]]="A",WORKDAY(Main[[#This Row],[Tech Start Date]],9),""))))</f>
        <v/>
      </c>
      <c r="Q427" s="67"/>
      <c r="R427" s="67">
        <v>40840</v>
      </c>
      <c r="S427" s="65" t="s">
        <v>6</v>
      </c>
      <c r="T427" s="70" t="s">
        <v>4</v>
      </c>
      <c r="U427" s="65" t="s">
        <v>7</v>
      </c>
      <c r="V427" s="65" t="s">
        <v>1917</v>
      </c>
      <c r="W427" s="65" t="s">
        <v>1921</v>
      </c>
      <c r="X427" s="65" t="s">
        <v>306</v>
      </c>
      <c r="Y427" s="65" t="s">
        <v>4</v>
      </c>
      <c r="Z427" s="65" t="s">
        <v>4</v>
      </c>
      <c r="AA427" s="65" t="s">
        <v>3416</v>
      </c>
    </row>
    <row r="428" spans="1:27" ht="17.45" customHeight="1">
      <c r="A428" s="131" t="str">
        <f>IF(priority(Main[[#This Row],[Comments]])&lt;&gt;0, priority(Main[[#This Row],[Comments]]),"")</f>
        <v/>
      </c>
      <c r="B428" s="99" t="s">
        <v>1267</v>
      </c>
      <c r="C428" s="65" t="s">
        <v>4</v>
      </c>
      <c r="D428" s="66" t="s">
        <v>334</v>
      </c>
      <c r="E428" s="67"/>
      <c r="F428" s="67"/>
      <c r="G428" s="64" t="str">
        <f>IF(stdProdLT(Main[[#This Row],[Comments]])=0.1,"N/A",IF(stdProdLT(Main[[#This Row],[Comments]])=0,"",stdProdLT(Main[[#This Row],[Comments]])))</f>
        <v/>
      </c>
      <c r="H428" s="68" t="str">
        <f>IF(AND(Main[[#This Row],[In Stock Date]]&lt;&gt;"",Main[[#This Row],[Revised Due Date]]&lt;&gt;""),Main[[#This Row],[In Stock Date]]-Main[[#This Row],[Revised Due Date]],"")</f>
        <v/>
      </c>
      <c r="I428" s="65" t="s">
        <v>4</v>
      </c>
      <c r="J428" s="65" t="s">
        <v>4</v>
      </c>
      <c r="K428" s="65" t="s">
        <v>4</v>
      </c>
      <c r="L428" s="67"/>
      <c r="M428" s="69" t="str">
        <f>IF(Main[[#This Row],[Tech Start Date]]&lt;1/1/1990,"",IF(Main[[#This Row],[Class]]="C",WORKDAY(Main[[#This Row],[Tech Start Date]],9),IF(Main[[#This Row],[Class]]="B", WORKDAY(Main[[#This Row],[Tech Start Date]],6),IF(Main[[#This Row],[Class]]="A",WORKDAY(Main[[#This Row],[Tech Start Date]],2),""))))</f>
        <v/>
      </c>
      <c r="N428" s="69" t="str">
        <f>IF(Main[[#This Row],[Tech Start Date]]&lt;1/1/1990,"",IF(Main[[#This Row],[Class]]="C",WORKDAY(Main[[#This Row],[Tech Start Date]],19),IF(Main[[#This Row],[Class]]="B", WORKDAY(Main[[#This Row],[Tech Start Date]],12),IF(Main[[#This Row],[Class]]="A",WORKDAY(Main[[#This Row],[Tech Start Date]],4),""))))</f>
        <v/>
      </c>
      <c r="O428" s="69" t="str">
        <f>IF(Main[[#This Row],[Tech Start Date]]&lt;1/1/1990,"",IF(Main[[#This Row],[Class]]="C",WORKDAY(Main[[#This Row],[Tech Start Date]],23),IF(Main[[#This Row],[Class]]="B", WORKDAY(Main[[#This Row],[Tech Start Date]],15),IF(Main[[#This Row],[Class]]="A",WORKDAY(Main[[#This Row],[Tech Start Date]],5),""))))</f>
        <v/>
      </c>
      <c r="P428" s="69" t="str">
        <f>IF(Main[[#This Row],[Tech Start Date]]&lt;1/1/1990,"",IF(Main[[#This Row],[Class]]="C",WORKDAY(Main[[#This Row],[Tech Start Date]],28),IF(Main[[#This Row],[Class]]="B", WORKDAY(Main[[#This Row],[Tech Start Date]],19),IF(Main[[#This Row],[Class]]="A",WORKDAY(Main[[#This Row],[Tech Start Date]],9),""))))</f>
        <v/>
      </c>
      <c r="Q428" s="67"/>
      <c r="R428" s="67"/>
      <c r="S428" s="65" t="s">
        <v>23</v>
      </c>
      <c r="T428" s="70" t="s">
        <v>4</v>
      </c>
      <c r="U428" s="65" t="s">
        <v>14</v>
      </c>
      <c r="V428" s="65" t="s">
        <v>1920</v>
      </c>
      <c r="W428" s="65" t="s">
        <v>1921</v>
      </c>
      <c r="X428" s="65" t="s">
        <v>399</v>
      </c>
      <c r="Y428" s="65" t="s">
        <v>4</v>
      </c>
      <c r="Z428" s="65" t="s">
        <v>4</v>
      </c>
      <c r="AA428" s="65" t="s">
        <v>3417</v>
      </c>
    </row>
    <row r="429" spans="1:27" ht="17.45" customHeight="1">
      <c r="A429" s="131" t="str">
        <f>IF(priority(Main[[#This Row],[Comments]])&lt;&gt;0, priority(Main[[#This Row],[Comments]]),"")</f>
        <v/>
      </c>
      <c r="B429" s="99" t="s">
        <v>1268</v>
      </c>
      <c r="C429" s="65" t="s">
        <v>31</v>
      </c>
      <c r="D429" s="66" t="s">
        <v>335</v>
      </c>
      <c r="E429" s="67"/>
      <c r="F429" s="67"/>
      <c r="G429" s="64" t="str">
        <f>IF(stdProdLT(Main[[#This Row],[Comments]])=0.1,"N/A",IF(stdProdLT(Main[[#This Row],[Comments]])=0,"",stdProdLT(Main[[#This Row],[Comments]])))</f>
        <v/>
      </c>
      <c r="H429" s="68" t="str">
        <f>IF(AND(Main[[#This Row],[In Stock Date]]&lt;&gt;"",Main[[#This Row],[Revised Due Date]]&lt;&gt;""),Main[[#This Row],[In Stock Date]]-Main[[#This Row],[Revised Due Date]],"")</f>
        <v/>
      </c>
      <c r="I429" s="65" t="s">
        <v>4</v>
      </c>
      <c r="J429" s="65" t="s">
        <v>4</v>
      </c>
      <c r="K429" s="65" t="s">
        <v>4</v>
      </c>
      <c r="L429" s="67"/>
      <c r="M429" s="69" t="str">
        <f>IF(Main[[#This Row],[Tech Start Date]]&lt;1/1/1990,"",IF(Main[[#This Row],[Class]]="C",WORKDAY(Main[[#This Row],[Tech Start Date]],9),IF(Main[[#This Row],[Class]]="B", WORKDAY(Main[[#This Row],[Tech Start Date]],6),IF(Main[[#This Row],[Class]]="A",WORKDAY(Main[[#This Row],[Tech Start Date]],2),""))))</f>
        <v/>
      </c>
      <c r="N429" s="69" t="str">
        <f>IF(Main[[#This Row],[Tech Start Date]]&lt;1/1/1990,"",IF(Main[[#This Row],[Class]]="C",WORKDAY(Main[[#This Row],[Tech Start Date]],19),IF(Main[[#This Row],[Class]]="B", WORKDAY(Main[[#This Row],[Tech Start Date]],12),IF(Main[[#This Row],[Class]]="A",WORKDAY(Main[[#This Row],[Tech Start Date]],4),""))))</f>
        <v/>
      </c>
      <c r="O429" s="69" t="str">
        <f>IF(Main[[#This Row],[Tech Start Date]]&lt;1/1/1990,"",IF(Main[[#This Row],[Class]]="C",WORKDAY(Main[[#This Row],[Tech Start Date]],23),IF(Main[[#This Row],[Class]]="B", WORKDAY(Main[[#This Row],[Tech Start Date]],15),IF(Main[[#This Row],[Class]]="A",WORKDAY(Main[[#This Row],[Tech Start Date]],5),""))))</f>
        <v/>
      </c>
      <c r="P429" s="69" t="str">
        <f>IF(Main[[#This Row],[Tech Start Date]]&lt;1/1/1990,"",IF(Main[[#This Row],[Class]]="C",WORKDAY(Main[[#This Row],[Tech Start Date]],28),IF(Main[[#This Row],[Class]]="B", WORKDAY(Main[[#This Row],[Tech Start Date]],19),IF(Main[[#This Row],[Class]]="A",WORKDAY(Main[[#This Row],[Tech Start Date]],9),""))))</f>
        <v/>
      </c>
      <c r="Q429" s="67">
        <v>40318</v>
      </c>
      <c r="R429" s="67"/>
      <c r="S429" s="65" t="s">
        <v>11</v>
      </c>
      <c r="T429" s="70" t="s">
        <v>4</v>
      </c>
      <c r="U429" s="65" t="s">
        <v>14</v>
      </c>
      <c r="V429" s="65" t="s">
        <v>1920</v>
      </c>
      <c r="W429" s="65" t="s">
        <v>1919</v>
      </c>
      <c r="X429" s="65" t="s">
        <v>2836</v>
      </c>
      <c r="Y429" s="65" t="s">
        <v>4</v>
      </c>
      <c r="Z429" s="65" t="s">
        <v>4</v>
      </c>
      <c r="AA429" s="65" t="s">
        <v>2836</v>
      </c>
    </row>
    <row r="430" spans="1:27" ht="17.45" customHeight="1">
      <c r="A430" s="131" t="str">
        <f>IF(priority(Main[[#This Row],[Comments]])&lt;&gt;0, priority(Main[[#This Row],[Comments]]),"")</f>
        <v/>
      </c>
      <c r="B430" s="99" t="s">
        <v>1269</v>
      </c>
      <c r="C430" s="65" t="s">
        <v>4</v>
      </c>
      <c r="D430" s="66" t="s">
        <v>336</v>
      </c>
      <c r="E430" s="67">
        <v>40542.302245370367</v>
      </c>
      <c r="F430" s="67"/>
      <c r="G430" s="64" t="str">
        <f>IF(stdProdLT(Main[[#This Row],[Comments]])=0.1,"N/A",IF(stdProdLT(Main[[#This Row],[Comments]])=0,"",stdProdLT(Main[[#This Row],[Comments]])))</f>
        <v/>
      </c>
      <c r="H430" s="68" t="str">
        <f>IF(AND(Main[[#This Row],[In Stock Date]]&lt;&gt;"",Main[[#This Row],[Revised Due Date]]&lt;&gt;""),Main[[#This Row],[In Stock Date]]-Main[[#This Row],[Revised Due Date]],"")</f>
        <v/>
      </c>
      <c r="I430" s="65" t="s">
        <v>4</v>
      </c>
      <c r="J430" s="65" t="s">
        <v>4</v>
      </c>
      <c r="K430" s="65" t="s">
        <v>1926</v>
      </c>
      <c r="L430" s="67"/>
      <c r="M430" s="69" t="str">
        <f>IF(Main[[#This Row],[Tech Start Date]]&lt;1/1/1990,"",IF(Main[[#This Row],[Class]]="C",WORKDAY(Main[[#This Row],[Tech Start Date]],9),IF(Main[[#This Row],[Class]]="B", WORKDAY(Main[[#This Row],[Tech Start Date]],6),IF(Main[[#This Row],[Class]]="A",WORKDAY(Main[[#This Row],[Tech Start Date]],2),""))))</f>
        <v/>
      </c>
      <c r="N430" s="69" t="str">
        <f>IF(Main[[#This Row],[Tech Start Date]]&lt;1/1/1990,"",IF(Main[[#This Row],[Class]]="C",WORKDAY(Main[[#This Row],[Tech Start Date]],19),IF(Main[[#This Row],[Class]]="B", WORKDAY(Main[[#This Row],[Tech Start Date]],12),IF(Main[[#This Row],[Class]]="A",WORKDAY(Main[[#This Row],[Tech Start Date]],4),""))))</f>
        <v/>
      </c>
      <c r="O430" s="69" t="str">
        <f>IF(Main[[#This Row],[Tech Start Date]]&lt;1/1/1990,"",IF(Main[[#This Row],[Class]]="C",WORKDAY(Main[[#This Row],[Tech Start Date]],23),IF(Main[[#This Row],[Class]]="B", WORKDAY(Main[[#This Row],[Tech Start Date]],15),IF(Main[[#This Row],[Class]]="A",WORKDAY(Main[[#This Row],[Tech Start Date]],5),""))))</f>
        <v/>
      </c>
      <c r="P430" s="69" t="str">
        <f>IF(Main[[#This Row],[Tech Start Date]]&lt;1/1/1990,"",IF(Main[[#This Row],[Class]]="C",WORKDAY(Main[[#This Row],[Tech Start Date]],28),IF(Main[[#This Row],[Class]]="B", WORKDAY(Main[[#This Row],[Tech Start Date]],19),IF(Main[[#This Row],[Class]]="A",WORKDAY(Main[[#This Row],[Tech Start Date]],9),""))))</f>
        <v/>
      </c>
      <c r="Q430" s="67"/>
      <c r="R430" s="67"/>
      <c r="S430" s="65" t="s">
        <v>6</v>
      </c>
      <c r="T430" s="70" t="s">
        <v>4</v>
      </c>
      <c r="U430" s="65" t="s">
        <v>29</v>
      </c>
      <c r="V430" s="65" t="s">
        <v>1917</v>
      </c>
      <c r="W430" s="65" t="s">
        <v>1921</v>
      </c>
      <c r="X430" s="65" t="s">
        <v>306</v>
      </c>
      <c r="Y430" s="65" t="s">
        <v>4</v>
      </c>
      <c r="Z430" s="65" t="s">
        <v>4</v>
      </c>
      <c r="AA430" s="65" t="s">
        <v>2874</v>
      </c>
    </row>
    <row r="431" spans="1:27" ht="17.45" customHeight="1">
      <c r="A431" s="131" t="str">
        <f>IF(priority(Main[[#This Row],[Comments]])&lt;&gt;0, priority(Main[[#This Row],[Comments]]),"")</f>
        <v/>
      </c>
      <c r="B431" s="99" t="s">
        <v>1270</v>
      </c>
      <c r="C431" s="65" t="s">
        <v>93</v>
      </c>
      <c r="D431" s="66" t="s">
        <v>337</v>
      </c>
      <c r="E431" s="67"/>
      <c r="F431" s="67">
        <v>40132</v>
      </c>
      <c r="G431" s="64" t="str">
        <f>IF(stdProdLT(Main[[#This Row],[Comments]])=0.1,"N/A",IF(stdProdLT(Main[[#This Row],[Comments]])=0,"",stdProdLT(Main[[#This Row],[Comments]])))</f>
        <v/>
      </c>
      <c r="H431" s="68" t="str">
        <f>IF(AND(Main[[#This Row],[In Stock Date]]&lt;&gt;"",Main[[#This Row],[Revised Due Date]]&lt;&gt;""),Main[[#This Row],[In Stock Date]]-Main[[#This Row],[Revised Due Date]],"")</f>
        <v/>
      </c>
      <c r="I431" s="65" t="s">
        <v>4</v>
      </c>
      <c r="J431" s="65" t="s">
        <v>4</v>
      </c>
      <c r="K431" s="65" t="s">
        <v>4</v>
      </c>
      <c r="L431" s="67"/>
      <c r="M431" s="69" t="str">
        <f>IF(Main[[#This Row],[Tech Start Date]]&lt;1/1/1990,"",IF(Main[[#This Row],[Class]]="C",WORKDAY(Main[[#This Row],[Tech Start Date]],9),IF(Main[[#This Row],[Class]]="B", WORKDAY(Main[[#This Row],[Tech Start Date]],6),IF(Main[[#This Row],[Class]]="A",WORKDAY(Main[[#This Row],[Tech Start Date]],2),""))))</f>
        <v/>
      </c>
      <c r="N431" s="69" t="str">
        <f>IF(Main[[#This Row],[Tech Start Date]]&lt;1/1/1990,"",IF(Main[[#This Row],[Class]]="C",WORKDAY(Main[[#This Row],[Tech Start Date]],19),IF(Main[[#This Row],[Class]]="B", WORKDAY(Main[[#This Row],[Tech Start Date]],12),IF(Main[[#This Row],[Class]]="A",WORKDAY(Main[[#This Row],[Tech Start Date]],4),""))))</f>
        <v/>
      </c>
      <c r="O431" s="69" t="str">
        <f>IF(Main[[#This Row],[Tech Start Date]]&lt;1/1/1990,"",IF(Main[[#This Row],[Class]]="C",WORKDAY(Main[[#This Row],[Tech Start Date]],23),IF(Main[[#This Row],[Class]]="B", WORKDAY(Main[[#This Row],[Tech Start Date]],15),IF(Main[[#This Row],[Class]]="A",WORKDAY(Main[[#This Row],[Tech Start Date]],5),""))))</f>
        <v/>
      </c>
      <c r="P431" s="69" t="str">
        <f>IF(Main[[#This Row],[Tech Start Date]]&lt;1/1/1990,"",IF(Main[[#This Row],[Class]]="C",WORKDAY(Main[[#This Row],[Tech Start Date]],28),IF(Main[[#This Row],[Class]]="B", WORKDAY(Main[[#This Row],[Tech Start Date]],19),IF(Main[[#This Row],[Class]]="A",WORKDAY(Main[[#This Row],[Tech Start Date]],9),""))))</f>
        <v/>
      </c>
      <c r="Q431" s="67">
        <v>40132</v>
      </c>
      <c r="R431" s="67"/>
      <c r="S431" s="65" t="s">
        <v>11</v>
      </c>
      <c r="T431" s="70" t="s">
        <v>4</v>
      </c>
      <c r="U431" s="65" t="s">
        <v>14</v>
      </c>
      <c r="V431" s="65" t="s">
        <v>1927</v>
      </c>
      <c r="W431" s="65" t="s">
        <v>1923</v>
      </c>
      <c r="X431" s="65" t="s">
        <v>2862</v>
      </c>
      <c r="Y431" s="65" t="s">
        <v>4</v>
      </c>
      <c r="Z431" s="65" t="s">
        <v>4</v>
      </c>
      <c r="AA431" s="65" t="s">
        <v>2862</v>
      </c>
    </row>
    <row r="432" spans="1:27" ht="17.45" customHeight="1">
      <c r="A432" s="131" t="str">
        <f>IF(priority(Main[[#This Row],[Comments]])&lt;&gt;0, priority(Main[[#This Row],[Comments]]),"")</f>
        <v/>
      </c>
      <c r="B432" s="99" t="s">
        <v>1271</v>
      </c>
      <c r="C432" s="65" t="s">
        <v>4</v>
      </c>
      <c r="D432" s="66" t="s">
        <v>338</v>
      </c>
      <c r="E432" s="67"/>
      <c r="F432" s="67"/>
      <c r="G432" s="64" t="str">
        <f>IF(stdProdLT(Main[[#This Row],[Comments]])=0.1,"N/A",IF(stdProdLT(Main[[#This Row],[Comments]])=0,"",stdProdLT(Main[[#This Row],[Comments]])))</f>
        <v/>
      </c>
      <c r="H432" s="68" t="str">
        <f>IF(AND(Main[[#This Row],[In Stock Date]]&lt;&gt;"",Main[[#This Row],[Revised Due Date]]&lt;&gt;""),Main[[#This Row],[In Stock Date]]-Main[[#This Row],[Revised Due Date]],"")</f>
        <v/>
      </c>
      <c r="I432" s="65" t="s">
        <v>4</v>
      </c>
      <c r="J432" s="65" t="s">
        <v>4</v>
      </c>
      <c r="K432" s="65" t="s">
        <v>4</v>
      </c>
      <c r="L432" s="67"/>
      <c r="M432" s="69" t="str">
        <f>IF(Main[[#This Row],[Tech Start Date]]&lt;1/1/1990,"",IF(Main[[#This Row],[Class]]="C",WORKDAY(Main[[#This Row],[Tech Start Date]],9),IF(Main[[#This Row],[Class]]="B", WORKDAY(Main[[#This Row],[Tech Start Date]],6),IF(Main[[#This Row],[Class]]="A",WORKDAY(Main[[#This Row],[Tech Start Date]],2),""))))</f>
        <v/>
      </c>
      <c r="N432" s="69" t="str">
        <f>IF(Main[[#This Row],[Tech Start Date]]&lt;1/1/1990,"",IF(Main[[#This Row],[Class]]="C",WORKDAY(Main[[#This Row],[Tech Start Date]],19),IF(Main[[#This Row],[Class]]="B", WORKDAY(Main[[#This Row],[Tech Start Date]],12),IF(Main[[#This Row],[Class]]="A",WORKDAY(Main[[#This Row],[Tech Start Date]],4),""))))</f>
        <v/>
      </c>
      <c r="O432" s="69" t="str">
        <f>IF(Main[[#This Row],[Tech Start Date]]&lt;1/1/1990,"",IF(Main[[#This Row],[Class]]="C",WORKDAY(Main[[#This Row],[Tech Start Date]],23),IF(Main[[#This Row],[Class]]="B", WORKDAY(Main[[#This Row],[Tech Start Date]],15),IF(Main[[#This Row],[Class]]="A",WORKDAY(Main[[#This Row],[Tech Start Date]],5),""))))</f>
        <v/>
      </c>
      <c r="P432" s="69" t="str">
        <f>IF(Main[[#This Row],[Tech Start Date]]&lt;1/1/1990,"",IF(Main[[#This Row],[Class]]="C",WORKDAY(Main[[#This Row],[Tech Start Date]],28),IF(Main[[#This Row],[Class]]="B", WORKDAY(Main[[#This Row],[Tech Start Date]],19),IF(Main[[#This Row],[Class]]="A",WORKDAY(Main[[#This Row],[Tech Start Date]],9),""))))</f>
        <v/>
      </c>
      <c r="Q432" s="67"/>
      <c r="R432" s="67"/>
      <c r="S432" s="65" t="s">
        <v>23</v>
      </c>
      <c r="T432" s="70" t="s">
        <v>4</v>
      </c>
      <c r="U432" s="65" t="s">
        <v>14</v>
      </c>
      <c r="V432" s="65" t="s">
        <v>1917</v>
      </c>
      <c r="W432" s="65" t="s">
        <v>1919</v>
      </c>
      <c r="X432" s="65" t="s">
        <v>102</v>
      </c>
      <c r="Y432" s="65" t="s">
        <v>4</v>
      </c>
      <c r="Z432" s="65" t="s">
        <v>4</v>
      </c>
      <c r="AA432" s="65" t="s">
        <v>4</v>
      </c>
    </row>
    <row r="433" spans="1:27" ht="17.45" customHeight="1">
      <c r="A433" s="131" t="str">
        <f>IF(priority(Main[[#This Row],[Comments]])&lt;&gt;0, priority(Main[[#This Row],[Comments]]),"")</f>
        <v/>
      </c>
      <c r="B433" s="99" t="s">
        <v>1272</v>
      </c>
      <c r="C433" s="65" t="s">
        <v>47</v>
      </c>
      <c r="D433" s="66" t="s">
        <v>339</v>
      </c>
      <c r="E433" s="67">
        <v>39937.597743055558</v>
      </c>
      <c r="F433" s="67"/>
      <c r="G433" s="64" t="str">
        <f>IF(stdProdLT(Main[[#This Row],[Comments]])=0.1,"N/A",IF(stdProdLT(Main[[#This Row],[Comments]])=0,"",stdProdLT(Main[[#This Row],[Comments]])))</f>
        <v/>
      </c>
      <c r="H433" s="68" t="str">
        <f>IF(AND(Main[[#This Row],[In Stock Date]]&lt;&gt;"",Main[[#This Row],[Revised Due Date]]&lt;&gt;""),Main[[#This Row],[In Stock Date]]-Main[[#This Row],[Revised Due Date]],"")</f>
        <v/>
      </c>
      <c r="I433" s="65" t="s">
        <v>4</v>
      </c>
      <c r="J433" s="65" t="s">
        <v>4</v>
      </c>
      <c r="K433" s="65" t="s">
        <v>4</v>
      </c>
      <c r="L433" s="67"/>
      <c r="M433" s="69" t="str">
        <f>IF(Main[[#This Row],[Tech Start Date]]&lt;1/1/1990,"",IF(Main[[#This Row],[Class]]="C",WORKDAY(Main[[#This Row],[Tech Start Date]],9),IF(Main[[#This Row],[Class]]="B", WORKDAY(Main[[#This Row],[Tech Start Date]],6),IF(Main[[#This Row],[Class]]="A",WORKDAY(Main[[#This Row],[Tech Start Date]],2),""))))</f>
        <v/>
      </c>
      <c r="N433" s="69" t="str">
        <f>IF(Main[[#This Row],[Tech Start Date]]&lt;1/1/1990,"",IF(Main[[#This Row],[Class]]="C",WORKDAY(Main[[#This Row],[Tech Start Date]],19),IF(Main[[#This Row],[Class]]="B", WORKDAY(Main[[#This Row],[Tech Start Date]],12),IF(Main[[#This Row],[Class]]="A",WORKDAY(Main[[#This Row],[Tech Start Date]],4),""))))</f>
        <v/>
      </c>
      <c r="O433" s="69" t="str">
        <f>IF(Main[[#This Row],[Tech Start Date]]&lt;1/1/1990,"",IF(Main[[#This Row],[Class]]="C",WORKDAY(Main[[#This Row],[Tech Start Date]],23),IF(Main[[#This Row],[Class]]="B", WORKDAY(Main[[#This Row],[Tech Start Date]],15),IF(Main[[#This Row],[Class]]="A",WORKDAY(Main[[#This Row],[Tech Start Date]],5),""))))</f>
        <v/>
      </c>
      <c r="P433" s="69" t="str">
        <f>IF(Main[[#This Row],[Tech Start Date]]&lt;1/1/1990,"",IF(Main[[#This Row],[Class]]="C",WORKDAY(Main[[#This Row],[Tech Start Date]],28),IF(Main[[#This Row],[Class]]="B", WORKDAY(Main[[#This Row],[Tech Start Date]],19),IF(Main[[#This Row],[Class]]="A",WORKDAY(Main[[#This Row],[Tech Start Date]],9),""))))</f>
        <v/>
      </c>
      <c r="Q433" s="67"/>
      <c r="R433" s="67"/>
      <c r="S433" s="65" t="s">
        <v>17</v>
      </c>
      <c r="T433" s="70" t="s">
        <v>4</v>
      </c>
      <c r="U433" s="65" t="s">
        <v>7</v>
      </c>
      <c r="V433" s="65" t="s">
        <v>1920</v>
      </c>
      <c r="W433" s="65" t="s">
        <v>4</v>
      </c>
      <c r="X433" s="65" t="s">
        <v>2833</v>
      </c>
      <c r="Y433" s="65" t="s">
        <v>2954</v>
      </c>
      <c r="Z433" s="65" t="s">
        <v>4</v>
      </c>
      <c r="AA433" s="65" t="s">
        <v>2833</v>
      </c>
    </row>
    <row r="434" spans="1:27" ht="17.45" customHeight="1">
      <c r="A434" s="131" t="str">
        <f>IF(priority(Main[[#This Row],[Comments]])&lt;&gt;0, priority(Main[[#This Row],[Comments]]),"")</f>
        <v/>
      </c>
      <c r="B434" s="99" t="s">
        <v>1273</v>
      </c>
      <c r="C434" s="65" t="s">
        <v>95</v>
      </c>
      <c r="D434" s="66" t="s">
        <v>340</v>
      </c>
      <c r="E434" s="67"/>
      <c r="F434" s="67">
        <v>40195</v>
      </c>
      <c r="G434" s="64" t="str">
        <f>IF(stdProdLT(Main[[#This Row],[Comments]])=0.1,"N/A",IF(stdProdLT(Main[[#This Row],[Comments]])=0,"",stdProdLT(Main[[#This Row],[Comments]])))</f>
        <v/>
      </c>
      <c r="H434" s="68" t="str">
        <f>IF(AND(Main[[#This Row],[In Stock Date]]&lt;&gt;"",Main[[#This Row],[Revised Due Date]]&lt;&gt;""),Main[[#This Row],[In Stock Date]]-Main[[#This Row],[Revised Due Date]],"")</f>
        <v/>
      </c>
      <c r="I434" s="65" t="s">
        <v>4</v>
      </c>
      <c r="J434" s="65" t="s">
        <v>4</v>
      </c>
      <c r="K434" s="65" t="s">
        <v>4</v>
      </c>
      <c r="L434" s="67"/>
      <c r="M434" s="69" t="str">
        <f>IF(Main[[#This Row],[Tech Start Date]]&lt;1/1/1990,"",IF(Main[[#This Row],[Class]]="C",WORKDAY(Main[[#This Row],[Tech Start Date]],9),IF(Main[[#This Row],[Class]]="B", WORKDAY(Main[[#This Row],[Tech Start Date]],6),IF(Main[[#This Row],[Class]]="A",WORKDAY(Main[[#This Row],[Tech Start Date]],2),""))))</f>
        <v/>
      </c>
      <c r="N434" s="69" t="str">
        <f>IF(Main[[#This Row],[Tech Start Date]]&lt;1/1/1990,"",IF(Main[[#This Row],[Class]]="C",WORKDAY(Main[[#This Row],[Tech Start Date]],19),IF(Main[[#This Row],[Class]]="B", WORKDAY(Main[[#This Row],[Tech Start Date]],12),IF(Main[[#This Row],[Class]]="A",WORKDAY(Main[[#This Row],[Tech Start Date]],4),""))))</f>
        <v/>
      </c>
      <c r="O434" s="69" t="str">
        <f>IF(Main[[#This Row],[Tech Start Date]]&lt;1/1/1990,"",IF(Main[[#This Row],[Class]]="C",WORKDAY(Main[[#This Row],[Tech Start Date]],23),IF(Main[[#This Row],[Class]]="B", WORKDAY(Main[[#This Row],[Tech Start Date]],15),IF(Main[[#This Row],[Class]]="A",WORKDAY(Main[[#This Row],[Tech Start Date]],5),""))))</f>
        <v/>
      </c>
      <c r="P434" s="69" t="str">
        <f>IF(Main[[#This Row],[Tech Start Date]]&lt;1/1/1990,"",IF(Main[[#This Row],[Class]]="C",WORKDAY(Main[[#This Row],[Tech Start Date]],28),IF(Main[[#This Row],[Class]]="B", WORKDAY(Main[[#This Row],[Tech Start Date]],19),IF(Main[[#This Row],[Class]]="A",WORKDAY(Main[[#This Row],[Tech Start Date]],9),""))))</f>
        <v/>
      </c>
      <c r="Q434" s="67">
        <v>40070</v>
      </c>
      <c r="R434" s="67"/>
      <c r="S434" s="65" t="s">
        <v>11</v>
      </c>
      <c r="T434" s="70" t="s">
        <v>4</v>
      </c>
      <c r="U434" s="65" t="s">
        <v>14</v>
      </c>
      <c r="V434" s="65" t="s">
        <v>1920</v>
      </c>
      <c r="W434" s="65" t="s">
        <v>1923</v>
      </c>
      <c r="X434" s="65" t="s">
        <v>2882</v>
      </c>
      <c r="Y434" s="65" t="s">
        <v>4</v>
      </c>
      <c r="Z434" s="65" t="s">
        <v>4</v>
      </c>
      <c r="AA434" s="65" t="s">
        <v>3418</v>
      </c>
    </row>
    <row r="435" spans="1:27" ht="17.45" customHeight="1">
      <c r="A435" s="131" t="str">
        <f>IF(priority(Main[[#This Row],[Comments]])&lt;&gt;0, priority(Main[[#This Row],[Comments]]),"")</f>
        <v/>
      </c>
      <c r="B435" s="99" t="s">
        <v>1293</v>
      </c>
      <c r="C435" s="65" t="s">
        <v>4</v>
      </c>
      <c r="D435" s="66" t="s">
        <v>342</v>
      </c>
      <c r="E435" s="67">
        <v>40704.346435185187</v>
      </c>
      <c r="F435" s="67"/>
      <c r="G435" s="64" t="str">
        <f>IF(stdProdLT(Main[[#This Row],[Comments]])=0.1,"N/A",IF(stdProdLT(Main[[#This Row],[Comments]])=0,"",stdProdLT(Main[[#This Row],[Comments]])))</f>
        <v/>
      </c>
      <c r="H435" s="68" t="str">
        <f>IF(AND(Main[[#This Row],[In Stock Date]]&lt;&gt;"",Main[[#This Row],[Revised Due Date]]&lt;&gt;""),Main[[#This Row],[In Stock Date]]-Main[[#This Row],[Revised Due Date]],"")</f>
        <v/>
      </c>
      <c r="I435" s="65" t="s">
        <v>924</v>
      </c>
      <c r="J435" s="65" t="s">
        <v>28</v>
      </c>
      <c r="K435" s="71" t="s">
        <v>4</v>
      </c>
      <c r="L435" s="67"/>
      <c r="M435" s="69" t="str">
        <f>IF(Main[[#This Row],[Tech Start Date]]&lt;1/1/1990,"",IF(Main[[#This Row],[Class]]="C",WORKDAY(Main[[#This Row],[Tech Start Date]],9),IF(Main[[#This Row],[Class]]="B", WORKDAY(Main[[#This Row],[Tech Start Date]],6),IF(Main[[#This Row],[Class]]="A",WORKDAY(Main[[#This Row],[Tech Start Date]],2),""))))</f>
        <v/>
      </c>
      <c r="N435" s="69" t="str">
        <f>IF(Main[[#This Row],[Tech Start Date]]&lt;1/1/1990,"",IF(Main[[#This Row],[Class]]="C",WORKDAY(Main[[#This Row],[Tech Start Date]],19),IF(Main[[#This Row],[Class]]="B", WORKDAY(Main[[#This Row],[Tech Start Date]],12),IF(Main[[#This Row],[Class]]="A",WORKDAY(Main[[#This Row],[Tech Start Date]],4),""))))</f>
        <v/>
      </c>
      <c r="O435" s="69" t="str">
        <f>IF(Main[[#This Row],[Tech Start Date]]&lt;1/1/1990,"",IF(Main[[#This Row],[Class]]="C",WORKDAY(Main[[#This Row],[Tech Start Date]],23),IF(Main[[#This Row],[Class]]="B", WORKDAY(Main[[#This Row],[Tech Start Date]],15),IF(Main[[#This Row],[Class]]="A",WORKDAY(Main[[#This Row],[Tech Start Date]],5),""))))</f>
        <v/>
      </c>
      <c r="P435" s="69" t="str">
        <f>IF(Main[[#This Row],[Tech Start Date]]&lt;1/1/1990,"",IF(Main[[#This Row],[Class]]="C",WORKDAY(Main[[#This Row],[Tech Start Date]],28),IF(Main[[#This Row],[Class]]="B", WORKDAY(Main[[#This Row],[Tech Start Date]],19),IF(Main[[#This Row],[Class]]="A",WORKDAY(Main[[#This Row],[Tech Start Date]],9),""))))</f>
        <v/>
      </c>
      <c r="Q435" s="67"/>
      <c r="R435" s="67">
        <v>40908</v>
      </c>
      <c r="S435" s="65" t="s">
        <v>49</v>
      </c>
      <c r="T435" s="70" t="s">
        <v>4</v>
      </c>
      <c r="U435" s="65" t="s">
        <v>7</v>
      </c>
      <c r="V435" s="65" t="s">
        <v>1932</v>
      </c>
      <c r="W435" s="65" t="s">
        <v>1919</v>
      </c>
      <c r="X435" s="65" t="s">
        <v>924</v>
      </c>
      <c r="Y435" s="65" t="s">
        <v>2988</v>
      </c>
      <c r="Z435" s="65" t="s">
        <v>2214</v>
      </c>
      <c r="AA435" s="65" t="s">
        <v>924</v>
      </c>
    </row>
    <row r="436" spans="1:27" ht="17.45" customHeight="1">
      <c r="A436" s="131" t="str">
        <f>IF(priority(Main[[#This Row],[Comments]])&lt;&gt;0, priority(Main[[#This Row],[Comments]]),"")</f>
        <v/>
      </c>
      <c r="B436" s="99" t="s">
        <v>1294</v>
      </c>
      <c r="C436" s="65" t="s">
        <v>72</v>
      </c>
      <c r="D436" s="66" t="s">
        <v>343</v>
      </c>
      <c r="E436" s="67"/>
      <c r="F436" s="67">
        <v>40106</v>
      </c>
      <c r="G436" s="64" t="str">
        <f>IF(stdProdLT(Main[[#This Row],[Comments]])=0.1,"N/A",IF(stdProdLT(Main[[#This Row],[Comments]])=0,"",stdProdLT(Main[[#This Row],[Comments]])))</f>
        <v/>
      </c>
      <c r="H436" s="68" t="str">
        <f>IF(AND(Main[[#This Row],[In Stock Date]]&lt;&gt;"",Main[[#This Row],[Revised Due Date]]&lt;&gt;""),Main[[#This Row],[In Stock Date]]-Main[[#This Row],[Revised Due Date]],"")</f>
        <v/>
      </c>
      <c r="I436" s="65" t="s">
        <v>4</v>
      </c>
      <c r="J436" s="65" t="s">
        <v>4</v>
      </c>
      <c r="K436" s="65" t="s">
        <v>4</v>
      </c>
      <c r="L436" s="67"/>
      <c r="M436" s="69" t="str">
        <f>IF(Main[[#This Row],[Tech Start Date]]&lt;1/1/1990,"",IF(Main[[#This Row],[Class]]="C",WORKDAY(Main[[#This Row],[Tech Start Date]],9),IF(Main[[#This Row],[Class]]="B", WORKDAY(Main[[#This Row],[Tech Start Date]],6),IF(Main[[#This Row],[Class]]="A",WORKDAY(Main[[#This Row],[Tech Start Date]],2),""))))</f>
        <v/>
      </c>
      <c r="N436" s="69" t="str">
        <f>IF(Main[[#This Row],[Tech Start Date]]&lt;1/1/1990,"",IF(Main[[#This Row],[Class]]="C",WORKDAY(Main[[#This Row],[Tech Start Date]],19),IF(Main[[#This Row],[Class]]="B", WORKDAY(Main[[#This Row],[Tech Start Date]],12),IF(Main[[#This Row],[Class]]="A",WORKDAY(Main[[#This Row],[Tech Start Date]],4),""))))</f>
        <v/>
      </c>
      <c r="O436" s="69" t="str">
        <f>IF(Main[[#This Row],[Tech Start Date]]&lt;1/1/1990,"",IF(Main[[#This Row],[Class]]="C",WORKDAY(Main[[#This Row],[Tech Start Date]],23),IF(Main[[#This Row],[Class]]="B", WORKDAY(Main[[#This Row],[Tech Start Date]],15),IF(Main[[#This Row],[Class]]="A",WORKDAY(Main[[#This Row],[Tech Start Date]],5),""))))</f>
        <v/>
      </c>
      <c r="P436" s="69" t="str">
        <f>IF(Main[[#This Row],[Tech Start Date]]&lt;1/1/1990,"",IF(Main[[#This Row],[Class]]="C",WORKDAY(Main[[#This Row],[Tech Start Date]],28),IF(Main[[#This Row],[Class]]="B", WORKDAY(Main[[#This Row],[Tech Start Date]],19),IF(Main[[#This Row],[Class]]="A",WORKDAY(Main[[#This Row],[Tech Start Date]],9),""))))</f>
        <v/>
      </c>
      <c r="Q436" s="67">
        <v>39986</v>
      </c>
      <c r="R436" s="67"/>
      <c r="S436" s="65" t="s">
        <v>11</v>
      </c>
      <c r="T436" s="70" t="s">
        <v>4</v>
      </c>
      <c r="U436" s="65" t="s">
        <v>14</v>
      </c>
      <c r="V436" s="65" t="s">
        <v>1918</v>
      </c>
      <c r="W436" s="65" t="s">
        <v>1922</v>
      </c>
      <c r="X436" s="65" t="s">
        <v>2830</v>
      </c>
      <c r="Y436" s="65" t="s">
        <v>2949</v>
      </c>
      <c r="Z436" s="65" t="s">
        <v>4</v>
      </c>
      <c r="AA436" s="65" t="s">
        <v>2830</v>
      </c>
    </row>
    <row r="437" spans="1:27" ht="17.45" customHeight="1">
      <c r="A437" s="131" t="str">
        <f>IF(priority(Main[[#This Row],[Comments]])&lt;&gt;0, priority(Main[[#This Row],[Comments]]),"")</f>
        <v/>
      </c>
      <c r="B437" s="99" t="s">
        <v>1295</v>
      </c>
      <c r="C437" s="65" t="s">
        <v>4</v>
      </c>
      <c r="D437" s="66" t="s">
        <v>344</v>
      </c>
      <c r="E437" s="67"/>
      <c r="F437" s="67"/>
      <c r="G437" s="64" t="str">
        <f>IF(stdProdLT(Main[[#This Row],[Comments]])=0.1,"N/A",IF(stdProdLT(Main[[#This Row],[Comments]])=0,"",stdProdLT(Main[[#This Row],[Comments]])))</f>
        <v/>
      </c>
      <c r="H437" s="68" t="str">
        <f>IF(AND(Main[[#This Row],[In Stock Date]]&lt;&gt;"",Main[[#This Row],[Revised Due Date]]&lt;&gt;""),Main[[#This Row],[In Stock Date]]-Main[[#This Row],[Revised Due Date]],"")</f>
        <v/>
      </c>
      <c r="I437" s="65" t="s">
        <v>4</v>
      </c>
      <c r="J437" s="65" t="s">
        <v>4</v>
      </c>
      <c r="K437" s="65" t="s">
        <v>4</v>
      </c>
      <c r="L437" s="67"/>
      <c r="M437" s="69" t="str">
        <f>IF(Main[[#This Row],[Tech Start Date]]&lt;1/1/1990,"",IF(Main[[#This Row],[Class]]="C",WORKDAY(Main[[#This Row],[Tech Start Date]],9),IF(Main[[#This Row],[Class]]="B", WORKDAY(Main[[#This Row],[Tech Start Date]],6),IF(Main[[#This Row],[Class]]="A",WORKDAY(Main[[#This Row],[Tech Start Date]],2),""))))</f>
        <v/>
      </c>
      <c r="N437" s="69" t="str">
        <f>IF(Main[[#This Row],[Tech Start Date]]&lt;1/1/1990,"",IF(Main[[#This Row],[Class]]="C",WORKDAY(Main[[#This Row],[Tech Start Date]],19),IF(Main[[#This Row],[Class]]="B", WORKDAY(Main[[#This Row],[Tech Start Date]],12),IF(Main[[#This Row],[Class]]="A",WORKDAY(Main[[#This Row],[Tech Start Date]],4),""))))</f>
        <v/>
      </c>
      <c r="O437" s="69" t="str">
        <f>IF(Main[[#This Row],[Tech Start Date]]&lt;1/1/1990,"",IF(Main[[#This Row],[Class]]="C",WORKDAY(Main[[#This Row],[Tech Start Date]],23),IF(Main[[#This Row],[Class]]="B", WORKDAY(Main[[#This Row],[Tech Start Date]],15),IF(Main[[#This Row],[Class]]="A",WORKDAY(Main[[#This Row],[Tech Start Date]],5),""))))</f>
        <v/>
      </c>
      <c r="P437" s="69" t="str">
        <f>IF(Main[[#This Row],[Tech Start Date]]&lt;1/1/1990,"",IF(Main[[#This Row],[Class]]="C",WORKDAY(Main[[#This Row],[Tech Start Date]],28),IF(Main[[#This Row],[Class]]="B", WORKDAY(Main[[#This Row],[Tech Start Date]],19),IF(Main[[#This Row],[Class]]="A",WORKDAY(Main[[#This Row],[Tech Start Date]],9),""))))</f>
        <v/>
      </c>
      <c r="Q437" s="67"/>
      <c r="R437" s="67"/>
      <c r="S437" s="65" t="s">
        <v>6</v>
      </c>
      <c r="T437" s="70" t="s">
        <v>4</v>
      </c>
      <c r="U437" s="65" t="s">
        <v>12</v>
      </c>
      <c r="V437" s="65" t="s">
        <v>1917</v>
      </c>
      <c r="W437" s="65" t="s">
        <v>1921</v>
      </c>
      <c r="X437" s="65" t="s">
        <v>710</v>
      </c>
      <c r="Y437" s="65" t="s">
        <v>3028</v>
      </c>
      <c r="Z437" s="65" t="s">
        <v>4</v>
      </c>
      <c r="AA437" s="65" t="s">
        <v>3413</v>
      </c>
    </row>
    <row r="438" spans="1:27" ht="17.45" customHeight="1">
      <c r="A438" s="131" t="str">
        <f>IF(priority(Main[[#This Row],[Comments]])&lt;&gt;0, priority(Main[[#This Row],[Comments]]),"")</f>
        <v/>
      </c>
      <c r="B438" s="99" t="s">
        <v>1274</v>
      </c>
      <c r="C438" s="65" t="s">
        <v>79</v>
      </c>
      <c r="D438" s="66" t="s">
        <v>345</v>
      </c>
      <c r="E438" s="67">
        <v>40072.642395833333</v>
      </c>
      <c r="F438" s="67">
        <v>40116</v>
      </c>
      <c r="G438" s="64" t="str">
        <f>IF(stdProdLT(Main[[#This Row],[Comments]])=0.1,"N/A",IF(stdProdLT(Main[[#This Row],[Comments]])=0,"",stdProdLT(Main[[#This Row],[Comments]])))</f>
        <v/>
      </c>
      <c r="H438" s="68" t="str">
        <f>IF(AND(Main[[#This Row],[In Stock Date]]&lt;&gt;"",Main[[#This Row],[Revised Due Date]]&lt;&gt;""),Main[[#This Row],[In Stock Date]]-Main[[#This Row],[Revised Due Date]],"")</f>
        <v/>
      </c>
      <c r="I438" s="65" t="s">
        <v>4</v>
      </c>
      <c r="J438" s="65" t="s">
        <v>4</v>
      </c>
      <c r="K438" s="71" t="s">
        <v>4</v>
      </c>
      <c r="L438" s="67"/>
      <c r="M438" s="69" t="str">
        <f>IF(Main[[#This Row],[Tech Start Date]]&lt;1/1/1990,"",IF(Main[[#This Row],[Class]]="C",WORKDAY(Main[[#This Row],[Tech Start Date]],9),IF(Main[[#This Row],[Class]]="B", WORKDAY(Main[[#This Row],[Tech Start Date]],6),IF(Main[[#This Row],[Class]]="A",WORKDAY(Main[[#This Row],[Tech Start Date]],2),""))))</f>
        <v/>
      </c>
      <c r="N438" s="69" t="str">
        <f>IF(Main[[#This Row],[Tech Start Date]]&lt;1/1/1990,"",IF(Main[[#This Row],[Class]]="C",WORKDAY(Main[[#This Row],[Tech Start Date]],19),IF(Main[[#This Row],[Class]]="B", WORKDAY(Main[[#This Row],[Tech Start Date]],12),IF(Main[[#This Row],[Class]]="A",WORKDAY(Main[[#This Row],[Tech Start Date]],4),""))))</f>
        <v/>
      </c>
      <c r="O438" s="69" t="str">
        <f>IF(Main[[#This Row],[Tech Start Date]]&lt;1/1/1990,"",IF(Main[[#This Row],[Class]]="C",WORKDAY(Main[[#This Row],[Tech Start Date]],23),IF(Main[[#This Row],[Class]]="B", WORKDAY(Main[[#This Row],[Tech Start Date]],15),IF(Main[[#This Row],[Class]]="A",WORKDAY(Main[[#This Row],[Tech Start Date]],5),""))))</f>
        <v/>
      </c>
      <c r="P438" s="69" t="str">
        <f>IF(Main[[#This Row],[Tech Start Date]]&lt;1/1/1990,"",IF(Main[[#This Row],[Class]]="C",WORKDAY(Main[[#This Row],[Tech Start Date]],28),IF(Main[[#This Row],[Class]]="B", WORKDAY(Main[[#This Row],[Tech Start Date]],19),IF(Main[[#This Row],[Class]]="A",WORKDAY(Main[[#This Row],[Tech Start Date]],9),""))))</f>
        <v/>
      </c>
      <c r="Q438" s="67"/>
      <c r="R438" s="67"/>
      <c r="S438" s="65" t="s">
        <v>17</v>
      </c>
      <c r="T438" s="70" t="s">
        <v>4</v>
      </c>
      <c r="U438" s="65" t="s">
        <v>7</v>
      </c>
      <c r="V438" s="65" t="s">
        <v>1917</v>
      </c>
      <c r="W438" s="65" t="s">
        <v>1921</v>
      </c>
      <c r="X438" s="65" t="s">
        <v>2867</v>
      </c>
      <c r="Y438" s="65" t="s">
        <v>2962</v>
      </c>
      <c r="Z438" s="65" t="s">
        <v>4</v>
      </c>
      <c r="AA438" s="65" t="s">
        <v>2867</v>
      </c>
    </row>
    <row r="439" spans="1:27" ht="17.45" customHeight="1">
      <c r="A439" s="131" t="str">
        <f>IF(priority(Main[[#This Row],[Comments]])&lt;&gt;0, priority(Main[[#This Row],[Comments]]),"")</f>
        <v/>
      </c>
      <c r="B439" s="99" t="s">
        <v>1275</v>
      </c>
      <c r="C439" s="65" t="s">
        <v>4</v>
      </c>
      <c r="D439" s="66" t="s">
        <v>346</v>
      </c>
      <c r="E439" s="67">
        <v>40422.66909722222</v>
      </c>
      <c r="F439" s="67"/>
      <c r="G439" s="64" t="str">
        <f>IF(stdProdLT(Main[[#This Row],[Comments]])=0.1,"N/A",IF(stdProdLT(Main[[#This Row],[Comments]])=0,"",stdProdLT(Main[[#This Row],[Comments]])))</f>
        <v/>
      </c>
      <c r="H439" s="68" t="str">
        <f>IF(AND(Main[[#This Row],[In Stock Date]]&lt;&gt;"",Main[[#This Row],[Revised Due Date]]&lt;&gt;""),Main[[#This Row],[In Stock Date]]-Main[[#This Row],[Revised Due Date]],"")</f>
        <v/>
      </c>
      <c r="I439" s="65" t="s">
        <v>4</v>
      </c>
      <c r="J439" s="65" t="s">
        <v>28</v>
      </c>
      <c r="K439" s="71" t="s">
        <v>4</v>
      </c>
      <c r="L439" s="67"/>
      <c r="M439" s="69" t="str">
        <f>IF(Main[[#This Row],[Tech Start Date]]&lt;1/1/1990,"",IF(Main[[#This Row],[Class]]="C",WORKDAY(Main[[#This Row],[Tech Start Date]],9),IF(Main[[#This Row],[Class]]="B", WORKDAY(Main[[#This Row],[Tech Start Date]],6),IF(Main[[#This Row],[Class]]="A",WORKDAY(Main[[#This Row],[Tech Start Date]],2),""))))</f>
        <v/>
      </c>
      <c r="N439" s="69" t="str">
        <f>IF(Main[[#This Row],[Tech Start Date]]&lt;1/1/1990,"",IF(Main[[#This Row],[Class]]="C",WORKDAY(Main[[#This Row],[Tech Start Date]],19),IF(Main[[#This Row],[Class]]="B", WORKDAY(Main[[#This Row],[Tech Start Date]],12),IF(Main[[#This Row],[Class]]="A",WORKDAY(Main[[#This Row],[Tech Start Date]],4),""))))</f>
        <v/>
      </c>
      <c r="O439" s="69" t="str">
        <f>IF(Main[[#This Row],[Tech Start Date]]&lt;1/1/1990,"",IF(Main[[#This Row],[Class]]="C",WORKDAY(Main[[#This Row],[Tech Start Date]],23),IF(Main[[#This Row],[Class]]="B", WORKDAY(Main[[#This Row],[Tech Start Date]],15),IF(Main[[#This Row],[Class]]="A",WORKDAY(Main[[#This Row],[Tech Start Date]],5),""))))</f>
        <v/>
      </c>
      <c r="P439" s="69" t="str">
        <f>IF(Main[[#This Row],[Tech Start Date]]&lt;1/1/1990,"",IF(Main[[#This Row],[Class]]="C",WORKDAY(Main[[#This Row],[Tech Start Date]],28),IF(Main[[#This Row],[Class]]="B", WORKDAY(Main[[#This Row],[Tech Start Date]],19),IF(Main[[#This Row],[Class]]="A",WORKDAY(Main[[#This Row],[Tech Start Date]],9),""))))</f>
        <v/>
      </c>
      <c r="Q439" s="67"/>
      <c r="R439" s="67"/>
      <c r="S439" s="65" t="s">
        <v>6</v>
      </c>
      <c r="T439" s="70" t="s">
        <v>4</v>
      </c>
      <c r="U439" s="65" t="s">
        <v>29</v>
      </c>
      <c r="V439" s="65" t="s">
        <v>1917</v>
      </c>
      <c r="W439" s="65" t="s">
        <v>1921</v>
      </c>
      <c r="X439" s="65" t="s">
        <v>399</v>
      </c>
      <c r="Y439" s="65" t="s">
        <v>3029</v>
      </c>
      <c r="Z439" s="65" t="s">
        <v>129</v>
      </c>
      <c r="AA439" s="65" t="s">
        <v>3390</v>
      </c>
    </row>
    <row r="440" spans="1:27" ht="17.45" customHeight="1">
      <c r="A440" s="131" t="str">
        <f>IF(priority(Main[[#This Row],[Comments]])&lt;&gt;0, priority(Main[[#This Row],[Comments]]),"")</f>
        <v/>
      </c>
      <c r="B440" s="99" t="s">
        <v>1276</v>
      </c>
      <c r="C440" s="65" t="s">
        <v>347</v>
      </c>
      <c r="D440" s="66" t="s">
        <v>348</v>
      </c>
      <c r="E440" s="67"/>
      <c r="F440" s="67"/>
      <c r="G440" s="64" t="str">
        <f>IF(stdProdLT(Main[[#This Row],[Comments]])=0.1,"N/A",IF(stdProdLT(Main[[#This Row],[Comments]])=0,"",stdProdLT(Main[[#This Row],[Comments]])))</f>
        <v/>
      </c>
      <c r="H440" s="68" t="str">
        <f>IF(AND(Main[[#This Row],[In Stock Date]]&lt;&gt;"",Main[[#This Row],[Revised Due Date]]&lt;&gt;""),Main[[#This Row],[In Stock Date]]-Main[[#This Row],[Revised Due Date]],"")</f>
        <v/>
      </c>
      <c r="I440" s="65" t="s">
        <v>4</v>
      </c>
      <c r="J440" s="65" t="s">
        <v>4</v>
      </c>
      <c r="K440" s="65" t="s">
        <v>4</v>
      </c>
      <c r="L440" s="67"/>
      <c r="M440" s="69" t="str">
        <f>IF(Main[[#This Row],[Tech Start Date]]&lt;1/1/1990,"",IF(Main[[#This Row],[Class]]="C",WORKDAY(Main[[#This Row],[Tech Start Date]],9),IF(Main[[#This Row],[Class]]="B", WORKDAY(Main[[#This Row],[Tech Start Date]],6),IF(Main[[#This Row],[Class]]="A",WORKDAY(Main[[#This Row],[Tech Start Date]],2),""))))</f>
        <v/>
      </c>
      <c r="N440" s="69" t="str">
        <f>IF(Main[[#This Row],[Tech Start Date]]&lt;1/1/1990,"",IF(Main[[#This Row],[Class]]="C",WORKDAY(Main[[#This Row],[Tech Start Date]],19),IF(Main[[#This Row],[Class]]="B", WORKDAY(Main[[#This Row],[Tech Start Date]],12),IF(Main[[#This Row],[Class]]="A",WORKDAY(Main[[#This Row],[Tech Start Date]],4),""))))</f>
        <v/>
      </c>
      <c r="O440" s="69" t="str">
        <f>IF(Main[[#This Row],[Tech Start Date]]&lt;1/1/1990,"",IF(Main[[#This Row],[Class]]="C",WORKDAY(Main[[#This Row],[Tech Start Date]],23),IF(Main[[#This Row],[Class]]="B", WORKDAY(Main[[#This Row],[Tech Start Date]],15),IF(Main[[#This Row],[Class]]="A",WORKDAY(Main[[#This Row],[Tech Start Date]],5),""))))</f>
        <v/>
      </c>
      <c r="P440" s="69" t="str">
        <f>IF(Main[[#This Row],[Tech Start Date]]&lt;1/1/1990,"",IF(Main[[#This Row],[Class]]="C",WORKDAY(Main[[#This Row],[Tech Start Date]],28),IF(Main[[#This Row],[Class]]="B", WORKDAY(Main[[#This Row],[Tech Start Date]],19),IF(Main[[#This Row],[Class]]="A",WORKDAY(Main[[#This Row],[Tech Start Date]],9),""))))</f>
        <v/>
      </c>
      <c r="Q440" s="67"/>
      <c r="R440" s="67"/>
      <c r="S440" s="65" t="s">
        <v>11</v>
      </c>
      <c r="T440" s="70" t="s">
        <v>4</v>
      </c>
      <c r="U440" s="65" t="s">
        <v>14</v>
      </c>
      <c r="V440" s="65" t="s">
        <v>1918</v>
      </c>
      <c r="W440" s="65" t="s">
        <v>1922</v>
      </c>
      <c r="X440" s="65" t="s">
        <v>306</v>
      </c>
      <c r="Y440" s="65" t="s">
        <v>2947</v>
      </c>
      <c r="Z440" s="65" t="s">
        <v>4</v>
      </c>
      <c r="AA440" s="65" t="s">
        <v>306</v>
      </c>
    </row>
    <row r="441" spans="1:27" ht="17.45" customHeight="1">
      <c r="A441" s="131" t="str">
        <f>IF(priority(Main[[#This Row],[Comments]])&lt;&gt;0, priority(Main[[#This Row],[Comments]]),"")</f>
        <v/>
      </c>
      <c r="B441" s="99" t="s">
        <v>2376</v>
      </c>
      <c r="C441" s="65" t="s">
        <v>4</v>
      </c>
      <c r="D441" s="66" t="s">
        <v>2377</v>
      </c>
      <c r="E441" s="67">
        <v>40869.35837962963</v>
      </c>
      <c r="F441" s="67"/>
      <c r="G441" s="64" t="str">
        <f>IF(stdProdLT(Main[[#This Row],[Comments]])=0.1,"N/A",IF(stdProdLT(Main[[#This Row],[Comments]])=0,"",stdProdLT(Main[[#This Row],[Comments]])))</f>
        <v/>
      </c>
      <c r="H441" s="68" t="str">
        <f>IF(AND(Main[[#This Row],[In Stock Date]]&lt;&gt;"",Main[[#This Row],[Revised Due Date]]&lt;&gt;""),Main[[#This Row],[In Stock Date]]-Main[[#This Row],[Revised Due Date]],"")</f>
        <v/>
      </c>
      <c r="I441" s="65" t="s">
        <v>4</v>
      </c>
      <c r="J441" s="65" t="s">
        <v>4</v>
      </c>
      <c r="K441" s="71" t="s">
        <v>4</v>
      </c>
      <c r="L441" s="67"/>
      <c r="M441" s="69" t="str">
        <f>IF(Main[[#This Row],[Tech Start Date]]&lt;1/1/1990,"",IF(Main[[#This Row],[Class]]="C",WORKDAY(Main[[#This Row],[Tech Start Date]],9),IF(Main[[#This Row],[Class]]="B", WORKDAY(Main[[#This Row],[Tech Start Date]],6),IF(Main[[#This Row],[Class]]="A",WORKDAY(Main[[#This Row],[Tech Start Date]],2),""))))</f>
        <v/>
      </c>
      <c r="N441" s="69" t="str">
        <f>IF(Main[[#This Row],[Tech Start Date]]&lt;1/1/1990,"",IF(Main[[#This Row],[Class]]="C",WORKDAY(Main[[#This Row],[Tech Start Date]],19),IF(Main[[#This Row],[Class]]="B", WORKDAY(Main[[#This Row],[Tech Start Date]],12),IF(Main[[#This Row],[Class]]="A",WORKDAY(Main[[#This Row],[Tech Start Date]],4),""))))</f>
        <v/>
      </c>
      <c r="O441" s="69" t="str">
        <f>IF(Main[[#This Row],[Tech Start Date]]&lt;1/1/1990,"",IF(Main[[#This Row],[Class]]="C",WORKDAY(Main[[#This Row],[Tech Start Date]],23),IF(Main[[#This Row],[Class]]="B", WORKDAY(Main[[#This Row],[Tech Start Date]],15),IF(Main[[#This Row],[Class]]="A",WORKDAY(Main[[#This Row],[Tech Start Date]],5),""))))</f>
        <v/>
      </c>
      <c r="P441" s="69" t="str">
        <f>IF(Main[[#This Row],[Tech Start Date]]&lt;1/1/1990,"",IF(Main[[#This Row],[Class]]="C",WORKDAY(Main[[#This Row],[Tech Start Date]],28),IF(Main[[#This Row],[Class]]="B", WORKDAY(Main[[#This Row],[Tech Start Date]],19),IF(Main[[#This Row],[Class]]="A",WORKDAY(Main[[#This Row],[Tech Start Date]],9),""))))</f>
        <v/>
      </c>
      <c r="Q441" s="67"/>
      <c r="R441" s="67"/>
      <c r="S441" s="65" t="s">
        <v>6</v>
      </c>
      <c r="T441" s="70" t="s">
        <v>4</v>
      </c>
      <c r="U441" s="65" t="s">
        <v>29</v>
      </c>
      <c r="V441" s="65" t="s">
        <v>1918</v>
      </c>
      <c r="W441" s="65" t="s">
        <v>1919</v>
      </c>
      <c r="X441" s="65" t="s">
        <v>102</v>
      </c>
      <c r="Y441" s="65" t="s">
        <v>3030</v>
      </c>
      <c r="Z441" s="65" t="s">
        <v>4</v>
      </c>
      <c r="AA441" s="65" t="s">
        <v>3419</v>
      </c>
    </row>
    <row r="442" spans="1:27" ht="17.45" customHeight="1">
      <c r="A442" s="131" t="str">
        <f>IF(priority(Main[[#This Row],[Comments]])&lt;&gt;0, priority(Main[[#This Row],[Comments]]),"")</f>
        <v/>
      </c>
      <c r="B442" s="99" t="s">
        <v>1277</v>
      </c>
      <c r="C442" s="65" t="s">
        <v>93</v>
      </c>
      <c r="D442" s="66" t="s">
        <v>349</v>
      </c>
      <c r="E442" s="67"/>
      <c r="F442" s="67"/>
      <c r="G442" s="64" t="str">
        <f>IF(stdProdLT(Main[[#This Row],[Comments]])=0.1,"N/A",IF(stdProdLT(Main[[#This Row],[Comments]])=0,"",stdProdLT(Main[[#This Row],[Comments]])))</f>
        <v/>
      </c>
      <c r="H442" s="68" t="str">
        <f>IF(AND(Main[[#This Row],[In Stock Date]]&lt;&gt;"",Main[[#This Row],[Revised Due Date]]&lt;&gt;""),Main[[#This Row],[In Stock Date]]-Main[[#This Row],[Revised Due Date]],"")</f>
        <v/>
      </c>
      <c r="I442" s="65" t="s">
        <v>4</v>
      </c>
      <c r="J442" s="65" t="s">
        <v>4</v>
      </c>
      <c r="K442" s="71" t="s">
        <v>4</v>
      </c>
      <c r="L442" s="67"/>
      <c r="M442" s="69" t="str">
        <f>IF(Main[[#This Row],[Tech Start Date]]&lt;1/1/1990,"",IF(Main[[#This Row],[Class]]="C",WORKDAY(Main[[#This Row],[Tech Start Date]],9),IF(Main[[#This Row],[Class]]="B", WORKDAY(Main[[#This Row],[Tech Start Date]],6),IF(Main[[#This Row],[Class]]="A",WORKDAY(Main[[#This Row],[Tech Start Date]],2),""))))</f>
        <v/>
      </c>
      <c r="N442" s="69" t="str">
        <f>IF(Main[[#This Row],[Tech Start Date]]&lt;1/1/1990,"",IF(Main[[#This Row],[Class]]="C",WORKDAY(Main[[#This Row],[Tech Start Date]],19),IF(Main[[#This Row],[Class]]="B", WORKDAY(Main[[#This Row],[Tech Start Date]],12),IF(Main[[#This Row],[Class]]="A",WORKDAY(Main[[#This Row],[Tech Start Date]],4),""))))</f>
        <v/>
      </c>
      <c r="O442" s="69" t="str">
        <f>IF(Main[[#This Row],[Tech Start Date]]&lt;1/1/1990,"",IF(Main[[#This Row],[Class]]="C",WORKDAY(Main[[#This Row],[Tech Start Date]],23),IF(Main[[#This Row],[Class]]="B", WORKDAY(Main[[#This Row],[Tech Start Date]],15),IF(Main[[#This Row],[Class]]="A",WORKDAY(Main[[#This Row],[Tech Start Date]],5),""))))</f>
        <v/>
      </c>
      <c r="P442" s="69" t="str">
        <f>IF(Main[[#This Row],[Tech Start Date]]&lt;1/1/1990,"",IF(Main[[#This Row],[Class]]="C",WORKDAY(Main[[#This Row],[Tech Start Date]],28),IF(Main[[#This Row],[Class]]="B", WORKDAY(Main[[#This Row],[Tech Start Date]],19),IF(Main[[#This Row],[Class]]="A",WORKDAY(Main[[#This Row],[Tech Start Date]],9),""))))</f>
        <v/>
      </c>
      <c r="Q442" s="67"/>
      <c r="R442" s="67"/>
      <c r="S442" s="65" t="s">
        <v>11</v>
      </c>
      <c r="T442" s="70" t="s">
        <v>4</v>
      </c>
      <c r="U442" s="65" t="s">
        <v>14</v>
      </c>
      <c r="V442" s="65" t="s">
        <v>1920</v>
      </c>
      <c r="W442" s="65" t="s">
        <v>1923</v>
      </c>
      <c r="X442" s="65" t="s">
        <v>2859</v>
      </c>
      <c r="Y442" s="65" t="s">
        <v>2997</v>
      </c>
      <c r="Z442" s="65" t="s">
        <v>4</v>
      </c>
      <c r="AA442" s="65" t="s">
        <v>2859</v>
      </c>
    </row>
    <row r="443" spans="1:27" ht="17.45" customHeight="1">
      <c r="A443" s="131" t="str">
        <f>IF(priority(Main[[#This Row],[Comments]])&lt;&gt;0, priority(Main[[#This Row],[Comments]]),"")</f>
        <v/>
      </c>
      <c r="B443" s="99" t="s">
        <v>1279</v>
      </c>
      <c r="C443" s="65" t="s">
        <v>4</v>
      </c>
      <c r="D443" s="66" t="s">
        <v>350</v>
      </c>
      <c r="E443" s="67"/>
      <c r="F443" s="67"/>
      <c r="G443" s="64" t="str">
        <f>IF(stdProdLT(Main[[#This Row],[Comments]])=0.1,"N/A",IF(stdProdLT(Main[[#This Row],[Comments]])=0,"",stdProdLT(Main[[#This Row],[Comments]])))</f>
        <v/>
      </c>
      <c r="H443" s="68" t="str">
        <f>IF(AND(Main[[#This Row],[In Stock Date]]&lt;&gt;"",Main[[#This Row],[Revised Due Date]]&lt;&gt;""),Main[[#This Row],[In Stock Date]]-Main[[#This Row],[Revised Due Date]],"")</f>
        <v/>
      </c>
      <c r="I443" s="65" t="s">
        <v>4</v>
      </c>
      <c r="J443" s="65" t="s">
        <v>4</v>
      </c>
      <c r="K443" s="65" t="s">
        <v>4</v>
      </c>
      <c r="L443" s="67"/>
      <c r="M443" s="69" t="str">
        <f>IF(Main[[#This Row],[Tech Start Date]]&lt;1/1/1990,"",IF(Main[[#This Row],[Class]]="C",WORKDAY(Main[[#This Row],[Tech Start Date]],9),IF(Main[[#This Row],[Class]]="B", WORKDAY(Main[[#This Row],[Tech Start Date]],6),IF(Main[[#This Row],[Class]]="A",WORKDAY(Main[[#This Row],[Tech Start Date]],2),""))))</f>
        <v/>
      </c>
      <c r="N443" s="69" t="str">
        <f>IF(Main[[#This Row],[Tech Start Date]]&lt;1/1/1990,"",IF(Main[[#This Row],[Class]]="C",WORKDAY(Main[[#This Row],[Tech Start Date]],19),IF(Main[[#This Row],[Class]]="B", WORKDAY(Main[[#This Row],[Tech Start Date]],12),IF(Main[[#This Row],[Class]]="A",WORKDAY(Main[[#This Row],[Tech Start Date]],4),""))))</f>
        <v/>
      </c>
      <c r="O443" s="69" t="str">
        <f>IF(Main[[#This Row],[Tech Start Date]]&lt;1/1/1990,"",IF(Main[[#This Row],[Class]]="C",WORKDAY(Main[[#This Row],[Tech Start Date]],23),IF(Main[[#This Row],[Class]]="B", WORKDAY(Main[[#This Row],[Tech Start Date]],15),IF(Main[[#This Row],[Class]]="A",WORKDAY(Main[[#This Row],[Tech Start Date]],5),""))))</f>
        <v/>
      </c>
      <c r="P443" s="69" t="str">
        <f>IF(Main[[#This Row],[Tech Start Date]]&lt;1/1/1990,"",IF(Main[[#This Row],[Class]]="C",WORKDAY(Main[[#This Row],[Tech Start Date]],28),IF(Main[[#This Row],[Class]]="B", WORKDAY(Main[[#This Row],[Tech Start Date]],19),IF(Main[[#This Row],[Class]]="A",WORKDAY(Main[[#This Row],[Tech Start Date]],9),""))))</f>
        <v/>
      </c>
      <c r="Q443" s="67"/>
      <c r="R443" s="67"/>
      <c r="S443" s="65" t="s">
        <v>11</v>
      </c>
      <c r="T443" s="70" t="s">
        <v>4</v>
      </c>
      <c r="U443" s="65" t="s">
        <v>14</v>
      </c>
      <c r="V443" s="65" t="s">
        <v>1920</v>
      </c>
      <c r="W443" s="65" t="s">
        <v>1919</v>
      </c>
      <c r="X443" s="65" t="s">
        <v>2883</v>
      </c>
      <c r="Y443" s="65" t="s">
        <v>3031</v>
      </c>
      <c r="Z443" s="65" t="s">
        <v>4</v>
      </c>
      <c r="AA443" s="65" t="s">
        <v>2883</v>
      </c>
    </row>
    <row r="444" spans="1:27" ht="17.45" customHeight="1">
      <c r="A444" s="131" t="str">
        <f>IF(priority(Main[[#This Row],[Comments]])&lt;&gt;0, priority(Main[[#This Row],[Comments]]),"")</f>
        <v/>
      </c>
      <c r="B444" s="99" t="s">
        <v>1280</v>
      </c>
      <c r="C444" s="65" t="s">
        <v>351</v>
      </c>
      <c r="D444" s="66" t="s">
        <v>352</v>
      </c>
      <c r="E444" s="67"/>
      <c r="F444" s="67">
        <v>40452</v>
      </c>
      <c r="G444" s="64" t="str">
        <f>IF(stdProdLT(Main[[#This Row],[Comments]])=0.1,"N/A",IF(stdProdLT(Main[[#This Row],[Comments]])=0,"",stdProdLT(Main[[#This Row],[Comments]])))</f>
        <v/>
      </c>
      <c r="H444" s="68" t="str">
        <f>IF(AND(Main[[#This Row],[In Stock Date]]&lt;&gt;"",Main[[#This Row],[Revised Due Date]]&lt;&gt;""),Main[[#This Row],[In Stock Date]]-Main[[#This Row],[Revised Due Date]],"")</f>
        <v/>
      </c>
      <c r="I444" s="65" t="s">
        <v>4</v>
      </c>
      <c r="J444" s="65" t="s">
        <v>4</v>
      </c>
      <c r="K444" s="65" t="s">
        <v>4</v>
      </c>
      <c r="L444" s="67"/>
      <c r="M444" s="69" t="str">
        <f>IF(Main[[#This Row],[Tech Start Date]]&lt;1/1/1990,"",IF(Main[[#This Row],[Class]]="C",WORKDAY(Main[[#This Row],[Tech Start Date]],9),IF(Main[[#This Row],[Class]]="B", WORKDAY(Main[[#This Row],[Tech Start Date]],6),IF(Main[[#This Row],[Class]]="A",WORKDAY(Main[[#This Row],[Tech Start Date]],2),""))))</f>
        <v/>
      </c>
      <c r="N444" s="69" t="str">
        <f>IF(Main[[#This Row],[Tech Start Date]]&lt;1/1/1990,"",IF(Main[[#This Row],[Class]]="C",WORKDAY(Main[[#This Row],[Tech Start Date]],19),IF(Main[[#This Row],[Class]]="B", WORKDAY(Main[[#This Row],[Tech Start Date]],12),IF(Main[[#This Row],[Class]]="A",WORKDAY(Main[[#This Row],[Tech Start Date]],4),""))))</f>
        <v/>
      </c>
      <c r="O444" s="69" t="str">
        <f>IF(Main[[#This Row],[Tech Start Date]]&lt;1/1/1990,"",IF(Main[[#This Row],[Class]]="C",WORKDAY(Main[[#This Row],[Tech Start Date]],23),IF(Main[[#This Row],[Class]]="B", WORKDAY(Main[[#This Row],[Tech Start Date]],15),IF(Main[[#This Row],[Class]]="A",WORKDAY(Main[[#This Row],[Tech Start Date]],5),""))))</f>
        <v/>
      </c>
      <c r="P444" s="69" t="str">
        <f>IF(Main[[#This Row],[Tech Start Date]]&lt;1/1/1990,"",IF(Main[[#This Row],[Class]]="C",WORKDAY(Main[[#This Row],[Tech Start Date]],28),IF(Main[[#This Row],[Class]]="B", WORKDAY(Main[[#This Row],[Tech Start Date]],19),IF(Main[[#This Row],[Class]]="A",WORKDAY(Main[[#This Row],[Tech Start Date]],9),""))))</f>
        <v/>
      </c>
      <c r="Q444" s="67">
        <v>40344</v>
      </c>
      <c r="R444" s="67"/>
      <c r="S444" s="65" t="s">
        <v>11</v>
      </c>
      <c r="T444" s="70" t="s">
        <v>4</v>
      </c>
      <c r="U444" s="65" t="s">
        <v>14</v>
      </c>
      <c r="V444" s="65" t="s">
        <v>1920</v>
      </c>
      <c r="W444" s="65" t="s">
        <v>1923</v>
      </c>
      <c r="X444" s="65" t="s">
        <v>2878</v>
      </c>
      <c r="Y444" s="65" t="s">
        <v>3002</v>
      </c>
      <c r="Z444" s="65" t="s">
        <v>530</v>
      </c>
      <c r="AA444" s="65" t="s">
        <v>2878</v>
      </c>
    </row>
    <row r="445" spans="1:27" ht="17.45" customHeight="1">
      <c r="A445" s="131" t="str">
        <f>IF(priority(Main[[#This Row],[Comments]])&lt;&gt;0, priority(Main[[#This Row],[Comments]]),"")</f>
        <v/>
      </c>
      <c r="B445" s="99" t="s">
        <v>1281</v>
      </c>
      <c r="C445" s="65" t="s">
        <v>4</v>
      </c>
      <c r="D445" s="66" t="s">
        <v>353</v>
      </c>
      <c r="E445" s="67"/>
      <c r="F445" s="67"/>
      <c r="G445" s="64" t="str">
        <f>IF(stdProdLT(Main[[#This Row],[Comments]])=0.1,"N/A",IF(stdProdLT(Main[[#This Row],[Comments]])=0,"",stdProdLT(Main[[#This Row],[Comments]])))</f>
        <v/>
      </c>
      <c r="H445" s="68" t="str">
        <f>IF(AND(Main[[#This Row],[In Stock Date]]&lt;&gt;"",Main[[#This Row],[Revised Due Date]]&lt;&gt;""),Main[[#This Row],[In Stock Date]]-Main[[#This Row],[Revised Due Date]],"")</f>
        <v/>
      </c>
      <c r="I445" s="65" t="s">
        <v>4</v>
      </c>
      <c r="J445" s="65" t="s">
        <v>4</v>
      </c>
      <c r="K445" s="65" t="s">
        <v>4</v>
      </c>
      <c r="L445" s="67"/>
      <c r="M445" s="69" t="str">
        <f>IF(Main[[#This Row],[Tech Start Date]]&lt;1/1/1990,"",IF(Main[[#This Row],[Class]]="C",WORKDAY(Main[[#This Row],[Tech Start Date]],9),IF(Main[[#This Row],[Class]]="B", WORKDAY(Main[[#This Row],[Tech Start Date]],6),IF(Main[[#This Row],[Class]]="A",WORKDAY(Main[[#This Row],[Tech Start Date]],2),""))))</f>
        <v/>
      </c>
      <c r="N445" s="69" t="str">
        <f>IF(Main[[#This Row],[Tech Start Date]]&lt;1/1/1990,"",IF(Main[[#This Row],[Class]]="C",WORKDAY(Main[[#This Row],[Tech Start Date]],19),IF(Main[[#This Row],[Class]]="B", WORKDAY(Main[[#This Row],[Tech Start Date]],12),IF(Main[[#This Row],[Class]]="A",WORKDAY(Main[[#This Row],[Tech Start Date]],4),""))))</f>
        <v/>
      </c>
      <c r="O445" s="69" t="str">
        <f>IF(Main[[#This Row],[Tech Start Date]]&lt;1/1/1990,"",IF(Main[[#This Row],[Class]]="C",WORKDAY(Main[[#This Row],[Tech Start Date]],23),IF(Main[[#This Row],[Class]]="B", WORKDAY(Main[[#This Row],[Tech Start Date]],15),IF(Main[[#This Row],[Class]]="A",WORKDAY(Main[[#This Row],[Tech Start Date]],5),""))))</f>
        <v/>
      </c>
      <c r="P445" s="69" t="str">
        <f>IF(Main[[#This Row],[Tech Start Date]]&lt;1/1/1990,"",IF(Main[[#This Row],[Class]]="C",WORKDAY(Main[[#This Row],[Tech Start Date]],28),IF(Main[[#This Row],[Class]]="B", WORKDAY(Main[[#This Row],[Tech Start Date]],19),IF(Main[[#This Row],[Class]]="A",WORKDAY(Main[[#This Row],[Tech Start Date]],9),""))))</f>
        <v/>
      </c>
      <c r="Q445" s="67"/>
      <c r="R445" s="67"/>
      <c r="S445" s="65" t="s">
        <v>4</v>
      </c>
      <c r="T445" s="70" t="s">
        <v>4</v>
      </c>
      <c r="U445" s="65" t="s">
        <v>14</v>
      </c>
      <c r="V445" s="65" t="s">
        <v>1917</v>
      </c>
      <c r="W445" s="65" t="s">
        <v>4</v>
      </c>
      <c r="X445" s="65" t="s">
        <v>2884</v>
      </c>
      <c r="Y445" s="65" t="s">
        <v>3032</v>
      </c>
      <c r="Z445" s="65" t="s">
        <v>4</v>
      </c>
      <c r="AA445" s="65" t="s">
        <v>2884</v>
      </c>
    </row>
    <row r="446" spans="1:27" ht="17.45" customHeight="1">
      <c r="A446" s="131" t="str">
        <f>IF(priority(Main[[#This Row],[Comments]])&lt;&gt;0, priority(Main[[#This Row],[Comments]]),"")</f>
        <v/>
      </c>
      <c r="B446" s="99" t="s">
        <v>1282</v>
      </c>
      <c r="C446" s="65" t="s">
        <v>33</v>
      </c>
      <c r="D446" s="66" t="s">
        <v>354</v>
      </c>
      <c r="E446" s="67"/>
      <c r="F446" s="67"/>
      <c r="G446" s="64" t="str">
        <f>IF(stdProdLT(Main[[#This Row],[Comments]])=0.1,"N/A",IF(stdProdLT(Main[[#This Row],[Comments]])=0,"",stdProdLT(Main[[#This Row],[Comments]])))</f>
        <v/>
      </c>
      <c r="H446" s="68" t="str">
        <f>IF(AND(Main[[#This Row],[In Stock Date]]&lt;&gt;"",Main[[#This Row],[Revised Due Date]]&lt;&gt;""),Main[[#This Row],[In Stock Date]]-Main[[#This Row],[Revised Due Date]],"")</f>
        <v/>
      </c>
      <c r="I446" s="65" t="s">
        <v>4</v>
      </c>
      <c r="J446" s="65" t="s">
        <v>4</v>
      </c>
      <c r="K446" s="65" t="s">
        <v>4</v>
      </c>
      <c r="L446" s="67"/>
      <c r="M446" s="69" t="str">
        <f>IF(Main[[#This Row],[Tech Start Date]]&lt;1/1/1990,"",IF(Main[[#This Row],[Class]]="C",WORKDAY(Main[[#This Row],[Tech Start Date]],9),IF(Main[[#This Row],[Class]]="B", WORKDAY(Main[[#This Row],[Tech Start Date]],6),IF(Main[[#This Row],[Class]]="A",WORKDAY(Main[[#This Row],[Tech Start Date]],2),""))))</f>
        <v/>
      </c>
      <c r="N446" s="69" t="str">
        <f>IF(Main[[#This Row],[Tech Start Date]]&lt;1/1/1990,"",IF(Main[[#This Row],[Class]]="C",WORKDAY(Main[[#This Row],[Tech Start Date]],19),IF(Main[[#This Row],[Class]]="B", WORKDAY(Main[[#This Row],[Tech Start Date]],12),IF(Main[[#This Row],[Class]]="A",WORKDAY(Main[[#This Row],[Tech Start Date]],4),""))))</f>
        <v/>
      </c>
      <c r="O446" s="69" t="str">
        <f>IF(Main[[#This Row],[Tech Start Date]]&lt;1/1/1990,"",IF(Main[[#This Row],[Class]]="C",WORKDAY(Main[[#This Row],[Tech Start Date]],23),IF(Main[[#This Row],[Class]]="B", WORKDAY(Main[[#This Row],[Tech Start Date]],15),IF(Main[[#This Row],[Class]]="A",WORKDAY(Main[[#This Row],[Tech Start Date]],5),""))))</f>
        <v/>
      </c>
      <c r="P446" s="69" t="str">
        <f>IF(Main[[#This Row],[Tech Start Date]]&lt;1/1/1990,"",IF(Main[[#This Row],[Class]]="C",WORKDAY(Main[[#This Row],[Tech Start Date]],28),IF(Main[[#This Row],[Class]]="B", WORKDAY(Main[[#This Row],[Tech Start Date]],19),IF(Main[[#This Row],[Class]]="A",WORKDAY(Main[[#This Row],[Tech Start Date]],9),""))))</f>
        <v/>
      </c>
      <c r="Q446" s="67"/>
      <c r="R446" s="67"/>
      <c r="S446" s="65" t="s">
        <v>11</v>
      </c>
      <c r="T446" s="70" t="s">
        <v>4</v>
      </c>
      <c r="U446" s="65" t="s">
        <v>14</v>
      </c>
      <c r="V446" s="65" t="s">
        <v>1918</v>
      </c>
      <c r="W446" s="65" t="s">
        <v>1925</v>
      </c>
      <c r="X446" s="65" t="s">
        <v>2833</v>
      </c>
      <c r="Y446" s="65" t="s">
        <v>2954</v>
      </c>
      <c r="Z446" s="65" t="s">
        <v>4</v>
      </c>
      <c r="AA446" s="65" t="s">
        <v>2833</v>
      </c>
    </row>
    <row r="447" spans="1:27" ht="17.45" customHeight="1">
      <c r="A447" s="131" t="str">
        <f>IF(priority(Main[[#This Row],[Comments]])&lt;&gt;0, priority(Main[[#This Row],[Comments]]),"")</f>
        <v/>
      </c>
      <c r="B447" s="99" t="s">
        <v>1284</v>
      </c>
      <c r="C447" s="65" t="s">
        <v>211</v>
      </c>
      <c r="D447" s="66" t="s">
        <v>356</v>
      </c>
      <c r="E447" s="67"/>
      <c r="F447" s="67">
        <v>40087</v>
      </c>
      <c r="G447" s="64" t="str">
        <f>IF(stdProdLT(Main[[#This Row],[Comments]])=0.1,"N/A",IF(stdProdLT(Main[[#This Row],[Comments]])=0,"",stdProdLT(Main[[#This Row],[Comments]])))</f>
        <v/>
      </c>
      <c r="H447" s="68" t="str">
        <f>IF(AND(Main[[#This Row],[In Stock Date]]&lt;&gt;"",Main[[#This Row],[Revised Due Date]]&lt;&gt;""),Main[[#This Row],[In Stock Date]]-Main[[#This Row],[Revised Due Date]],"")</f>
        <v/>
      </c>
      <c r="I447" s="65" t="s">
        <v>4</v>
      </c>
      <c r="J447" s="65" t="s">
        <v>4</v>
      </c>
      <c r="K447" s="65" t="s">
        <v>4</v>
      </c>
      <c r="L447" s="67"/>
      <c r="M447" s="69" t="str">
        <f>IF(Main[[#This Row],[Tech Start Date]]&lt;1/1/1990,"",IF(Main[[#This Row],[Class]]="C",WORKDAY(Main[[#This Row],[Tech Start Date]],9),IF(Main[[#This Row],[Class]]="B", WORKDAY(Main[[#This Row],[Tech Start Date]],6),IF(Main[[#This Row],[Class]]="A",WORKDAY(Main[[#This Row],[Tech Start Date]],2),""))))</f>
        <v/>
      </c>
      <c r="N447" s="69" t="str">
        <f>IF(Main[[#This Row],[Tech Start Date]]&lt;1/1/1990,"",IF(Main[[#This Row],[Class]]="C",WORKDAY(Main[[#This Row],[Tech Start Date]],19),IF(Main[[#This Row],[Class]]="B", WORKDAY(Main[[#This Row],[Tech Start Date]],12),IF(Main[[#This Row],[Class]]="A",WORKDAY(Main[[#This Row],[Tech Start Date]],4),""))))</f>
        <v/>
      </c>
      <c r="O447" s="69" t="str">
        <f>IF(Main[[#This Row],[Tech Start Date]]&lt;1/1/1990,"",IF(Main[[#This Row],[Class]]="C",WORKDAY(Main[[#This Row],[Tech Start Date]],23),IF(Main[[#This Row],[Class]]="B", WORKDAY(Main[[#This Row],[Tech Start Date]],15),IF(Main[[#This Row],[Class]]="A",WORKDAY(Main[[#This Row],[Tech Start Date]],5),""))))</f>
        <v/>
      </c>
      <c r="P447" s="69" t="str">
        <f>IF(Main[[#This Row],[Tech Start Date]]&lt;1/1/1990,"",IF(Main[[#This Row],[Class]]="C",WORKDAY(Main[[#This Row],[Tech Start Date]],28),IF(Main[[#This Row],[Class]]="B", WORKDAY(Main[[#This Row],[Tech Start Date]],19),IF(Main[[#This Row],[Class]]="A",WORKDAY(Main[[#This Row],[Tech Start Date]],9),""))))</f>
        <v/>
      </c>
      <c r="Q447" s="67">
        <v>39891</v>
      </c>
      <c r="R447" s="67"/>
      <c r="S447" s="65" t="s">
        <v>11</v>
      </c>
      <c r="T447" s="70" t="s">
        <v>4</v>
      </c>
      <c r="U447" s="65" t="s">
        <v>12</v>
      </c>
      <c r="V447" s="65" t="s">
        <v>1917</v>
      </c>
      <c r="W447" s="65" t="s">
        <v>1922</v>
      </c>
      <c r="X447" s="65" t="s">
        <v>2839</v>
      </c>
      <c r="Y447" s="65" t="s">
        <v>4</v>
      </c>
      <c r="Z447" s="65" t="s">
        <v>4</v>
      </c>
      <c r="AA447" s="65" t="s">
        <v>2839</v>
      </c>
    </row>
    <row r="448" spans="1:27" ht="17.45" customHeight="1">
      <c r="A448" s="131" t="str">
        <f>IF(priority(Main[[#This Row],[Comments]])&lt;&gt;0, priority(Main[[#This Row],[Comments]]),"")</f>
        <v/>
      </c>
      <c r="B448" s="99" t="s">
        <v>1286</v>
      </c>
      <c r="C448" s="65" t="s">
        <v>211</v>
      </c>
      <c r="D448" s="66" t="s">
        <v>357</v>
      </c>
      <c r="E448" s="67"/>
      <c r="F448" s="67">
        <v>40087</v>
      </c>
      <c r="G448" s="64" t="str">
        <f>IF(stdProdLT(Main[[#This Row],[Comments]])=0.1,"N/A",IF(stdProdLT(Main[[#This Row],[Comments]])=0,"",stdProdLT(Main[[#This Row],[Comments]])))</f>
        <v/>
      </c>
      <c r="H448" s="68" t="str">
        <f>IF(AND(Main[[#This Row],[In Stock Date]]&lt;&gt;"",Main[[#This Row],[Revised Due Date]]&lt;&gt;""),Main[[#This Row],[In Stock Date]]-Main[[#This Row],[Revised Due Date]],"")</f>
        <v/>
      </c>
      <c r="I448" s="65" t="s">
        <v>4</v>
      </c>
      <c r="J448" s="65" t="s">
        <v>4</v>
      </c>
      <c r="K448" s="65" t="s">
        <v>4</v>
      </c>
      <c r="L448" s="67"/>
      <c r="M448" s="69" t="str">
        <f>IF(Main[[#This Row],[Tech Start Date]]&lt;1/1/1990,"",IF(Main[[#This Row],[Class]]="C",WORKDAY(Main[[#This Row],[Tech Start Date]],9),IF(Main[[#This Row],[Class]]="B", WORKDAY(Main[[#This Row],[Tech Start Date]],6),IF(Main[[#This Row],[Class]]="A",WORKDAY(Main[[#This Row],[Tech Start Date]],2),""))))</f>
        <v/>
      </c>
      <c r="N448" s="69" t="str">
        <f>IF(Main[[#This Row],[Tech Start Date]]&lt;1/1/1990,"",IF(Main[[#This Row],[Class]]="C",WORKDAY(Main[[#This Row],[Tech Start Date]],19),IF(Main[[#This Row],[Class]]="B", WORKDAY(Main[[#This Row],[Tech Start Date]],12),IF(Main[[#This Row],[Class]]="A",WORKDAY(Main[[#This Row],[Tech Start Date]],4),""))))</f>
        <v/>
      </c>
      <c r="O448" s="69" t="str">
        <f>IF(Main[[#This Row],[Tech Start Date]]&lt;1/1/1990,"",IF(Main[[#This Row],[Class]]="C",WORKDAY(Main[[#This Row],[Tech Start Date]],23),IF(Main[[#This Row],[Class]]="B", WORKDAY(Main[[#This Row],[Tech Start Date]],15),IF(Main[[#This Row],[Class]]="A",WORKDAY(Main[[#This Row],[Tech Start Date]],5),""))))</f>
        <v/>
      </c>
      <c r="P448" s="69" t="str">
        <f>IF(Main[[#This Row],[Tech Start Date]]&lt;1/1/1990,"",IF(Main[[#This Row],[Class]]="C",WORKDAY(Main[[#This Row],[Tech Start Date]],28),IF(Main[[#This Row],[Class]]="B", WORKDAY(Main[[#This Row],[Tech Start Date]],19),IF(Main[[#This Row],[Class]]="A",WORKDAY(Main[[#This Row],[Tech Start Date]],9),""))))</f>
        <v/>
      </c>
      <c r="Q448" s="67">
        <v>39891</v>
      </c>
      <c r="R448" s="67"/>
      <c r="S448" s="65" t="s">
        <v>11</v>
      </c>
      <c r="T448" s="70" t="s">
        <v>4</v>
      </c>
      <c r="U448" s="65" t="s">
        <v>12</v>
      </c>
      <c r="V448" s="65" t="s">
        <v>1917</v>
      </c>
      <c r="W448" s="65" t="s">
        <v>1922</v>
      </c>
      <c r="X448" s="65" t="s">
        <v>2839</v>
      </c>
      <c r="Y448" s="65" t="s">
        <v>4</v>
      </c>
      <c r="Z448" s="65" t="s">
        <v>4</v>
      </c>
      <c r="AA448" s="65" t="s">
        <v>2839</v>
      </c>
    </row>
    <row r="449" spans="1:27" ht="17.45" customHeight="1">
      <c r="A449" s="131" t="str">
        <f>IF(priority(Main[[#This Row],[Comments]])&lt;&gt;0, priority(Main[[#This Row],[Comments]]),"")</f>
        <v/>
      </c>
      <c r="B449" s="99" t="s">
        <v>2718</v>
      </c>
      <c r="C449" s="65" t="s">
        <v>4</v>
      </c>
      <c r="D449" s="66" t="s">
        <v>2719</v>
      </c>
      <c r="E449" s="67"/>
      <c r="F449" s="67"/>
      <c r="G449" s="64" t="str">
        <f>IF(stdProdLT(Main[[#This Row],[Comments]])=0.1,"N/A",IF(stdProdLT(Main[[#This Row],[Comments]])=0,"",stdProdLT(Main[[#This Row],[Comments]])))</f>
        <v/>
      </c>
      <c r="H449" s="68" t="str">
        <f>IF(AND(Main[[#This Row],[In Stock Date]]&lt;&gt;"",Main[[#This Row],[Revised Due Date]]&lt;&gt;""),Main[[#This Row],[In Stock Date]]-Main[[#This Row],[Revised Due Date]],"")</f>
        <v/>
      </c>
      <c r="I449" s="65" t="s">
        <v>4</v>
      </c>
      <c r="J449" s="65" t="s">
        <v>4</v>
      </c>
      <c r="K449" s="65" t="s">
        <v>4</v>
      </c>
      <c r="L449" s="67"/>
      <c r="M449" s="69" t="str">
        <f>IF(Main[[#This Row],[Tech Start Date]]&lt;1/1/1990,"",IF(Main[[#This Row],[Class]]="C",WORKDAY(Main[[#This Row],[Tech Start Date]],9),IF(Main[[#This Row],[Class]]="B", WORKDAY(Main[[#This Row],[Tech Start Date]],6),IF(Main[[#This Row],[Class]]="A",WORKDAY(Main[[#This Row],[Tech Start Date]],2),""))))</f>
        <v/>
      </c>
      <c r="N449" s="69" t="str">
        <f>IF(Main[[#This Row],[Tech Start Date]]&lt;1/1/1990,"",IF(Main[[#This Row],[Class]]="C",WORKDAY(Main[[#This Row],[Tech Start Date]],19),IF(Main[[#This Row],[Class]]="B", WORKDAY(Main[[#This Row],[Tech Start Date]],12),IF(Main[[#This Row],[Class]]="A",WORKDAY(Main[[#This Row],[Tech Start Date]],4),""))))</f>
        <v/>
      </c>
      <c r="O449" s="69" t="str">
        <f>IF(Main[[#This Row],[Tech Start Date]]&lt;1/1/1990,"",IF(Main[[#This Row],[Class]]="C",WORKDAY(Main[[#This Row],[Tech Start Date]],23),IF(Main[[#This Row],[Class]]="B", WORKDAY(Main[[#This Row],[Tech Start Date]],15),IF(Main[[#This Row],[Class]]="A",WORKDAY(Main[[#This Row],[Tech Start Date]],5),""))))</f>
        <v/>
      </c>
      <c r="P449" s="69" t="str">
        <f>IF(Main[[#This Row],[Tech Start Date]]&lt;1/1/1990,"",IF(Main[[#This Row],[Class]]="C",WORKDAY(Main[[#This Row],[Tech Start Date]],28),IF(Main[[#This Row],[Class]]="B", WORKDAY(Main[[#This Row],[Tech Start Date]],19),IF(Main[[#This Row],[Class]]="A",WORKDAY(Main[[#This Row],[Tech Start Date]],9),""))))</f>
        <v/>
      </c>
      <c r="Q449" s="67">
        <v>40896</v>
      </c>
      <c r="R449" s="67"/>
      <c r="S449" s="65" t="s">
        <v>17</v>
      </c>
      <c r="T449" s="70" t="s">
        <v>4</v>
      </c>
      <c r="U449" s="65" t="s">
        <v>14</v>
      </c>
      <c r="V449" s="65" t="s">
        <v>1920</v>
      </c>
      <c r="W449" s="65" t="s">
        <v>1925</v>
      </c>
      <c r="X449" s="65" t="s">
        <v>2885</v>
      </c>
      <c r="Y449" s="65" t="s">
        <v>3033</v>
      </c>
      <c r="Z449" s="65" t="s">
        <v>4</v>
      </c>
      <c r="AA449" s="65" t="s">
        <v>2885</v>
      </c>
    </row>
    <row r="450" spans="1:27" ht="17.45" customHeight="1">
      <c r="A450" s="131" t="str">
        <f>IF(priority(Main[[#This Row],[Comments]])&lt;&gt;0, priority(Main[[#This Row],[Comments]]),"")</f>
        <v/>
      </c>
      <c r="B450" s="99" t="s">
        <v>1287</v>
      </c>
      <c r="C450" s="65" t="s">
        <v>33</v>
      </c>
      <c r="D450" s="66" t="s">
        <v>359</v>
      </c>
      <c r="E450" s="67"/>
      <c r="F450" s="67"/>
      <c r="G450" s="64" t="str">
        <f>IF(stdProdLT(Main[[#This Row],[Comments]])=0.1,"N/A",IF(stdProdLT(Main[[#This Row],[Comments]])=0,"",stdProdLT(Main[[#This Row],[Comments]])))</f>
        <v/>
      </c>
      <c r="H450" s="68" t="str">
        <f>IF(AND(Main[[#This Row],[In Stock Date]]&lt;&gt;"",Main[[#This Row],[Revised Due Date]]&lt;&gt;""),Main[[#This Row],[In Stock Date]]-Main[[#This Row],[Revised Due Date]],"")</f>
        <v/>
      </c>
      <c r="I450" s="65" t="s">
        <v>4</v>
      </c>
      <c r="J450" s="65" t="s">
        <v>4</v>
      </c>
      <c r="K450" s="65" t="s">
        <v>4</v>
      </c>
      <c r="L450" s="67"/>
      <c r="M450" s="69" t="str">
        <f>IF(Main[[#This Row],[Tech Start Date]]&lt;1/1/1990,"",IF(Main[[#This Row],[Class]]="C",WORKDAY(Main[[#This Row],[Tech Start Date]],9),IF(Main[[#This Row],[Class]]="B", WORKDAY(Main[[#This Row],[Tech Start Date]],6),IF(Main[[#This Row],[Class]]="A",WORKDAY(Main[[#This Row],[Tech Start Date]],2),""))))</f>
        <v/>
      </c>
      <c r="N450" s="69" t="str">
        <f>IF(Main[[#This Row],[Tech Start Date]]&lt;1/1/1990,"",IF(Main[[#This Row],[Class]]="C",WORKDAY(Main[[#This Row],[Tech Start Date]],19),IF(Main[[#This Row],[Class]]="B", WORKDAY(Main[[#This Row],[Tech Start Date]],12),IF(Main[[#This Row],[Class]]="A",WORKDAY(Main[[#This Row],[Tech Start Date]],4),""))))</f>
        <v/>
      </c>
      <c r="O450" s="69" t="str">
        <f>IF(Main[[#This Row],[Tech Start Date]]&lt;1/1/1990,"",IF(Main[[#This Row],[Class]]="C",WORKDAY(Main[[#This Row],[Tech Start Date]],23),IF(Main[[#This Row],[Class]]="B", WORKDAY(Main[[#This Row],[Tech Start Date]],15),IF(Main[[#This Row],[Class]]="A",WORKDAY(Main[[#This Row],[Tech Start Date]],5),""))))</f>
        <v/>
      </c>
      <c r="P450" s="69" t="str">
        <f>IF(Main[[#This Row],[Tech Start Date]]&lt;1/1/1990,"",IF(Main[[#This Row],[Class]]="C",WORKDAY(Main[[#This Row],[Tech Start Date]],28),IF(Main[[#This Row],[Class]]="B", WORKDAY(Main[[#This Row],[Tech Start Date]],19),IF(Main[[#This Row],[Class]]="A",WORKDAY(Main[[#This Row],[Tech Start Date]],9),""))))</f>
        <v/>
      </c>
      <c r="Q450" s="67"/>
      <c r="R450" s="67"/>
      <c r="S450" s="65" t="s">
        <v>11</v>
      </c>
      <c r="T450" s="70" t="s">
        <v>4</v>
      </c>
      <c r="U450" s="65" t="s">
        <v>14</v>
      </c>
      <c r="V450" s="65" t="s">
        <v>1918</v>
      </c>
      <c r="W450" s="65" t="s">
        <v>1925</v>
      </c>
      <c r="X450" s="65" t="s">
        <v>2833</v>
      </c>
      <c r="Y450" s="65" t="s">
        <v>2954</v>
      </c>
      <c r="Z450" s="65" t="s">
        <v>4</v>
      </c>
      <c r="AA450" s="65" t="s">
        <v>2833</v>
      </c>
    </row>
    <row r="451" spans="1:27" ht="17.45" customHeight="1">
      <c r="A451" s="131" t="str">
        <f>IF(priority(Main[[#This Row],[Comments]])&lt;&gt;0, priority(Main[[#This Row],[Comments]]),"")</f>
        <v/>
      </c>
      <c r="B451" s="99" t="s">
        <v>1288</v>
      </c>
      <c r="C451" s="65" t="s">
        <v>33</v>
      </c>
      <c r="D451" s="66" t="s">
        <v>360</v>
      </c>
      <c r="E451" s="67"/>
      <c r="F451" s="67"/>
      <c r="G451" s="64" t="str">
        <f>IF(stdProdLT(Main[[#This Row],[Comments]])=0.1,"N/A",IF(stdProdLT(Main[[#This Row],[Comments]])=0,"",stdProdLT(Main[[#This Row],[Comments]])))</f>
        <v/>
      </c>
      <c r="H451" s="68" t="str">
        <f>IF(AND(Main[[#This Row],[In Stock Date]]&lt;&gt;"",Main[[#This Row],[Revised Due Date]]&lt;&gt;""),Main[[#This Row],[In Stock Date]]-Main[[#This Row],[Revised Due Date]],"")</f>
        <v/>
      </c>
      <c r="I451" s="65" t="s">
        <v>4</v>
      </c>
      <c r="J451" s="65" t="s">
        <v>4</v>
      </c>
      <c r="K451" s="65" t="s">
        <v>4</v>
      </c>
      <c r="L451" s="67"/>
      <c r="M451" s="69" t="str">
        <f>IF(Main[[#This Row],[Tech Start Date]]&lt;1/1/1990,"",IF(Main[[#This Row],[Class]]="C",WORKDAY(Main[[#This Row],[Tech Start Date]],9),IF(Main[[#This Row],[Class]]="B", WORKDAY(Main[[#This Row],[Tech Start Date]],6),IF(Main[[#This Row],[Class]]="A",WORKDAY(Main[[#This Row],[Tech Start Date]],2),""))))</f>
        <v/>
      </c>
      <c r="N451" s="69" t="str">
        <f>IF(Main[[#This Row],[Tech Start Date]]&lt;1/1/1990,"",IF(Main[[#This Row],[Class]]="C",WORKDAY(Main[[#This Row],[Tech Start Date]],19),IF(Main[[#This Row],[Class]]="B", WORKDAY(Main[[#This Row],[Tech Start Date]],12),IF(Main[[#This Row],[Class]]="A",WORKDAY(Main[[#This Row],[Tech Start Date]],4),""))))</f>
        <v/>
      </c>
      <c r="O451" s="69" t="str">
        <f>IF(Main[[#This Row],[Tech Start Date]]&lt;1/1/1990,"",IF(Main[[#This Row],[Class]]="C",WORKDAY(Main[[#This Row],[Tech Start Date]],23),IF(Main[[#This Row],[Class]]="B", WORKDAY(Main[[#This Row],[Tech Start Date]],15),IF(Main[[#This Row],[Class]]="A",WORKDAY(Main[[#This Row],[Tech Start Date]],5),""))))</f>
        <v/>
      </c>
      <c r="P451" s="69" t="str">
        <f>IF(Main[[#This Row],[Tech Start Date]]&lt;1/1/1990,"",IF(Main[[#This Row],[Class]]="C",WORKDAY(Main[[#This Row],[Tech Start Date]],28),IF(Main[[#This Row],[Class]]="B", WORKDAY(Main[[#This Row],[Tech Start Date]],19),IF(Main[[#This Row],[Class]]="A",WORKDAY(Main[[#This Row],[Tech Start Date]],9),""))))</f>
        <v/>
      </c>
      <c r="Q451" s="67"/>
      <c r="R451" s="67"/>
      <c r="S451" s="65" t="s">
        <v>11</v>
      </c>
      <c r="T451" s="70" t="s">
        <v>4</v>
      </c>
      <c r="U451" s="65" t="s">
        <v>14</v>
      </c>
      <c r="V451" s="65" t="s">
        <v>1918</v>
      </c>
      <c r="W451" s="65" t="s">
        <v>1925</v>
      </c>
      <c r="X451" s="65" t="s">
        <v>2833</v>
      </c>
      <c r="Y451" s="65" t="s">
        <v>2954</v>
      </c>
      <c r="Z451" s="65" t="s">
        <v>4</v>
      </c>
      <c r="AA451" s="65" t="s">
        <v>2833</v>
      </c>
    </row>
    <row r="452" spans="1:27" ht="17.45" customHeight="1">
      <c r="A452" s="131" t="str">
        <f>IF(priority(Main[[#This Row],[Comments]])&lt;&gt;0, priority(Main[[#This Row],[Comments]]),"")</f>
        <v/>
      </c>
      <c r="B452" s="99" t="s">
        <v>1289</v>
      </c>
      <c r="C452" s="65" t="s">
        <v>361</v>
      </c>
      <c r="D452" s="66" t="s">
        <v>362</v>
      </c>
      <c r="E452" s="67"/>
      <c r="F452" s="67"/>
      <c r="G452" s="64" t="str">
        <f>IF(stdProdLT(Main[[#This Row],[Comments]])=0.1,"N/A",IF(stdProdLT(Main[[#This Row],[Comments]])=0,"",stdProdLT(Main[[#This Row],[Comments]])))</f>
        <v/>
      </c>
      <c r="H452" s="68" t="str">
        <f>IF(AND(Main[[#This Row],[In Stock Date]]&lt;&gt;"",Main[[#This Row],[Revised Due Date]]&lt;&gt;""),Main[[#This Row],[In Stock Date]]-Main[[#This Row],[Revised Due Date]],"")</f>
        <v/>
      </c>
      <c r="I452" s="65" t="s">
        <v>4</v>
      </c>
      <c r="J452" s="65" t="s">
        <v>4</v>
      </c>
      <c r="K452" s="65" t="s">
        <v>4</v>
      </c>
      <c r="L452" s="67"/>
      <c r="M452" s="69" t="str">
        <f>IF(Main[[#This Row],[Tech Start Date]]&lt;1/1/1990,"",IF(Main[[#This Row],[Class]]="C",WORKDAY(Main[[#This Row],[Tech Start Date]],9),IF(Main[[#This Row],[Class]]="B", WORKDAY(Main[[#This Row],[Tech Start Date]],6),IF(Main[[#This Row],[Class]]="A",WORKDAY(Main[[#This Row],[Tech Start Date]],2),""))))</f>
        <v/>
      </c>
      <c r="N452" s="69" t="str">
        <f>IF(Main[[#This Row],[Tech Start Date]]&lt;1/1/1990,"",IF(Main[[#This Row],[Class]]="C",WORKDAY(Main[[#This Row],[Tech Start Date]],19),IF(Main[[#This Row],[Class]]="B", WORKDAY(Main[[#This Row],[Tech Start Date]],12),IF(Main[[#This Row],[Class]]="A",WORKDAY(Main[[#This Row],[Tech Start Date]],4),""))))</f>
        <v/>
      </c>
      <c r="O452" s="69" t="str">
        <f>IF(Main[[#This Row],[Tech Start Date]]&lt;1/1/1990,"",IF(Main[[#This Row],[Class]]="C",WORKDAY(Main[[#This Row],[Tech Start Date]],23),IF(Main[[#This Row],[Class]]="B", WORKDAY(Main[[#This Row],[Tech Start Date]],15),IF(Main[[#This Row],[Class]]="A",WORKDAY(Main[[#This Row],[Tech Start Date]],5),""))))</f>
        <v/>
      </c>
      <c r="P452" s="69" t="str">
        <f>IF(Main[[#This Row],[Tech Start Date]]&lt;1/1/1990,"",IF(Main[[#This Row],[Class]]="C",WORKDAY(Main[[#This Row],[Tech Start Date]],28),IF(Main[[#This Row],[Class]]="B", WORKDAY(Main[[#This Row],[Tech Start Date]],19),IF(Main[[#This Row],[Class]]="A",WORKDAY(Main[[#This Row],[Tech Start Date]],9),""))))</f>
        <v/>
      </c>
      <c r="Q452" s="67"/>
      <c r="R452" s="67"/>
      <c r="S452" s="65" t="s">
        <v>11</v>
      </c>
      <c r="T452" s="70" t="s">
        <v>4</v>
      </c>
      <c r="U452" s="65" t="s">
        <v>14</v>
      </c>
      <c r="V452" s="65" t="s">
        <v>1918</v>
      </c>
      <c r="W452" s="65" t="s">
        <v>1925</v>
      </c>
      <c r="X452" s="65" t="s">
        <v>2833</v>
      </c>
      <c r="Y452" s="65" t="s">
        <v>2954</v>
      </c>
      <c r="Z452" s="65" t="s">
        <v>4</v>
      </c>
      <c r="AA452" s="65" t="s">
        <v>2833</v>
      </c>
    </row>
    <row r="453" spans="1:27" ht="17.45" customHeight="1">
      <c r="A453" s="131" t="str">
        <f>IF(priority(Main[[#This Row],[Comments]])&lt;&gt;0, priority(Main[[#This Row],[Comments]]),"")</f>
        <v/>
      </c>
      <c r="B453" s="99" t="s">
        <v>1290</v>
      </c>
      <c r="C453" s="65" t="s">
        <v>363</v>
      </c>
      <c r="D453" s="66" t="s">
        <v>364</v>
      </c>
      <c r="E453" s="67"/>
      <c r="F453" s="67"/>
      <c r="G453" s="64" t="str">
        <f>IF(stdProdLT(Main[[#This Row],[Comments]])=0.1,"N/A",IF(stdProdLT(Main[[#This Row],[Comments]])=0,"",stdProdLT(Main[[#This Row],[Comments]])))</f>
        <v/>
      </c>
      <c r="H453" s="68" t="str">
        <f>IF(AND(Main[[#This Row],[In Stock Date]]&lt;&gt;"",Main[[#This Row],[Revised Due Date]]&lt;&gt;""),Main[[#This Row],[In Stock Date]]-Main[[#This Row],[Revised Due Date]],"")</f>
        <v/>
      </c>
      <c r="I453" s="65" t="s">
        <v>4</v>
      </c>
      <c r="J453" s="65" t="s">
        <v>4</v>
      </c>
      <c r="K453" s="71" t="s">
        <v>4</v>
      </c>
      <c r="L453" s="67"/>
      <c r="M453" s="69" t="str">
        <f>IF(Main[[#This Row],[Tech Start Date]]&lt;1/1/1990,"",IF(Main[[#This Row],[Class]]="C",WORKDAY(Main[[#This Row],[Tech Start Date]],9),IF(Main[[#This Row],[Class]]="B", WORKDAY(Main[[#This Row],[Tech Start Date]],6),IF(Main[[#This Row],[Class]]="A",WORKDAY(Main[[#This Row],[Tech Start Date]],2),""))))</f>
        <v/>
      </c>
      <c r="N453" s="69" t="str">
        <f>IF(Main[[#This Row],[Tech Start Date]]&lt;1/1/1990,"",IF(Main[[#This Row],[Class]]="C",WORKDAY(Main[[#This Row],[Tech Start Date]],19),IF(Main[[#This Row],[Class]]="B", WORKDAY(Main[[#This Row],[Tech Start Date]],12),IF(Main[[#This Row],[Class]]="A",WORKDAY(Main[[#This Row],[Tech Start Date]],4),""))))</f>
        <v/>
      </c>
      <c r="O453" s="69" t="str">
        <f>IF(Main[[#This Row],[Tech Start Date]]&lt;1/1/1990,"",IF(Main[[#This Row],[Class]]="C",WORKDAY(Main[[#This Row],[Tech Start Date]],23),IF(Main[[#This Row],[Class]]="B", WORKDAY(Main[[#This Row],[Tech Start Date]],15),IF(Main[[#This Row],[Class]]="A",WORKDAY(Main[[#This Row],[Tech Start Date]],5),""))))</f>
        <v/>
      </c>
      <c r="P453" s="69" t="str">
        <f>IF(Main[[#This Row],[Tech Start Date]]&lt;1/1/1990,"",IF(Main[[#This Row],[Class]]="C",WORKDAY(Main[[#This Row],[Tech Start Date]],28),IF(Main[[#This Row],[Class]]="B", WORKDAY(Main[[#This Row],[Tech Start Date]],19),IF(Main[[#This Row],[Class]]="A",WORKDAY(Main[[#This Row],[Tech Start Date]],9),""))))</f>
        <v/>
      </c>
      <c r="Q453" s="67"/>
      <c r="R453" s="67"/>
      <c r="S453" s="65" t="s">
        <v>11</v>
      </c>
      <c r="T453" s="70" t="s">
        <v>4</v>
      </c>
      <c r="U453" s="65" t="s">
        <v>14</v>
      </c>
      <c r="V453" s="65" t="s">
        <v>1918</v>
      </c>
      <c r="W453" s="65" t="s">
        <v>1925</v>
      </c>
      <c r="X453" s="65" t="s">
        <v>2833</v>
      </c>
      <c r="Y453" s="65" t="s">
        <v>2954</v>
      </c>
      <c r="Z453" s="65" t="s">
        <v>4</v>
      </c>
      <c r="AA453" s="65" t="s">
        <v>2833</v>
      </c>
    </row>
    <row r="454" spans="1:27" ht="17.45" customHeight="1">
      <c r="A454" s="131" t="str">
        <f>IF(priority(Main[[#This Row],[Comments]])&lt;&gt;0, priority(Main[[#This Row],[Comments]]),"")</f>
        <v/>
      </c>
      <c r="B454" s="99" t="s">
        <v>1291</v>
      </c>
      <c r="C454" s="65" t="s">
        <v>365</v>
      </c>
      <c r="D454" s="66" t="s">
        <v>366</v>
      </c>
      <c r="E454" s="67"/>
      <c r="F454" s="67"/>
      <c r="G454" s="64" t="str">
        <f>IF(stdProdLT(Main[[#This Row],[Comments]])=0.1,"N/A",IF(stdProdLT(Main[[#This Row],[Comments]])=0,"",stdProdLT(Main[[#This Row],[Comments]])))</f>
        <v/>
      </c>
      <c r="H454" s="68" t="str">
        <f>IF(AND(Main[[#This Row],[In Stock Date]]&lt;&gt;"",Main[[#This Row],[Revised Due Date]]&lt;&gt;""),Main[[#This Row],[In Stock Date]]-Main[[#This Row],[Revised Due Date]],"")</f>
        <v/>
      </c>
      <c r="I454" s="65" t="s">
        <v>4</v>
      </c>
      <c r="J454" s="65" t="s">
        <v>4</v>
      </c>
      <c r="K454" s="65" t="s">
        <v>4</v>
      </c>
      <c r="L454" s="67"/>
      <c r="M454" s="69" t="str">
        <f>IF(Main[[#This Row],[Tech Start Date]]&lt;1/1/1990,"",IF(Main[[#This Row],[Class]]="C",WORKDAY(Main[[#This Row],[Tech Start Date]],9),IF(Main[[#This Row],[Class]]="B", WORKDAY(Main[[#This Row],[Tech Start Date]],6),IF(Main[[#This Row],[Class]]="A",WORKDAY(Main[[#This Row],[Tech Start Date]],2),""))))</f>
        <v/>
      </c>
      <c r="N454" s="69" t="str">
        <f>IF(Main[[#This Row],[Tech Start Date]]&lt;1/1/1990,"",IF(Main[[#This Row],[Class]]="C",WORKDAY(Main[[#This Row],[Tech Start Date]],19),IF(Main[[#This Row],[Class]]="B", WORKDAY(Main[[#This Row],[Tech Start Date]],12),IF(Main[[#This Row],[Class]]="A",WORKDAY(Main[[#This Row],[Tech Start Date]],4),""))))</f>
        <v/>
      </c>
      <c r="O454" s="69" t="str">
        <f>IF(Main[[#This Row],[Tech Start Date]]&lt;1/1/1990,"",IF(Main[[#This Row],[Class]]="C",WORKDAY(Main[[#This Row],[Tech Start Date]],23),IF(Main[[#This Row],[Class]]="B", WORKDAY(Main[[#This Row],[Tech Start Date]],15),IF(Main[[#This Row],[Class]]="A",WORKDAY(Main[[#This Row],[Tech Start Date]],5),""))))</f>
        <v/>
      </c>
      <c r="P454" s="69" t="str">
        <f>IF(Main[[#This Row],[Tech Start Date]]&lt;1/1/1990,"",IF(Main[[#This Row],[Class]]="C",WORKDAY(Main[[#This Row],[Tech Start Date]],28),IF(Main[[#This Row],[Class]]="B", WORKDAY(Main[[#This Row],[Tech Start Date]],19),IF(Main[[#This Row],[Class]]="A",WORKDAY(Main[[#This Row],[Tech Start Date]],9),""))))</f>
        <v/>
      </c>
      <c r="Q454" s="67"/>
      <c r="R454" s="67"/>
      <c r="S454" s="65" t="s">
        <v>11</v>
      </c>
      <c r="T454" s="70" t="s">
        <v>4</v>
      </c>
      <c r="U454" s="65" t="s">
        <v>14</v>
      </c>
      <c r="V454" s="65" t="s">
        <v>1918</v>
      </c>
      <c r="W454" s="65" t="s">
        <v>1925</v>
      </c>
      <c r="X454" s="65" t="s">
        <v>2833</v>
      </c>
      <c r="Y454" s="65" t="s">
        <v>2954</v>
      </c>
      <c r="Z454" s="65" t="s">
        <v>4</v>
      </c>
      <c r="AA454" s="65" t="s">
        <v>2833</v>
      </c>
    </row>
    <row r="455" spans="1:27" ht="17.45" customHeight="1">
      <c r="A455" s="131" t="str">
        <f>IF(priority(Main[[#This Row],[Comments]])&lt;&gt;0, priority(Main[[#This Row],[Comments]]),"")</f>
        <v/>
      </c>
      <c r="B455" s="99" t="s">
        <v>1292</v>
      </c>
      <c r="C455" s="65" t="s">
        <v>367</v>
      </c>
      <c r="D455" s="66" t="s">
        <v>368</v>
      </c>
      <c r="E455" s="67">
        <v>40210.419814814813</v>
      </c>
      <c r="F455" s="67">
        <v>40405</v>
      </c>
      <c r="G455" s="64" t="str">
        <f>IF(stdProdLT(Main[[#This Row],[Comments]])=0.1,"N/A",IF(stdProdLT(Main[[#This Row],[Comments]])=0,"",stdProdLT(Main[[#This Row],[Comments]])))</f>
        <v/>
      </c>
      <c r="H455" s="68" t="str">
        <f>IF(AND(Main[[#This Row],[In Stock Date]]&lt;&gt;"",Main[[#This Row],[Revised Due Date]]&lt;&gt;""),Main[[#This Row],[In Stock Date]]-Main[[#This Row],[Revised Due Date]],"")</f>
        <v/>
      </c>
      <c r="I455" s="65" t="s">
        <v>163</v>
      </c>
      <c r="J455" s="65" t="s">
        <v>4</v>
      </c>
      <c r="K455" s="65" t="s">
        <v>1929</v>
      </c>
      <c r="L455" s="67"/>
      <c r="M455" s="69" t="str">
        <f>IF(Main[[#This Row],[Tech Start Date]]&lt;1/1/1990,"",IF(Main[[#This Row],[Class]]="C",WORKDAY(Main[[#This Row],[Tech Start Date]],9),IF(Main[[#This Row],[Class]]="B", WORKDAY(Main[[#This Row],[Tech Start Date]],6),IF(Main[[#This Row],[Class]]="A",WORKDAY(Main[[#This Row],[Tech Start Date]],2),""))))</f>
        <v/>
      </c>
      <c r="N455" s="69" t="str">
        <f>IF(Main[[#This Row],[Tech Start Date]]&lt;1/1/1990,"",IF(Main[[#This Row],[Class]]="C",WORKDAY(Main[[#This Row],[Tech Start Date]],19),IF(Main[[#This Row],[Class]]="B", WORKDAY(Main[[#This Row],[Tech Start Date]],12),IF(Main[[#This Row],[Class]]="A",WORKDAY(Main[[#This Row],[Tech Start Date]],4),""))))</f>
        <v/>
      </c>
      <c r="O455" s="69" t="str">
        <f>IF(Main[[#This Row],[Tech Start Date]]&lt;1/1/1990,"",IF(Main[[#This Row],[Class]]="C",WORKDAY(Main[[#This Row],[Tech Start Date]],23),IF(Main[[#This Row],[Class]]="B", WORKDAY(Main[[#This Row],[Tech Start Date]],15),IF(Main[[#This Row],[Class]]="A",WORKDAY(Main[[#This Row],[Tech Start Date]],5),""))))</f>
        <v/>
      </c>
      <c r="P455" s="69" t="str">
        <f>IF(Main[[#This Row],[Tech Start Date]]&lt;1/1/1990,"",IF(Main[[#This Row],[Class]]="C",WORKDAY(Main[[#This Row],[Tech Start Date]],28),IF(Main[[#This Row],[Class]]="B", WORKDAY(Main[[#This Row],[Tech Start Date]],19),IF(Main[[#This Row],[Class]]="A",WORKDAY(Main[[#This Row],[Tech Start Date]],9),""))))</f>
        <v/>
      </c>
      <c r="Q455" s="67">
        <v>40223</v>
      </c>
      <c r="R455" s="67"/>
      <c r="S455" s="65" t="s">
        <v>17</v>
      </c>
      <c r="T455" s="70" t="s">
        <v>4</v>
      </c>
      <c r="U455" s="65" t="s">
        <v>29</v>
      </c>
      <c r="V455" s="65" t="s">
        <v>1920</v>
      </c>
      <c r="W455" s="65" t="s">
        <v>1922</v>
      </c>
      <c r="X455" s="65" t="s">
        <v>554</v>
      </c>
      <c r="Y455" s="65" t="s">
        <v>4</v>
      </c>
      <c r="Z455" s="65" t="s">
        <v>4</v>
      </c>
      <c r="AA455" s="65" t="s">
        <v>554</v>
      </c>
    </row>
    <row r="456" spans="1:27" ht="17.45" customHeight="1">
      <c r="A456" s="131" t="str">
        <f>IF(priority(Main[[#This Row],[Comments]])&lt;&gt;0, priority(Main[[#This Row],[Comments]]),"")</f>
        <v/>
      </c>
      <c r="B456" s="99" t="s">
        <v>1296</v>
      </c>
      <c r="C456" s="65" t="s">
        <v>4</v>
      </c>
      <c r="D456" s="66" t="s">
        <v>412</v>
      </c>
      <c r="E456" s="67"/>
      <c r="F456" s="67"/>
      <c r="G456" s="64" t="str">
        <f>IF(stdProdLT(Main[[#This Row],[Comments]])=0.1,"N/A",IF(stdProdLT(Main[[#This Row],[Comments]])=0,"",stdProdLT(Main[[#This Row],[Comments]])))</f>
        <v/>
      </c>
      <c r="H456" s="68" t="str">
        <f>IF(AND(Main[[#This Row],[In Stock Date]]&lt;&gt;"",Main[[#This Row],[Revised Due Date]]&lt;&gt;""),Main[[#This Row],[In Stock Date]]-Main[[#This Row],[Revised Due Date]],"")</f>
        <v/>
      </c>
      <c r="I456" s="65" t="s">
        <v>306</v>
      </c>
      <c r="J456" s="65" t="s">
        <v>75</v>
      </c>
      <c r="K456" s="65" t="s">
        <v>1926</v>
      </c>
      <c r="L456" s="67"/>
      <c r="M456" s="69" t="str">
        <f>IF(Main[[#This Row],[Tech Start Date]]&lt;1/1/1990,"",IF(Main[[#This Row],[Class]]="C",WORKDAY(Main[[#This Row],[Tech Start Date]],9),IF(Main[[#This Row],[Class]]="B", WORKDAY(Main[[#This Row],[Tech Start Date]],6),IF(Main[[#This Row],[Class]]="A",WORKDAY(Main[[#This Row],[Tech Start Date]],2),""))))</f>
        <v/>
      </c>
      <c r="N456" s="69" t="str">
        <f>IF(Main[[#This Row],[Tech Start Date]]&lt;1/1/1990,"",IF(Main[[#This Row],[Class]]="C",WORKDAY(Main[[#This Row],[Tech Start Date]],19),IF(Main[[#This Row],[Class]]="B", WORKDAY(Main[[#This Row],[Tech Start Date]],12),IF(Main[[#This Row],[Class]]="A",WORKDAY(Main[[#This Row],[Tech Start Date]],4),""))))</f>
        <v/>
      </c>
      <c r="O456" s="69" t="str">
        <f>IF(Main[[#This Row],[Tech Start Date]]&lt;1/1/1990,"",IF(Main[[#This Row],[Class]]="C",WORKDAY(Main[[#This Row],[Tech Start Date]],23),IF(Main[[#This Row],[Class]]="B", WORKDAY(Main[[#This Row],[Tech Start Date]],15),IF(Main[[#This Row],[Class]]="A",WORKDAY(Main[[#This Row],[Tech Start Date]],5),""))))</f>
        <v/>
      </c>
      <c r="P456" s="69" t="str">
        <f>IF(Main[[#This Row],[Tech Start Date]]&lt;1/1/1990,"",IF(Main[[#This Row],[Class]]="C",WORKDAY(Main[[#This Row],[Tech Start Date]],28),IF(Main[[#This Row],[Class]]="B", WORKDAY(Main[[#This Row],[Tech Start Date]],19),IF(Main[[#This Row],[Class]]="A",WORKDAY(Main[[#This Row],[Tech Start Date]],9),""))))</f>
        <v/>
      </c>
      <c r="Q456" s="67">
        <v>40655</v>
      </c>
      <c r="R456" s="67"/>
      <c r="S456" s="65" t="s">
        <v>6</v>
      </c>
      <c r="T456" s="70" t="s">
        <v>4</v>
      </c>
      <c r="U456" s="65" t="s">
        <v>14</v>
      </c>
      <c r="V456" s="65" t="s">
        <v>1920</v>
      </c>
      <c r="W456" s="65" t="s">
        <v>1919</v>
      </c>
      <c r="X456" s="65" t="s">
        <v>2825</v>
      </c>
      <c r="Y456" s="65" t="s">
        <v>2938</v>
      </c>
      <c r="Z456" s="65" t="s">
        <v>44</v>
      </c>
      <c r="AA456" s="65" t="s">
        <v>2825</v>
      </c>
    </row>
    <row r="457" spans="1:27" ht="17.45" customHeight="1">
      <c r="A457" s="131" t="str">
        <f>IF(priority(Main[[#This Row],[Comments]])&lt;&gt;0, priority(Main[[#This Row],[Comments]]),"")</f>
        <v/>
      </c>
      <c r="B457" s="99" t="s">
        <v>1297</v>
      </c>
      <c r="C457" s="65" t="s">
        <v>211</v>
      </c>
      <c r="D457" s="66" t="s">
        <v>413</v>
      </c>
      <c r="E457" s="67"/>
      <c r="F457" s="67">
        <v>40452</v>
      </c>
      <c r="G457" s="64" t="str">
        <f>IF(stdProdLT(Main[[#This Row],[Comments]])=0.1,"N/A",IF(stdProdLT(Main[[#This Row],[Comments]])=0,"",stdProdLT(Main[[#This Row],[Comments]])))</f>
        <v/>
      </c>
      <c r="H457" s="68" t="str">
        <f>IF(AND(Main[[#This Row],[In Stock Date]]&lt;&gt;"",Main[[#This Row],[Revised Due Date]]&lt;&gt;""),Main[[#This Row],[In Stock Date]]-Main[[#This Row],[Revised Due Date]],"")</f>
        <v/>
      </c>
      <c r="I457" s="65" t="s">
        <v>4</v>
      </c>
      <c r="J457" s="65" t="s">
        <v>4</v>
      </c>
      <c r="K457" s="71" t="s">
        <v>4</v>
      </c>
      <c r="L457" s="67"/>
      <c r="M457" s="69" t="str">
        <f>IF(Main[[#This Row],[Tech Start Date]]&lt;1/1/1990,"",IF(Main[[#This Row],[Class]]="C",WORKDAY(Main[[#This Row],[Tech Start Date]],9),IF(Main[[#This Row],[Class]]="B", WORKDAY(Main[[#This Row],[Tech Start Date]],6),IF(Main[[#This Row],[Class]]="A",WORKDAY(Main[[#This Row],[Tech Start Date]],2),""))))</f>
        <v/>
      </c>
      <c r="N457" s="69" t="str">
        <f>IF(Main[[#This Row],[Tech Start Date]]&lt;1/1/1990,"",IF(Main[[#This Row],[Class]]="C",WORKDAY(Main[[#This Row],[Tech Start Date]],19),IF(Main[[#This Row],[Class]]="B", WORKDAY(Main[[#This Row],[Tech Start Date]],12),IF(Main[[#This Row],[Class]]="A",WORKDAY(Main[[#This Row],[Tech Start Date]],4),""))))</f>
        <v/>
      </c>
      <c r="O457" s="69" t="str">
        <f>IF(Main[[#This Row],[Tech Start Date]]&lt;1/1/1990,"",IF(Main[[#This Row],[Class]]="C",WORKDAY(Main[[#This Row],[Tech Start Date]],23),IF(Main[[#This Row],[Class]]="B", WORKDAY(Main[[#This Row],[Tech Start Date]],15),IF(Main[[#This Row],[Class]]="A",WORKDAY(Main[[#This Row],[Tech Start Date]],5),""))))</f>
        <v/>
      </c>
      <c r="P457" s="69" t="str">
        <f>IF(Main[[#This Row],[Tech Start Date]]&lt;1/1/1990,"",IF(Main[[#This Row],[Class]]="C",WORKDAY(Main[[#This Row],[Tech Start Date]],28),IF(Main[[#This Row],[Class]]="B", WORKDAY(Main[[#This Row],[Tech Start Date]],19),IF(Main[[#This Row],[Class]]="A",WORKDAY(Main[[#This Row],[Tech Start Date]],9),""))))</f>
        <v/>
      </c>
      <c r="Q457" s="67">
        <v>40357</v>
      </c>
      <c r="R457" s="67"/>
      <c r="S457" s="65" t="s">
        <v>11</v>
      </c>
      <c r="T457" s="70" t="s">
        <v>4</v>
      </c>
      <c r="U457" s="65" t="s">
        <v>12</v>
      </c>
      <c r="V457" s="65" t="s">
        <v>1917</v>
      </c>
      <c r="W457" s="65" t="s">
        <v>1925</v>
      </c>
      <c r="X457" s="65" t="s">
        <v>2839</v>
      </c>
      <c r="Y457" s="65" t="s">
        <v>4</v>
      </c>
      <c r="Z457" s="65" t="s">
        <v>4</v>
      </c>
      <c r="AA457" s="65" t="s">
        <v>2839</v>
      </c>
    </row>
    <row r="458" spans="1:27" ht="17.45" customHeight="1">
      <c r="A458" s="131" t="str">
        <f>IF(priority(Main[[#This Row],[Comments]])&lt;&gt;0, priority(Main[[#This Row],[Comments]]),"")</f>
        <v/>
      </c>
      <c r="B458" s="99" t="s">
        <v>1336</v>
      </c>
      <c r="C458" s="65" t="s">
        <v>4</v>
      </c>
      <c r="D458" s="66" t="s">
        <v>414</v>
      </c>
      <c r="E458" s="67"/>
      <c r="F458" s="67">
        <v>40633</v>
      </c>
      <c r="G458" s="64" t="str">
        <f>IF(stdProdLT(Main[[#This Row],[Comments]])=0.1,"N/A",IF(stdProdLT(Main[[#This Row],[Comments]])=0,"",stdProdLT(Main[[#This Row],[Comments]])))</f>
        <v/>
      </c>
      <c r="H458" s="68" t="str">
        <f>IF(AND(Main[[#This Row],[In Stock Date]]&lt;&gt;"",Main[[#This Row],[Revised Due Date]]&lt;&gt;""),Main[[#This Row],[In Stock Date]]-Main[[#This Row],[Revised Due Date]],"")</f>
        <v/>
      </c>
      <c r="I458" s="65" t="s">
        <v>415</v>
      </c>
      <c r="J458" s="65" t="s">
        <v>28</v>
      </c>
      <c r="K458" s="65" t="s">
        <v>1926</v>
      </c>
      <c r="L458" s="67"/>
      <c r="M458" s="69" t="str">
        <f>IF(Main[[#This Row],[Tech Start Date]]&lt;1/1/1990,"",IF(Main[[#This Row],[Class]]="C",WORKDAY(Main[[#This Row],[Tech Start Date]],9),IF(Main[[#This Row],[Class]]="B", WORKDAY(Main[[#This Row],[Tech Start Date]],6),IF(Main[[#This Row],[Class]]="A",WORKDAY(Main[[#This Row],[Tech Start Date]],2),""))))</f>
        <v/>
      </c>
      <c r="N458" s="69" t="str">
        <f>IF(Main[[#This Row],[Tech Start Date]]&lt;1/1/1990,"",IF(Main[[#This Row],[Class]]="C",WORKDAY(Main[[#This Row],[Tech Start Date]],19),IF(Main[[#This Row],[Class]]="B", WORKDAY(Main[[#This Row],[Tech Start Date]],12),IF(Main[[#This Row],[Class]]="A",WORKDAY(Main[[#This Row],[Tech Start Date]],4),""))))</f>
        <v/>
      </c>
      <c r="O458" s="69" t="str">
        <f>IF(Main[[#This Row],[Tech Start Date]]&lt;1/1/1990,"",IF(Main[[#This Row],[Class]]="C",WORKDAY(Main[[#This Row],[Tech Start Date]],23),IF(Main[[#This Row],[Class]]="B", WORKDAY(Main[[#This Row],[Tech Start Date]],15),IF(Main[[#This Row],[Class]]="A",WORKDAY(Main[[#This Row],[Tech Start Date]],5),""))))</f>
        <v/>
      </c>
      <c r="P458" s="69" t="str">
        <f>IF(Main[[#This Row],[Tech Start Date]]&lt;1/1/1990,"",IF(Main[[#This Row],[Class]]="C",WORKDAY(Main[[#This Row],[Tech Start Date]],28),IF(Main[[#This Row],[Class]]="B", WORKDAY(Main[[#This Row],[Tech Start Date]],19),IF(Main[[#This Row],[Class]]="A",WORKDAY(Main[[#This Row],[Tech Start Date]],9),""))))</f>
        <v/>
      </c>
      <c r="Q458" s="67">
        <v>40633</v>
      </c>
      <c r="R458" s="67"/>
      <c r="S458" s="65" t="s">
        <v>6</v>
      </c>
      <c r="T458" s="70" t="s">
        <v>4</v>
      </c>
      <c r="U458" s="65" t="s">
        <v>14</v>
      </c>
      <c r="V458" s="65" t="s">
        <v>1920</v>
      </c>
      <c r="W458" s="65" t="s">
        <v>1919</v>
      </c>
      <c r="X458" s="65" t="s">
        <v>2825</v>
      </c>
      <c r="Y458" s="65" t="s">
        <v>2938</v>
      </c>
      <c r="Z458" s="65" t="s">
        <v>30</v>
      </c>
      <c r="AA458" s="65" t="s">
        <v>2825</v>
      </c>
    </row>
    <row r="459" spans="1:27" ht="17.45" customHeight="1">
      <c r="A459" s="131" t="str">
        <f>IF(priority(Main[[#This Row],[Comments]])&lt;&gt;0, priority(Main[[#This Row],[Comments]]),"")</f>
        <v/>
      </c>
      <c r="B459" s="99" t="s">
        <v>1837</v>
      </c>
      <c r="C459" s="65" t="s">
        <v>4</v>
      </c>
      <c r="D459" s="66" t="s">
        <v>890</v>
      </c>
      <c r="E459" s="67">
        <v>40365.442546296297</v>
      </c>
      <c r="F459" s="67"/>
      <c r="G459" s="64" t="str">
        <f>IF(stdProdLT(Main[[#This Row],[Comments]])=0.1,"N/A",IF(stdProdLT(Main[[#This Row],[Comments]])=0,"",stdProdLT(Main[[#This Row],[Comments]])))</f>
        <v/>
      </c>
      <c r="H459" s="68" t="str">
        <f>IF(AND(Main[[#This Row],[In Stock Date]]&lt;&gt;"",Main[[#This Row],[Revised Due Date]]&lt;&gt;""),Main[[#This Row],[In Stock Date]]-Main[[#This Row],[Revised Due Date]],"")</f>
        <v/>
      </c>
      <c r="I459" s="65" t="s">
        <v>891</v>
      </c>
      <c r="J459" s="65" t="s">
        <v>28</v>
      </c>
      <c r="K459" s="65" t="s">
        <v>1929</v>
      </c>
      <c r="L459" s="67"/>
      <c r="M459" s="69" t="str">
        <f>IF(Main[[#This Row],[Tech Start Date]]&lt;1/1/1990,"",IF(Main[[#This Row],[Class]]="C",WORKDAY(Main[[#This Row],[Tech Start Date]],9),IF(Main[[#This Row],[Class]]="B", WORKDAY(Main[[#This Row],[Tech Start Date]],6),IF(Main[[#This Row],[Class]]="A",WORKDAY(Main[[#This Row],[Tech Start Date]],2),""))))</f>
        <v/>
      </c>
      <c r="N459" s="69" t="str">
        <f>IF(Main[[#This Row],[Tech Start Date]]&lt;1/1/1990,"",IF(Main[[#This Row],[Class]]="C",WORKDAY(Main[[#This Row],[Tech Start Date]],19),IF(Main[[#This Row],[Class]]="B", WORKDAY(Main[[#This Row],[Tech Start Date]],12),IF(Main[[#This Row],[Class]]="A",WORKDAY(Main[[#This Row],[Tech Start Date]],4),""))))</f>
        <v/>
      </c>
      <c r="O459" s="69" t="str">
        <f>IF(Main[[#This Row],[Tech Start Date]]&lt;1/1/1990,"",IF(Main[[#This Row],[Class]]="C",WORKDAY(Main[[#This Row],[Tech Start Date]],23),IF(Main[[#This Row],[Class]]="B", WORKDAY(Main[[#This Row],[Tech Start Date]],15),IF(Main[[#This Row],[Class]]="A",WORKDAY(Main[[#This Row],[Tech Start Date]],5),""))))</f>
        <v/>
      </c>
      <c r="P459" s="69" t="str">
        <f>IF(Main[[#This Row],[Tech Start Date]]&lt;1/1/1990,"",IF(Main[[#This Row],[Class]]="C",WORKDAY(Main[[#This Row],[Tech Start Date]],28),IF(Main[[#This Row],[Class]]="B", WORKDAY(Main[[#This Row],[Tech Start Date]],19),IF(Main[[#This Row],[Class]]="A",WORKDAY(Main[[#This Row],[Tech Start Date]],9),""))))</f>
        <v/>
      </c>
      <c r="Q459" s="67">
        <v>40420</v>
      </c>
      <c r="R459" s="67">
        <v>40420</v>
      </c>
      <c r="S459" s="65" t="s">
        <v>318</v>
      </c>
      <c r="T459" s="70" t="s">
        <v>4</v>
      </c>
      <c r="U459" s="65" t="s">
        <v>29</v>
      </c>
      <c r="V459" s="65" t="s">
        <v>1917</v>
      </c>
      <c r="W459" s="65" t="s">
        <v>1921</v>
      </c>
      <c r="X459" s="65" t="s">
        <v>129</v>
      </c>
      <c r="Y459" s="65" t="s">
        <v>2939</v>
      </c>
      <c r="Z459" s="65" t="s">
        <v>129</v>
      </c>
      <c r="AA459" s="65" t="s">
        <v>129</v>
      </c>
    </row>
    <row r="460" spans="1:27" ht="17.45" customHeight="1">
      <c r="A460" s="131" t="str">
        <f>IF(priority(Main[[#This Row],[Comments]])&lt;&gt;0, priority(Main[[#This Row],[Comments]]),"")</f>
        <v/>
      </c>
      <c r="B460" s="99" t="s">
        <v>1337</v>
      </c>
      <c r="C460" s="65" t="s">
        <v>31</v>
      </c>
      <c r="D460" s="66" t="s">
        <v>416</v>
      </c>
      <c r="E460" s="67"/>
      <c r="F460" s="67">
        <v>40330</v>
      </c>
      <c r="G460" s="64" t="str">
        <f>IF(stdProdLT(Main[[#This Row],[Comments]])=0.1,"N/A",IF(stdProdLT(Main[[#This Row],[Comments]])=0,"",stdProdLT(Main[[#This Row],[Comments]])))</f>
        <v/>
      </c>
      <c r="H460" s="68" t="str">
        <f>IF(AND(Main[[#This Row],[In Stock Date]]&lt;&gt;"",Main[[#This Row],[Revised Due Date]]&lt;&gt;""),Main[[#This Row],[In Stock Date]]-Main[[#This Row],[Revised Due Date]],"")</f>
        <v/>
      </c>
      <c r="I460" s="65" t="s">
        <v>417</v>
      </c>
      <c r="J460" s="65" t="s">
        <v>4</v>
      </c>
      <c r="K460" s="71" t="s">
        <v>4</v>
      </c>
      <c r="L460" s="67"/>
      <c r="M460" s="69" t="str">
        <f>IF(Main[[#This Row],[Tech Start Date]]&lt;1/1/1990,"",IF(Main[[#This Row],[Class]]="C",WORKDAY(Main[[#This Row],[Tech Start Date]],9),IF(Main[[#This Row],[Class]]="B", WORKDAY(Main[[#This Row],[Tech Start Date]],6),IF(Main[[#This Row],[Class]]="A",WORKDAY(Main[[#This Row],[Tech Start Date]],2),""))))</f>
        <v/>
      </c>
      <c r="N460" s="69" t="str">
        <f>IF(Main[[#This Row],[Tech Start Date]]&lt;1/1/1990,"",IF(Main[[#This Row],[Class]]="C",WORKDAY(Main[[#This Row],[Tech Start Date]],19),IF(Main[[#This Row],[Class]]="B", WORKDAY(Main[[#This Row],[Tech Start Date]],12),IF(Main[[#This Row],[Class]]="A",WORKDAY(Main[[#This Row],[Tech Start Date]],4),""))))</f>
        <v/>
      </c>
      <c r="O460" s="69" t="str">
        <f>IF(Main[[#This Row],[Tech Start Date]]&lt;1/1/1990,"",IF(Main[[#This Row],[Class]]="C",WORKDAY(Main[[#This Row],[Tech Start Date]],23),IF(Main[[#This Row],[Class]]="B", WORKDAY(Main[[#This Row],[Tech Start Date]],15),IF(Main[[#This Row],[Class]]="A",WORKDAY(Main[[#This Row],[Tech Start Date]],5),""))))</f>
        <v/>
      </c>
      <c r="P460" s="69" t="str">
        <f>IF(Main[[#This Row],[Tech Start Date]]&lt;1/1/1990,"",IF(Main[[#This Row],[Class]]="C",WORKDAY(Main[[#This Row],[Tech Start Date]],28),IF(Main[[#This Row],[Class]]="B", WORKDAY(Main[[#This Row],[Tech Start Date]],19),IF(Main[[#This Row],[Class]]="A",WORKDAY(Main[[#This Row],[Tech Start Date]],9),""))))</f>
        <v/>
      </c>
      <c r="Q460" s="67">
        <v>40210</v>
      </c>
      <c r="R460" s="67"/>
      <c r="S460" s="65" t="s">
        <v>11</v>
      </c>
      <c r="T460" s="70" t="s">
        <v>4</v>
      </c>
      <c r="U460" s="65" t="s">
        <v>14</v>
      </c>
      <c r="V460" s="65" t="s">
        <v>1920</v>
      </c>
      <c r="W460" s="65" t="s">
        <v>1923</v>
      </c>
      <c r="X460" s="65" t="s">
        <v>2830</v>
      </c>
      <c r="Y460" s="65" t="s">
        <v>2949</v>
      </c>
      <c r="Z460" s="65" t="s">
        <v>4</v>
      </c>
      <c r="AA460" s="65" t="s">
        <v>2830</v>
      </c>
    </row>
    <row r="461" spans="1:27" ht="17.45" customHeight="1">
      <c r="A461" s="131" t="str">
        <f>IF(priority(Main[[#This Row],[Comments]])&lt;&gt;0, priority(Main[[#This Row],[Comments]]),"")</f>
        <v/>
      </c>
      <c r="B461" s="99" t="s">
        <v>1338</v>
      </c>
      <c r="C461" s="65" t="s">
        <v>4</v>
      </c>
      <c r="D461" s="66" t="s">
        <v>418</v>
      </c>
      <c r="E461" s="67">
        <v>40305.512083333335</v>
      </c>
      <c r="F461" s="67"/>
      <c r="G461" s="64" t="str">
        <f>IF(stdProdLT(Main[[#This Row],[Comments]])=0.1,"N/A",IF(stdProdLT(Main[[#This Row],[Comments]])=0,"",stdProdLT(Main[[#This Row],[Comments]])))</f>
        <v/>
      </c>
      <c r="H461" s="68" t="str">
        <f>IF(AND(Main[[#This Row],[In Stock Date]]&lt;&gt;"",Main[[#This Row],[Revised Due Date]]&lt;&gt;""),Main[[#This Row],[In Stock Date]]-Main[[#This Row],[Revised Due Date]],"")</f>
        <v/>
      </c>
      <c r="I461" s="65" t="s">
        <v>4</v>
      </c>
      <c r="J461" s="65" t="s">
        <v>4</v>
      </c>
      <c r="K461" s="65" t="s">
        <v>4</v>
      </c>
      <c r="L461" s="67"/>
      <c r="M461" s="69" t="str">
        <f>IF(Main[[#This Row],[Tech Start Date]]&lt;1/1/1990,"",IF(Main[[#This Row],[Class]]="C",WORKDAY(Main[[#This Row],[Tech Start Date]],9),IF(Main[[#This Row],[Class]]="B", WORKDAY(Main[[#This Row],[Tech Start Date]],6),IF(Main[[#This Row],[Class]]="A",WORKDAY(Main[[#This Row],[Tech Start Date]],2),""))))</f>
        <v/>
      </c>
      <c r="N461" s="69" t="str">
        <f>IF(Main[[#This Row],[Tech Start Date]]&lt;1/1/1990,"",IF(Main[[#This Row],[Class]]="C",WORKDAY(Main[[#This Row],[Tech Start Date]],19),IF(Main[[#This Row],[Class]]="B", WORKDAY(Main[[#This Row],[Tech Start Date]],12),IF(Main[[#This Row],[Class]]="A",WORKDAY(Main[[#This Row],[Tech Start Date]],4),""))))</f>
        <v/>
      </c>
      <c r="O461" s="69" t="str">
        <f>IF(Main[[#This Row],[Tech Start Date]]&lt;1/1/1990,"",IF(Main[[#This Row],[Class]]="C",WORKDAY(Main[[#This Row],[Tech Start Date]],23),IF(Main[[#This Row],[Class]]="B", WORKDAY(Main[[#This Row],[Tech Start Date]],15),IF(Main[[#This Row],[Class]]="A",WORKDAY(Main[[#This Row],[Tech Start Date]],5),""))))</f>
        <v/>
      </c>
      <c r="P461" s="69" t="str">
        <f>IF(Main[[#This Row],[Tech Start Date]]&lt;1/1/1990,"",IF(Main[[#This Row],[Class]]="C",WORKDAY(Main[[#This Row],[Tech Start Date]],28),IF(Main[[#This Row],[Class]]="B", WORKDAY(Main[[#This Row],[Tech Start Date]],19),IF(Main[[#This Row],[Class]]="A",WORKDAY(Main[[#This Row],[Tech Start Date]],9),""))))</f>
        <v/>
      </c>
      <c r="Q461" s="67">
        <v>40312</v>
      </c>
      <c r="R461" s="67"/>
      <c r="S461" s="65" t="s">
        <v>6</v>
      </c>
      <c r="T461" s="70" t="s">
        <v>4</v>
      </c>
      <c r="U461" s="65" t="s">
        <v>7</v>
      </c>
      <c r="V461" s="65" t="s">
        <v>1917</v>
      </c>
      <c r="W461" s="65" t="s">
        <v>4</v>
      </c>
      <c r="X461" s="65" t="s">
        <v>102</v>
      </c>
      <c r="Y461" s="65" t="s">
        <v>3017</v>
      </c>
      <c r="Z461" s="65" t="s">
        <v>4</v>
      </c>
      <c r="AA461" s="65" t="s">
        <v>3420</v>
      </c>
    </row>
    <row r="462" spans="1:27" ht="17.45" customHeight="1">
      <c r="A462" s="131" t="str">
        <f>IF(priority(Main[[#This Row],[Comments]])&lt;&gt;0, priority(Main[[#This Row],[Comments]]),"")</f>
        <v/>
      </c>
      <c r="B462" s="99" t="s">
        <v>1299</v>
      </c>
      <c r="C462" s="65" t="s">
        <v>31</v>
      </c>
      <c r="D462" s="66" t="s">
        <v>371</v>
      </c>
      <c r="E462" s="67"/>
      <c r="F462" s="67"/>
      <c r="G462" s="64" t="str">
        <f>IF(stdProdLT(Main[[#This Row],[Comments]])=0.1,"N/A",IF(stdProdLT(Main[[#This Row],[Comments]])=0,"",stdProdLT(Main[[#This Row],[Comments]])))</f>
        <v/>
      </c>
      <c r="H462" s="68" t="str">
        <f>IF(AND(Main[[#This Row],[In Stock Date]]&lt;&gt;"",Main[[#This Row],[Revised Due Date]]&lt;&gt;""),Main[[#This Row],[In Stock Date]]-Main[[#This Row],[Revised Due Date]],"")</f>
        <v/>
      </c>
      <c r="I462" s="65" t="s">
        <v>4</v>
      </c>
      <c r="J462" s="65" t="s">
        <v>4</v>
      </c>
      <c r="K462" s="65" t="s">
        <v>4</v>
      </c>
      <c r="L462" s="67"/>
      <c r="M462" s="69" t="str">
        <f>IF(Main[[#This Row],[Tech Start Date]]&lt;1/1/1990,"",IF(Main[[#This Row],[Class]]="C",WORKDAY(Main[[#This Row],[Tech Start Date]],9),IF(Main[[#This Row],[Class]]="B", WORKDAY(Main[[#This Row],[Tech Start Date]],6),IF(Main[[#This Row],[Class]]="A",WORKDAY(Main[[#This Row],[Tech Start Date]],2),""))))</f>
        <v/>
      </c>
      <c r="N462" s="69" t="str">
        <f>IF(Main[[#This Row],[Tech Start Date]]&lt;1/1/1990,"",IF(Main[[#This Row],[Class]]="C",WORKDAY(Main[[#This Row],[Tech Start Date]],19),IF(Main[[#This Row],[Class]]="B", WORKDAY(Main[[#This Row],[Tech Start Date]],12),IF(Main[[#This Row],[Class]]="A",WORKDAY(Main[[#This Row],[Tech Start Date]],4),""))))</f>
        <v/>
      </c>
      <c r="O462" s="69" t="str">
        <f>IF(Main[[#This Row],[Tech Start Date]]&lt;1/1/1990,"",IF(Main[[#This Row],[Class]]="C",WORKDAY(Main[[#This Row],[Tech Start Date]],23),IF(Main[[#This Row],[Class]]="B", WORKDAY(Main[[#This Row],[Tech Start Date]],15),IF(Main[[#This Row],[Class]]="A",WORKDAY(Main[[#This Row],[Tech Start Date]],5),""))))</f>
        <v/>
      </c>
      <c r="P462" s="69" t="str">
        <f>IF(Main[[#This Row],[Tech Start Date]]&lt;1/1/1990,"",IF(Main[[#This Row],[Class]]="C",WORKDAY(Main[[#This Row],[Tech Start Date]],28),IF(Main[[#This Row],[Class]]="B", WORKDAY(Main[[#This Row],[Tech Start Date]],19),IF(Main[[#This Row],[Class]]="A",WORKDAY(Main[[#This Row],[Tech Start Date]],9),""))))</f>
        <v/>
      </c>
      <c r="Q462" s="67">
        <v>40318</v>
      </c>
      <c r="R462" s="67"/>
      <c r="S462" s="65" t="s">
        <v>11</v>
      </c>
      <c r="T462" s="70" t="s">
        <v>4</v>
      </c>
      <c r="U462" s="65" t="s">
        <v>14</v>
      </c>
      <c r="V462" s="65" t="s">
        <v>1920</v>
      </c>
      <c r="W462" s="65" t="s">
        <v>1919</v>
      </c>
      <c r="X462" s="65" t="s">
        <v>2836</v>
      </c>
      <c r="Y462" s="65" t="s">
        <v>4</v>
      </c>
      <c r="Z462" s="65" t="s">
        <v>4</v>
      </c>
      <c r="AA462" s="65" t="s">
        <v>2836</v>
      </c>
    </row>
    <row r="463" spans="1:27" ht="17.45" customHeight="1">
      <c r="A463" s="131" t="str">
        <f>IF(priority(Main[[#This Row],[Comments]])&lt;&gt;0, priority(Main[[#This Row],[Comments]]),"")</f>
        <v/>
      </c>
      <c r="B463" s="99" t="s">
        <v>1300</v>
      </c>
      <c r="C463" s="65" t="s">
        <v>4</v>
      </c>
      <c r="D463" s="66" t="s">
        <v>372</v>
      </c>
      <c r="E463" s="67">
        <v>40679.255486111113</v>
      </c>
      <c r="F463" s="67"/>
      <c r="G463" s="64" t="str">
        <f>IF(stdProdLT(Main[[#This Row],[Comments]])=0.1,"N/A",IF(stdProdLT(Main[[#This Row],[Comments]])=0,"",stdProdLT(Main[[#This Row],[Comments]])))</f>
        <v/>
      </c>
      <c r="H463" s="68" t="str">
        <f>IF(AND(Main[[#This Row],[In Stock Date]]&lt;&gt;"",Main[[#This Row],[Revised Due Date]]&lt;&gt;""),Main[[#This Row],[In Stock Date]]-Main[[#This Row],[Revised Due Date]],"")</f>
        <v/>
      </c>
      <c r="I463" s="65" t="s">
        <v>4</v>
      </c>
      <c r="J463" s="65" t="s">
        <v>4</v>
      </c>
      <c r="K463" s="65" t="s">
        <v>4</v>
      </c>
      <c r="L463" s="67"/>
      <c r="M463" s="69" t="str">
        <f>IF(Main[[#This Row],[Tech Start Date]]&lt;1/1/1990,"",IF(Main[[#This Row],[Class]]="C",WORKDAY(Main[[#This Row],[Tech Start Date]],9),IF(Main[[#This Row],[Class]]="B", WORKDAY(Main[[#This Row],[Tech Start Date]],6),IF(Main[[#This Row],[Class]]="A",WORKDAY(Main[[#This Row],[Tech Start Date]],2),""))))</f>
        <v/>
      </c>
      <c r="N463" s="69" t="str">
        <f>IF(Main[[#This Row],[Tech Start Date]]&lt;1/1/1990,"",IF(Main[[#This Row],[Class]]="C",WORKDAY(Main[[#This Row],[Tech Start Date]],19),IF(Main[[#This Row],[Class]]="B", WORKDAY(Main[[#This Row],[Tech Start Date]],12),IF(Main[[#This Row],[Class]]="A",WORKDAY(Main[[#This Row],[Tech Start Date]],4),""))))</f>
        <v/>
      </c>
      <c r="O463" s="69" t="str">
        <f>IF(Main[[#This Row],[Tech Start Date]]&lt;1/1/1990,"",IF(Main[[#This Row],[Class]]="C",WORKDAY(Main[[#This Row],[Tech Start Date]],23),IF(Main[[#This Row],[Class]]="B", WORKDAY(Main[[#This Row],[Tech Start Date]],15),IF(Main[[#This Row],[Class]]="A",WORKDAY(Main[[#This Row],[Tech Start Date]],5),""))))</f>
        <v/>
      </c>
      <c r="P463" s="69" t="str">
        <f>IF(Main[[#This Row],[Tech Start Date]]&lt;1/1/1990,"",IF(Main[[#This Row],[Class]]="C",WORKDAY(Main[[#This Row],[Tech Start Date]],28),IF(Main[[#This Row],[Class]]="B", WORKDAY(Main[[#This Row],[Tech Start Date]],19),IF(Main[[#This Row],[Class]]="A",WORKDAY(Main[[#This Row],[Tech Start Date]],9),""))))</f>
        <v/>
      </c>
      <c r="Q463" s="67">
        <v>40724</v>
      </c>
      <c r="R463" s="67"/>
      <c r="S463" s="65" t="s">
        <v>6</v>
      </c>
      <c r="T463" s="70" t="s">
        <v>4</v>
      </c>
      <c r="U463" s="65" t="s">
        <v>7</v>
      </c>
      <c r="V463" s="65" t="s">
        <v>1917</v>
      </c>
      <c r="W463" s="65" t="s">
        <v>4</v>
      </c>
      <c r="X463" s="65" t="s">
        <v>2828</v>
      </c>
      <c r="Y463" s="65" t="s">
        <v>2944</v>
      </c>
      <c r="Z463" s="65" t="s">
        <v>4</v>
      </c>
      <c r="AA463" s="65" t="s">
        <v>2828</v>
      </c>
    </row>
    <row r="464" spans="1:27" ht="17.45" customHeight="1">
      <c r="A464" s="131" t="str">
        <f>IF(priority(Main[[#This Row],[Comments]])&lt;&gt;0, priority(Main[[#This Row],[Comments]]),"")</f>
        <v/>
      </c>
      <c r="B464" s="99" t="s">
        <v>1301</v>
      </c>
      <c r="C464" s="65" t="s">
        <v>4</v>
      </c>
      <c r="D464" s="66" t="s">
        <v>373</v>
      </c>
      <c r="E464" s="67"/>
      <c r="F464" s="67"/>
      <c r="G464" s="64" t="str">
        <f>IF(stdProdLT(Main[[#This Row],[Comments]])=0.1,"N/A",IF(stdProdLT(Main[[#This Row],[Comments]])=0,"",stdProdLT(Main[[#This Row],[Comments]])))</f>
        <v/>
      </c>
      <c r="H464" s="68" t="str">
        <f>IF(AND(Main[[#This Row],[In Stock Date]]&lt;&gt;"",Main[[#This Row],[Revised Due Date]]&lt;&gt;""),Main[[#This Row],[In Stock Date]]-Main[[#This Row],[Revised Due Date]],"")</f>
        <v/>
      </c>
      <c r="I464" s="65" t="s">
        <v>4</v>
      </c>
      <c r="J464" s="65" t="s">
        <v>4</v>
      </c>
      <c r="K464" s="65" t="s">
        <v>4</v>
      </c>
      <c r="L464" s="67"/>
      <c r="M464" s="69" t="str">
        <f>IF(Main[[#This Row],[Tech Start Date]]&lt;1/1/1990,"",IF(Main[[#This Row],[Class]]="C",WORKDAY(Main[[#This Row],[Tech Start Date]],9),IF(Main[[#This Row],[Class]]="B", WORKDAY(Main[[#This Row],[Tech Start Date]],6),IF(Main[[#This Row],[Class]]="A",WORKDAY(Main[[#This Row],[Tech Start Date]],2),""))))</f>
        <v/>
      </c>
      <c r="N464" s="69" t="str">
        <f>IF(Main[[#This Row],[Tech Start Date]]&lt;1/1/1990,"",IF(Main[[#This Row],[Class]]="C",WORKDAY(Main[[#This Row],[Tech Start Date]],19),IF(Main[[#This Row],[Class]]="B", WORKDAY(Main[[#This Row],[Tech Start Date]],12),IF(Main[[#This Row],[Class]]="A",WORKDAY(Main[[#This Row],[Tech Start Date]],4),""))))</f>
        <v/>
      </c>
      <c r="O464" s="69" t="str">
        <f>IF(Main[[#This Row],[Tech Start Date]]&lt;1/1/1990,"",IF(Main[[#This Row],[Class]]="C",WORKDAY(Main[[#This Row],[Tech Start Date]],23),IF(Main[[#This Row],[Class]]="B", WORKDAY(Main[[#This Row],[Tech Start Date]],15),IF(Main[[#This Row],[Class]]="A",WORKDAY(Main[[#This Row],[Tech Start Date]],5),""))))</f>
        <v/>
      </c>
      <c r="P464" s="69" t="str">
        <f>IF(Main[[#This Row],[Tech Start Date]]&lt;1/1/1990,"",IF(Main[[#This Row],[Class]]="C",WORKDAY(Main[[#This Row],[Tech Start Date]],28),IF(Main[[#This Row],[Class]]="B", WORKDAY(Main[[#This Row],[Tech Start Date]],19),IF(Main[[#This Row],[Class]]="A",WORKDAY(Main[[#This Row],[Tech Start Date]],9),""))))</f>
        <v/>
      </c>
      <c r="Q464" s="67"/>
      <c r="R464" s="67"/>
      <c r="S464" s="65" t="s">
        <v>11</v>
      </c>
      <c r="T464" s="70" t="s">
        <v>4</v>
      </c>
      <c r="U464" s="65" t="s">
        <v>14</v>
      </c>
      <c r="V464" s="65" t="s">
        <v>1920</v>
      </c>
      <c r="W464" s="65" t="s">
        <v>1928</v>
      </c>
      <c r="X464" s="65" t="s">
        <v>306</v>
      </c>
      <c r="Y464" s="65" t="s">
        <v>4</v>
      </c>
      <c r="Z464" s="65" t="s">
        <v>4</v>
      </c>
      <c r="AA464" s="65" t="s">
        <v>3408</v>
      </c>
    </row>
    <row r="465" spans="1:27" ht="17.45" customHeight="1">
      <c r="A465" s="131" t="str">
        <f>IF(priority(Main[[#This Row],[Comments]])&lt;&gt;0, priority(Main[[#This Row],[Comments]]),"")</f>
        <v/>
      </c>
      <c r="B465" s="99" t="s">
        <v>1986</v>
      </c>
      <c r="C465" s="65" t="s">
        <v>4</v>
      </c>
      <c r="D465" s="66" t="s">
        <v>1987</v>
      </c>
      <c r="E465" s="67"/>
      <c r="F465" s="67"/>
      <c r="G465" s="64" t="str">
        <f>IF(stdProdLT(Main[[#This Row],[Comments]])=0.1,"N/A",IF(stdProdLT(Main[[#This Row],[Comments]])=0,"",stdProdLT(Main[[#This Row],[Comments]])))</f>
        <v/>
      </c>
      <c r="H465" s="68" t="str">
        <f>IF(AND(Main[[#This Row],[In Stock Date]]&lt;&gt;"",Main[[#This Row],[Revised Due Date]]&lt;&gt;""),Main[[#This Row],[In Stock Date]]-Main[[#This Row],[Revised Due Date]],"")</f>
        <v/>
      </c>
      <c r="I465" s="65" t="s">
        <v>4</v>
      </c>
      <c r="J465" s="65" t="s">
        <v>4</v>
      </c>
      <c r="K465" s="65" t="s">
        <v>4</v>
      </c>
      <c r="L465" s="67"/>
      <c r="M465" s="69" t="str">
        <f>IF(Main[[#This Row],[Tech Start Date]]&lt;1/1/1990,"",IF(Main[[#This Row],[Class]]="C",WORKDAY(Main[[#This Row],[Tech Start Date]],9),IF(Main[[#This Row],[Class]]="B", WORKDAY(Main[[#This Row],[Tech Start Date]],6),IF(Main[[#This Row],[Class]]="A",WORKDAY(Main[[#This Row],[Tech Start Date]],2),""))))</f>
        <v/>
      </c>
      <c r="N465" s="69" t="str">
        <f>IF(Main[[#This Row],[Tech Start Date]]&lt;1/1/1990,"",IF(Main[[#This Row],[Class]]="C",WORKDAY(Main[[#This Row],[Tech Start Date]],19),IF(Main[[#This Row],[Class]]="B", WORKDAY(Main[[#This Row],[Tech Start Date]],12),IF(Main[[#This Row],[Class]]="A",WORKDAY(Main[[#This Row],[Tech Start Date]],4),""))))</f>
        <v/>
      </c>
      <c r="O465" s="69" t="str">
        <f>IF(Main[[#This Row],[Tech Start Date]]&lt;1/1/1990,"",IF(Main[[#This Row],[Class]]="C",WORKDAY(Main[[#This Row],[Tech Start Date]],23),IF(Main[[#This Row],[Class]]="B", WORKDAY(Main[[#This Row],[Tech Start Date]],15),IF(Main[[#This Row],[Class]]="A",WORKDAY(Main[[#This Row],[Tech Start Date]],5),""))))</f>
        <v/>
      </c>
      <c r="P465" s="69" t="str">
        <f>IF(Main[[#This Row],[Tech Start Date]]&lt;1/1/1990,"",IF(Main[[#This Row],[Class]]="C",WORKDAY(Main[[#This Row],[Tech Start Date]],28),IF(Main[[#This Row],[Class]]="B", WORKDAY(Main[[#This Row],[Tech Start Date]],19),IF(Main[[#This Row],[Class]]="A",WORKDAY(Main[[#This Row],[Tech Start Date]],9),""))))</f>
        <v/>
      </c>
      <c r="Q465" s="67"/>
      <c r="R465" s="67"/>
      <c r="S465" s="65" t="s">
        <v>11</v>
      </c>
      <c r="T465" s="70" t="s">
        <v>4</v>
      </c>
      <c r="U465" s="65" t="s">
        <v>12</v>
      </c>
      <c r="V465" s="65" t="s">
        <v>1917</v>
      </c>
      <c r="W465" s="65" t="s">
        <v>1921</v>
      </c>
      <c r="X465" s="65" t="s">
        <v>939</v>
      </c>
      <c r="Y465" s="65" t="s">
        <v>2990</v>
      </c>
      <c r="Z465" s="65" t="s">
        <v>4</v>
      </c>
      <c r="AA465" s="65" t="s">
        <v>939</v>
      </c>
    </row>
    <row r="466" spans="1:27" ht="17.45" customHeight="1">
      <c r="A466" s="131" t="str">
        <f>IF(priority(Main[[#This Row],[Comments]])&lt;&gt;0, priority(Main[[#This Row],[Comments]]),"")</f>
        <v/>
      </c>
      <c r="B466" s="99" t="s">
        <v>1303</v>
      </c>
      <c r="C466" s="65" t="s">
        <v>4</v>
      </c>
      <c r="D466" s="66" t="s">
        <v>97</v>
      </c>
      <c r="E466" s="67"/>
      <c r="F466" s="67"/>
      <c r="G466" s="64" t="str">
        <f>IF(stdProdLT(Main[[#This Row],[Comments]])=0.1,"N/A",IF(stdProdLT(Main[[#This Row],[Comments]])=0,"",stdProdLT(Main[[#This Row],[Comments]])))</f>
        <v/>
      </c>
      <c r="H466" s="68" t="str">
        <f>IF(AND(Main[[#This Row],[In Stock Date]]&lt;&gt;"",Main[[#This Row],[Revised Due Date]]&lt;&gt;""),Main[[#This Row],[In Stock Date]]-Main[[#This Row],[Revised Due Date]],"")</f>
        <v/>
      </c>
      <c r="I466" s="65" t="s">
        <v>4</v>
      </c>
      <c r="J466" s="65" t="s">
        <v>4</v>
      </c>
      <c r="K466" s="65" t="s">
        <v>4</v>
      </c>
      <c r="L466" s="67"/>
      <c r="M466" s="69" t="str">
        <f>IF(Main[[#This Row],[Tech Start Date]]&lt;1/1/1990,"",IF(Main[[#This Row],[Class]]="C",WORKDAY(Main[[#This Row],[Tech Start Date]],9),IF(Main[[#This Row],[Class]]="B", WORKDAY(Main[[#This Row],[Tech Start Date]],6),IF(Main[[#This Row],[Class]]="A",WORKDAY(Main[[#This Row],[Tech Start Date]],2),""))))</f>
        <v/>
      </c>
      <c r="N466" s="69" t="str">
        <f>IF(Main[[#This Row],[Tech Start Date]]&lt;1/1/1990,"",IF(Main[[#This Row],[Class]]="C",WORKDAY(Main[[#This Row],[Tech Start Date]],19),IF(Main[[#This Row],[Class]]="B", WORKDAY(Main[[#This Row],[Tech Start Date]],12),IF(Main[[#This Row],[Class]]="A",WORKDAY(Main[[#This Row],[Tech Start Date]],4),""))))</f>
        <v/>
      </c>
      <c r="O466" s="69" t="str">
        <f>IF(Main[[#This Row],[Tech Start Date]]&lt;1/1/1990,"",IF(Main[[#This Row],[Class]]="C",WORKDAY(Main[[#This Row],[Tech Start Date]],23),IF(Main[[#This Row],[Class]]="B", WORKDAY(Main[[#This Row],[Tech Start Date]],15),IF(Main[[#This Row],[Class]]="A",WORKDAY(Main[[#This Row],[Tech Start Date]],5),""))))</f>
        <v/>
      </c>
      <c r="P466" s="69" t="str">
        <f>IF(Main[[#This Row],[Tech Start Date]]&lt;1/1/1990,"",IF(Main[[#This Row],[Class]]="C",WORKDAY(Main[[#This Row],[Tech Start Date]],28),IF(Main[[#This Row],[Class]]="B", WORKDAY(Main[[#This Row],[Tech Start Date]],19),IF(Main[[#This Row],[Class]]="A",WORKDAY(Main[[#This Row],[Tech Start Date]],9),""))))</f>
        <v/>
      </c>
      <c r="Q466" s="67">
        <v>40858</v>
      </c>
      <c r="R466" s="67"/>
      <c r="S466" s="65" t="s">
        <v>17</v>
      </c>
      <c r="T466" s="70" t="s">
        <v>4</v>
      </c>
      <c r="U466" s="65" t="s">
        <v>14</v>
      </c>
      <c r="V466" s="65" t="s">
        <v>1917</v>
      </c>
      <c r="W466" s="65" t="s">
        <v>1922</v>
      </c>
      <c r="X466" s="65" t="s">
        <v>50</v>
      </c>
      <c r="Y466" s="65" t="s">
        <v>2965</v>
      </c>
      <c r="Z466" s="65" t="s">
        <v>4</v>
      </c>
      <c r="AA466" s="65" t="s">
        <v>2834</v>
      </c>
    </row>
    <row r="467" spans="1:27" ht="17.45" customHeight="1">
      <c r="A467" s="131" t="str">
        <f>IF(priority(Main[[#This Row],[Comments]])&lt;&gt;0, priority(Main[[#This Row],[Comments]]),"")</f>
        <v/>
      </c>
      <c r="B467" s="99" t="s">
        <v>1304</v>
      </c>
      <c r="C467" s="65" t="s">
        <v>95</v>
      </c>
      <c r="D467" s="66" t="s">
        <v>375</v>
      </c>
      <c r="E467" s="67"/>
      <c r="F467" s="67">
        <v>40195</v>
      </c>
      <c r="G467" s="64" t="str">
        <f>IF(stdProdLT(Main[[#This Row],[Comments]])=0.1,"N/A",IF(stdProdLT(Main[[#This Row],[Comments]])=0,"",stdProdLT(Main[[#This Row],[Comments]])))</f>
        <v/>
      </c>
      <c r="H467" s="68" t="str">
        <f>IF(AND(Main[[#This Row],[In Stock Date]]&lt;&gt;"",Main[[#This Row],[Revised Due Date]]&lt;&gt;""),Main[[#This Row],[In Stock Date]]-Main[[#This Row],[Revised Due Date]],"")</f>
        <v/>
      </c>
      <c r="I467" s="65" t="s">
        <v>4</v>
      </c>
      <c r="J467" s="65" t="s">
        <v>4</v>
      </c>
      <c r="K467" s="65" t="s">
        <v>4</v>
      </c>
      <c r="L467" s="67"/>
      <c r="M467" s="69" t="str">
        <f>IF(Main[[#This Row],[Tech Start Date]]&lt;1/1/1990,"",IF(Main[[#This Row],[Class]]="C",WORKDAY(Main[[#This Row],[Tech Start Date]],9),IF(Main[[#This Row],[Class]]="B", WORKDAY(Main[[#This Row],[Tech Start Date]],6),IF(Main[[#This Row],[Class]]="A",WORKDAY(Main[[#This Row],[Tech Start Date]],2),""))))</f>
        <v/>
      </c>
      <c r="N467" s="69" t="str">
        <f>IF(Main[[#This Row],[Tech Start Date]]&lt;1/1/1990,"",IF(Main[[#This Row],[Class]]="C",WORKDAY(Main[[#This Row],[Tech Start Date]],19),IF(Main[[#This Row],[Class]]="B", WORKDAY(Main[[#This Row],[Tech Start Date]],12),IF(Main[[#This Row],[Class]]="A",WORKDAY(Main[[#This Row],[Tech Start Date]],4),""))))</f>
        <v/>
      </c>
      <c r="O467" s="69" t="str">
        <f>IF(Main[[#This Row],[Tech Start Date]]&lt;1/1/1990,"",IF(Main[[#This Row],[Class]]="C",WORKDAY(Main[[#This Row],[Tech Start Date]],23),IF(Main[[#This Row],[Class]]="B", WORKDAY(Main[[#This Row],[Tech Start Date]],15),IF(Main[[#This Row],[Class]]="A",WORKDAY(Main[[#This Row],[Tech Start Date]],5),""))))</f>
        <v/>
      </c>
      <c r="P467" s="69" t="str">
        <f>IF(Main[[#This Row],[Tech Start Date]]&lt;1/1/1990,"",IF(Main[[#This Row],[Class]]="C",WORKDAY(Main[[#This Row],[Tech Start Date]],28),IF(Main[[#This Row],[Class]]="B", WORKDAY(Main[[#This Row],[Tech Start Date]],19),IF(Main[[#This Row],[Class]]="A",WORKDAY(Main[[#This Row],[Tech Start Date]],9),""))))</f>
        <v/>
      </c>
      <c r="Q467" s="67">
        <v>40070</v>
      </c>
      <c r="R467" s="67"/>
      <c r="S467" s="65" t="s">
        <v>11</v>
      </c>
      <c r="T467" s="70" t="s">
        <v>4</v>
      </c>
      <c r="U467" s="65" t="s">
        <v>14</v>
      </c>
      <c r="V467" s="65" t="s">
        <v>1920</v>
      </c>
      <c r="W467" s="65" t="s">
        <v>1923</v>
      </c>
      <c r="X467" s="65" t="s">
        <v>2882</v>
      </c>
      <c r="Y467" s="65" t="s">
        <v>4</v>
      </c>
      <c r="Z467" s="65" t="s">
        <v>4</v>
      </c>
      <c r="AA467" s="65" t="s">
        <v>3418</v>
      </c>
    </row>
    <row r="468" spans="1:27" ht="17.45" customHeight="1">
      <c r="A468" s="131" t="str">
        <f>IF(priority(Main[[#This Row],[Comments]])&lt;&gt;0, priority(Main[[#This Row],[Comments]]),"")</f>
        <v/>
      </c>
      <c r="B468" s="99" t="s">
        <v>1829</v>
      </c>
      <c r="C468" s="65" t="s">
        <v>4</v>
      </c>
      <c r="D468" s="66" t="s">
        <v>880</v>
      </c>
      <c r="E468" s="67">
        <v>40122.528101851851</v>
      </c>
      <c r="F468" s="67"/>
      <c r="G468" s="64" t="str">
        <f>IF(stdProdLT(Main[[#This Row],[Comments]])=0.1,"N/A",IF(stdProdLT(Main[[#This Row],[Comments]])=0,"",stdProdLT(Main[[#This Row],[Comments]])))</f>
        <v/>
      </c>
      <c r="H468" s="68" t="str">
        <f>IF(AND(Main[[#This Row],[In Stock Date]]&lt;&gt;"",Main[[#This Row],[Revised Due Date]]&lt;&gt;""),Main[[#This Row],[In Stock Date]]-Main[[#This Row],[Revised Due Date]],"")</f>
        <v/>
      </c>
      <c r="I468" s="65" t="s">
        <v>4</v>
      </c>
      <c r="J468" s="65" t="s">
        <v>4</v>
      </c>
      <c r="K468" s="65" t="s">
        <v>4</v>
      </c>
      <c r="L468" s="67"/>
      <c r="M468" s="69" t="str">
        <f>IF(Main[[#This Row],[Tech Start Date]]&lt;1/1/1990,"",IF(Main[[#This Row],[Class]]="C",WORKDAY(Main[[#This Row],[Tech Start Date]],9),IF(Main[[#This Row],[Class]]="B", WORKDAY(Main[[#This Row],[Tech Start Date]],6),IF(Main[[#This Row],[Class]]="A",WORKDAY(Main[[#This Row],[Tech Start Date]],2),""))))</f>
        <v/>
      </c>
      <c r="N468" s="69" t="str">
        <f>IF(Main[[#This Row],[Tech Start Date]]&lt;1/1/1990,"",IF(Main[[#This Row],[Class]]="C",WORKDAY(Main[[#This Row],[Tech Start Date]],19),IF(Main[[#This Row],[Class]]="B", WORKDAY(Main[[#This Row],[Tech Start Date]],12),IF(Main[[#This Row],[Class]]="A",WORKDAY(Main[[#This Row],[Tech Start Date]],4),""))))</f>
        <v/>
      </c>
      <c r="O468" s="69" t="str">
        <f>IF(Main[[#This Row],[Tech Start Date]]&lt;1/1/1990,"",IF(Main[[#This Row],[Class]]="C",WORKDAY(Main[[#This Row],[Tech Start Date]],23),IF(Main[[#This Row],[Class]]="B", WORKDAY(Main[[#This Row],[Tech Start Date]],15),IF(Main[[#This Row],[Class]]="A",WORKDAY(Main[[#This Row],[Tech Start Date]],5),""))))</f>
        <v/>
      </c>
      <c r="P468" s="69" t="str">
        <f>IF(Main[[#This Row],[Tech Start Date]]&lt;1/1/1990,"",IF(Main[[#This Row],[Class]]="C",WORKDAY(Main[[#This Row],[Tech Start Date]],28),IF(Main[[#This Row],[Class]]="B", WORKDAY(Main[[#This Row],[Tech Start Date]],19),IF(Main[[#This Row],[Class]]="A",WORKDAY(Main[[#This Row],[Tech Start Date]],9),""))))</f>
        <v/>
      </c>
      <c r="Q468" s="67"/>
      <c r="R468" s="67">
        <v>40368</v>
      </c>
      <c r="S468" s="65" t="s">
        <v>17</v>
      </c>
      <c r="T468" s="70" t="s">
        <v>4</v>
      </c>
      <c r="U468" s="65" t="s">
        <v>29</v>
      </c>
      <c r="V468" s="65" t="s">
        <v>1918</v>
      </c>
      <c r="W468" s="65" t="s">
        <v>1922</v>
      </c>
      <c r="X468" s="65" t="s">
        <v>2868</v>
      </c>
      <c r="Y468" s="65" t="s">
        <v>3012</v>
      </c>
      <c r="Z468" s="65" t="s">
        <v>4</v>
      </c>
      <c r="AA468" s="65" t="s">
        <v>2868</v>
      </c>
    </row>
    <row r="469" spans="1:27" ht="17.45" customHeight="1">
      <c r="A469" s="131" t="str">
        <f>IF(priority(Main[[#This Row],[Comments]])&lt;&gt;0, priority(Main[[#This Row],[Comments]]),"")</f>
        <v/>
      </c>
      <c r="B469" s="99" t="s">
        <v>1855</v>
      </c>
      <c r="C469" s="65" t="s">
        <v>67</v>
      </c>
      <c r="D469" s="66" t="s">
        <v>910</v>
      </c>
      <c r="E469" s="67">
        <v>39981.49927083333</v>
      </c>
      <c r="F469" s="67"/>
      <c r="G469" s="64" t="str">
        <f>IF(stdProdLT(Main[[#This Row],[Comments]])=0.1,"N/A",IF(stdProdLT(Main[[#This Row],[Comments]])=0,"",stdProdLT(Main[[#This Row],[Comments]])))</f>
        <v/>
      </c>
      <c r="H469" s="68" t="str">
        <f>IF(AND(Main[[#This Row],[In Stock Date]]&lt;&gt;"",Main[[#This Row],[Revised Due Date]]&lt;&gt;""),Main[[#This Row],[In Stock Date]]-Main[[#This Row],[Revised Due Date]],"")</f>
        <v/>
      </c>
      <c r="I469" s="65" t="s">
        <v>976</v>
      </c>
      <c r="J469" s="65" t="s">
        <v>4</v>
      </c>
      <c r="K469" s="65" t="s">
        <v>1929</v>
      </c>
      <c r="L469" s="67"/>
      <c r="M469" s="69" t="str">
        <f>IF(Main[[#This Row],[Tech Start Date]]&lt;1/1/1990,"",IF(Main[[#This Row],[Class]]="C",WORKDAY(Main[[#This Row],[Tech Start Date]],9),IF(Main[[#This Row],[Class]]="B", WORKDAY(Main[[#This Row],[Tech Start Date]],6),IF(Main[[#This Row],[Class]]="A",WORKDAY(Main[[#This Row],[Tech Start Date]],2),""))))</f>
        <v/>
      </c>
      <c r="N469" s="69" t="str">
        <f>IF(Main[[#This Row],[Tech Start Date]]&lt;1/1/1990,"",IF(Main[[#This Row],[Class]]="C",WORKDAY(Main[[#This Row],[Tech Start Date]],19),IF(Main[[#This Row],[Class]]="B", WORKDAY(Main[[#This Row],[Tech Start Date]],12),IF(Main[[#This Row],[Class]]="A",WORKDAY(Main[[#This Row],[Tech Start Date]],4),""))))</f>
        <v/>
      </c>
      <c r="O469" s="69" t="str">
        <f>IF(Main[[#This Row],[Tech Start Date]]&lt;1/1/1990,"",IF(Main[[#This Row],[Class]]="C",WORKDAY(Main[[#This Row],[Tech Start Date]],23),IF(Main[[#This Row],[Class]]="B", WORKDAY(Main[[#This Row],[Tech Start Date]],15),IF(Main[[#This Row],[Class]]="A",WORKDAY(Main[[#This Row],[Tech Start Date]],5),""))))</f>
        <v/>
      </c>
      <c r="P469" s="69" t="str">
        <f>IF(Main[[#This Row],[Tech Start Date]]&lt;1/1/1990,"",IF(Main[[#This Row],[Class]]="C",WORKDAY(Main[[#This Row],[Tech Start Date]],28),IF(Main[[#This Row],[Class]]="B", WORKDAY(Main[[#This Row],[Tech Start Date]],19),IF(Main[[#This Row],[Class]]="A",WORKDAY(Main[[#This Row],[Tech Start Date]],9),""))))</f>
        <v/>
      </c>
      <c r="Q469" s="67">
        <v>40057</v>
      </c>
      <c r="R469" s="67">
        <v>40908</v>
      </c>
      <c r="S469" s="65" t="s">
        <v>17</v>
      </c>
      <c r="T469" s="70" t="s">
        <v>4</v>
      </c>
      <c r="U469" s="65" t="s">
        <v>29</v>
      </c>
      <c r="V469" s="65" t="s">
        <v>1920</v>
      </c>
      <c r="W469" s="65" t="s">
        <v>1922</v>
      </c>
      <c r="X469" s="65" t="s">
        <v>2826</v>
      </c>
      <c r="Y469" s="65" t="s">
        <v>3034</v>
      </c>
      <c r="Z469" s="65" t="s">
        <v>415</v>
      </c>
      <c r="AA469" s="65" t="s">
        <v>3421</v>
      </c>
    </row>
    <row r="470" spans="1:27" ht="17.45" customHeight="1">
      <c r="A470" s="131" t="str">
        <f>IF(priority(Main[[#This Row],[Comments]])&lt;&gt;0, priority(Main[[#This Row],[Comments]]),"")</f>
        <v/>
      </c>
      <c r="B470" s="99" t="s">
        <v>2082</v>
      </c>
      <c r="C470" s="65" t="s">
        <v>953</v>
      </c>
      <c r="D470" s="66" t="s">
        <v>2083</v>
      </c>
      <c r="E470" s="67"/>
      <c r="F470" s="67">
        <v>40871</v>
      </c>
      <c r="G470" s="64" t="str">
        <f>IF(stdProdLT(Main[[#This Row],[Comments]])=0.1,"N/A",IF(stdProdLT(Main[[#This Row],[Comments]])=0,"",stdProdLT(Main[[#This Row],[Comments]])))</f>
        <v/>
      </c>
      <c r="H470" s="68" t="str">
        <f>IF(AND(Main[[#This Row],[In Stock Date]]&lt;&gt;"",Main[[#This Row],[Revised Due Date]]&lt;&gt;""),Main[[#This Row],[In Stock Date]]-Main[[#This Row],[Revised Due Date]],"")</f>
        <v/>
      </c>
      <c r="I470" s="65" t="s">
        <v>4</v>
      </c>
      <c r="J470" s="65" t="s">
        <v>4</v>
      </c>
      <c r="K470" s="65" t="s">
        <v>4</v>
      </c>
      <c r="L470" s="67"/>
      <c r="M470" s="69" t="str">
        <f>IF(Main[[#This Row],[Tech Start Date]]&lt;1/1/1990,"",IF(Main[[#This Row],[Class]]="C",WORKDAY(Main[[#This Row],[Tech Start Date]],9),IF(Main[[#This Row],[Class]]="B", WORKDAY(Main[[#This Row],[Tech Start Date]],6),IF(Main[[#This Row],[Class]]="A",WORKDAY(Main[[#This Row],[Tech Start Date]],2),""))))</f>
        <v/>
      </c>
      <c r="N470" s="69" t="str">
        <f>IF(Main[[#This Row],[Tech Start Date]]&lt;1/1/1990,"",IF(Main[[#This Row],[Class]]="C",WORKDAY(Main[[#This Row],[Tech Start Date]],19),IF(Main[[#This Row],[Class]]="B", WORKDAY(Main[[#This Row],[Tech Start Date]],12),IF(Main[[#This Row],[Class]]="A",WORKDAY(Main[[#This Row],[Tech Start Date]],4),""))))</f>
        <v/>
      </c>
      <c r="O470" s="69" t="str">
        <f>IF(Main[[#This Row],[Tech Start Date]]&lt;1/1/1990,"",IF(Main[[#This Row],[Class]]="C",WORKDAY(Main[[#This Row],[Tech Start Date]],23),IF(Main[[#This Row],[Class]]="B", WORKDAY(Main[[#This Row],[Tech Start Date]],15),IF(Main[[#This Row],[Class]]="A",WORKDAY(Main[[#This Row],[Tech Start Date]],5),""))))</f>
        <v/>
      </c>
      <c r="P470" s="69" t="str">
        <f>IF(Main[[#This Row],[Tech Start Date]]&lt;1/1/1990,"",IF(Main[[#This Row],[Class]]="C",WORKDAY(Main[[#This Row],[Tech Start Date]],28),IF(Main[[#This Row],[Class]]="B", WORKDAY(Main[[#This Row],[Tech Start Date]],19),IF(Main[[#This Row],[Class]]="A",WORKDAY(Main[[#This Row],[Tech Start Date]],9),""))))</f>
        <v/>
      </c>
      <c r="Q470" s="67"/>
      <c r="R470" s="67"/>
      <c r="S470" s="65" t="s">
        <v>11</v>
      </c>
      <c r="T470" s="70" t="s">
        <v>4</v>
      </c>
      <c r="U470" s="65" t="s">
        <v>14</v>
      </c>
      <c r="V470" s="65" t="s">
        <v>1920</v>
      </c>
      <c r="W470" s="65" t="s">
        <v>1925</v>
      </c>
      <c r="X470" s="65" t="s">
        <v>50</v>
      </c>
      <c r="Y470" s="65" t="s">
        <v>2967</v>
      </c>
      <c r="Z470" s="65" t="s">
        <v>4</v>
      </c>
      <c r="AA470" s="65" t="s">
        <v>50</v>
      </c>
    </row>
    <row r="471" spans="1:27" ht="17.45" customHeight="1">
      <c r="A471" s="131" t="str">
        <f>IF(priority(Main[[#This Row],[Comments]])&lt;&gt;0, priority(Main[[#This Row],[Comments]]),"")</f>
        <v/>
      </c>
      <c r="B471" s="99" t="s">
        <v>1305</v>
      </c>
      <c r="C471" s="65" t="s">
        <v>376</v>
      </c>
      <c r="D471" s="66" t="s">
        <v>377</v>
      </c>
      <c r="E471" s="67">
        <v>39952.325474537036</v>
      </c>
      <c r="F471" s="67"/>
      <c r="G471" s="64" t="str">
        <f>IF(stdProdLT(Main[[#This Row],[Comments]])=0.1,"N/A",IF(stdProdLT(Main[[#This Row],[Comments]])=0,"",stdProdLT(Main[[#This Row],[Comments]])))</f>
        <v/>
      </c>
      <c r="H471" s="68" t="str">
        <f>IF(AND(Main[[#This Row],[In Stock Date]]&lt;&gt;"",Main[[#This Row],[Revised Due Date]]&lt;&gt;""),Main[[#This Row],[In Stock Date]]-Main[[#This Row],[Revised Due Date]],"")</f>
        <v/>
      </c>
      <c r="I471" s="65" t="s">
        <v>4</v>
      </c>
      <c r="J471" s="65" t="s">
        <v>4</v>
      </c>
      <c r="K471" s="65" t="s">
        <v>4</v>
      </c>
      <c r="L471" s="67"/>
      <c r="M471" s="69" t="str">
        <f>IF(Main[[#This Row],[Tech Start Date]]&lt;1/1/1990,"",IF(Main[[#This Row],[Class]]="C",WORKDAY(Main[[#This Row],[Tech Start Date]],9),IF(Main[[#This Row],[Class]]="B", WORKDAY(Main[[#This Row],[Tech Start Date]],6),IF(Main[[#This Row],[Class]]="A",WORKDAY(Main[[#This Row],[Tech Start Date]],2),""))))</f>
        <v/>
      </c>
      <c r="N471" s="69" t="str">
        <f>IF(Main[[#This Row],[Tech Start Date]]&lt;1/1/1990,"",IF(Main[[#This Row],[Class]]="C",WORKDAY(Main[[#This Row],[Tech Start Date]],19),IF(Main[[#This Row],[Class]]="B", WORKDAY(Main[[#This Row],[Tech Start Date]],12),IF(Main[[#This Row],[Class]]="A",WORKDAY(Main[[#This Row],[Tech Start Date]],4),""))))</f>
        <v/>
      </c>
      <c r="O471" s="69" t="str">
        <f>IF(Main[[#This Row],[Tech Start Date]]&lt;1/1/1990,"",IF(Main[[#This Row],[Class]]="C",WORKDAY(Main[[#This Row],[Tech Start Date]],23),IF(Main[[#This Row],[Class]]="B", WORKDAY(Main[[#This Row],[Tech Start Date]],15),IF(Main[[#This Row],[Class]]="A",WORKDAY(Main[[#This Row],[Tech Start Date]],5),""))))</f>
        <v/>
      </c>
      <c r="P471" s="69" t="str">
        <f>IF(Main[[#This Row],[Tech Start Date]]&lt;1/1/1990,"",IF(Main[[#This Row],[Class]]="C",WORKDAY(Main[[#This Row],[Tech Start Date]],28),IF(Main[[#This Row],[Class]]="B", WORKDAY(Main[[#This Row],[Tech Start Date]],19),IF(Main[[#This Row],[Class]]="A",WORKDAY(Main[[#This Row],[Tech Start Date]],9),""))))</f>
        <v/>
      </c>
      <c r="Q471" s="67"/>
      <c r="R471" s="67"/>
      <c r="S471" s="65" t="s">
        <v>17</v>
      </c>
      <c r="T471" s="70" t="s">
        <v>4</v>
      </c>
      <c r="U471" s="65" t="s">
        <v>7</v>
      </c>
      <c r="V471" s="65" t="s">
        <v>1920</v>
      </c>
      <c r="W471" s="65" t="s">
        <v>4</v>
      </c>
      <c r="X471" s="65" t="s">
        <v>2886</v>
      </c>
      <c r="Y471" s="65" t="s">
        <v>4</v>
      </c>
      <c r="Z471" s="65" t="s">
        <v>4</v>
      </c>
      <c r="AA471" s="65" t="s">
        <v>2886</v>
      </c>
    </row>
    <row r="472" spans="1:27" ht="17.45" customHeight="1">
      <c r="A472" s="131" t="str">
        <f>IF(priority(Main[[#This Row],[Comments]])&lt;&gt;0, priority(Main[[#This Row],[Comments]]),"")</f>
        <v/>
      </c>
      <c r="B472" s="99" t="s">
        <v>1306</v>
      </c>
      <c r="C472" s="65" t="s">
        <v>378</v>
      </c>
      <c r="D472" s="66" t="s">
        <v>379</v>
      </c>
      <c r="E472" s="67"/>
      <c r="F472" s="67">
        <v>40228</v>
      </c>
      <c r="G472" s="64" t="str">
        <f>IF(stdProdLT(Main[[#This Row],[Comments]])=0.1,"N/A",IF(stdProdLT(Main[[#This Row],[Comments]])=0,"",stdProdLT(Main[[#This Row],[Comments]])))</f>
        <v/>
      </c>
      <c r="H472" s="68" t="str">
        <f>IF(AND(Main[[#This Row],[In Stock Date]]&lt;&gt;"",Main[[#This Row],[Revised Due Date]]&lt;&gt;""),Main[[#This Row],[In Stock Date]]-Main[[#This Row],[Revised Due Date]],"")</f>
        <v/>
      </c>
      <c r="I472" s="65" t="s">
        <v>4</v>
      </c>
      <c r="J472" s="65" t="s">
        <v>4</v>
      </c>
      <c r="K472" s="65" t="s">
        <v>4</v>
      </c>
      <c r="L472" s="67"/>
      <c r="M472" s="69" t="str">
        <f>IF(Main[[#This Row],[Tech Start Date]]&lt;1/1/1990,"",IF(Main[[#This Row],[Class]]="C",WORKDAY(Main[[#This Row],[Tech Start Date]],9),IF(Main[[#This Row],[Class]]="B", WORKDAY(Main[[#This Row],[Tech Start Date]],6),IF(Main[[#This Row],[Class]]="A",WORKDAY(Main[[#This Row],[Tech Start Date]],2),""))))</f>
        <v/>
      </c>
      <c r="N472" s="69" t="str">
        <f>IF(Main[[#This Row],[Tech Start Date]]&lt;1/1/1990,"",IF(Main[[#This Row],[Class]]="C",WORKDAY(Main[[#This Row],[Tech Start Date]],19),IF(Main[[#This Row],[Class]]="B", WORKDAY(Main[[#This Row],[Tech Start Date]],12),IF(Main[[#This Row],[Class]]="A",WORKDAY(Main[[#This Row],[Tech Start Date]],4),""))))</f>
        <v/>
      </c>
      <c r="O472" s="69" t="str">
        <f>IF(Main[[#This Row],[Tech Start Date]]&lt;1/1/1990,"",IF(Main[[#This Row],[Class]]="C",WORKDAY(Main[[#This Row],[Tech Start Date]],23),IF(Main[[#This Row],[Class]]="B", WORKDAY(Main[[#This Row],[Tech Start Date]],15),IF(Main[[#This Row],[Class]]="A",WORKDAY(Main[[#This Row],[Tech Start Date]],5),""))))</f>
        <v/>
      </c>
      <c r="P472" s="69" t="str">
        <f>IF(Main[[#This Row],[Tech Start Date]]&lt;1/1/1990,"",IF(Main[[#This Row],[Class]]="C",WORKDAY(Main[[#This Row],[Tech Start Date]],28),IF(Main[[#This Row],[Class]]="B", WORKDAY(Main[[#This Row],[Tech Start Date]],19),IF(Main[[#This Row],[Class]]="A",WORKDAY(Main[[#This Row],[Tech Start Date]],9),""))))</f>
        <v/>
      </c>
      <c r="Q472" s="67">
        <v>40153</v>
      </c>
      <c r="R472" s="67"/>
      <c r="S472" s="65" t="s">
        <v>11</v>
      </c>
      <c r="T472" s="70" t="s">
        <v>4</v>
      </c>
      <c r="U472" s="65" t="s">
        <v>14</v>
      </c>
      <c r="V472" s="65" t="s">
        <v>1920</v>
      </c>
      <c r="W472" s="65" t="s">
        <v>1925</v>
      </c>
      <c r="X472" s="65" t="s">
        <v>2869</v>
      </c>
      <c r="Y472" s="65" t="s">
        <v>4</v>
      </c>
      <c r="Z472" s="65" t="s">
        <v>4</v>
      </c>
      <c r="AA472" s="65" t="s">
        <v>2869</v>
      </c>
    </row>
    <row r="473" spans="1:27" ht="17.45" customHeight="1">
      <c r="A473" s="131" t="str">
        <f>IF(priority(Main[[#This Row],[Comments]])&lt;&gt;0, priority(Main[[#This Row],[Comments]]),"")</f>
        <v/>
      </c>
      <c r="B473" s="99" t="s">
        <v>1308</v>
      </c>
      <c r="C473" s="65" t="s">
        <v>380</v>
      </c>
      <c r="D473" s="66" t="s">
        <v>381</v>
      </c>
      <c r="E473" s="67"/>
      <c r="F473" s="67"/>
      <c r="G473" s="64" t="str">
        <f>IF(stdProdLT(Main[[#This Row],[Comments]])=0.1,"N/A",IF(stdProdLT(Main[[#This Row],[Comments]])=0,"",stdProdLT(Main[[#This Row],[Comments]])))</f>
        <v/>
      </c>
      <c r="H473" s="68" t="str">
        <f>IF(AND(Main[[#This Row],[In Stock Date]]&lt;&gt;"",Main[[#This Row],[Revised Due Date]]&lt;&gt;""),Main[[#This Row],[In Stock Date]]-Main[[#This Row],[Revised Due Date]],"")</f>
        <v/>
      </c>
      <c r="I473" s="65" t="s">
        <v>4</v>
      </c>
      <c r="J473" s="65" t="s">
        <v>4</v>
      </c>
      <c r="K473" s="65" t="s">
        <v>4</v>
      </c>
      <c r="L473" s="67"/>
      <c r="M473" s="69" t="str">
        <f>IF(Main[[#This Row],[Tech Start Date]]&lt;1/1/1990,"",IF(Main[[#This Row],[Class]]="C",WORKDAY(Main[[#This Row],[Tech Start Date]],9),IF(Main[[#This Row],[Class]]="B", WORKDAY(Main[[#This Row],[Tech Start Date]],6),IF(Main[[#This Row],[Class]]="A",WORKDAY(Main[[#This Row],[Tech Start Date]],2),""))))</f>
        <v/>
      </c>
      <c r="N473" s="69" t="str">
        <f>IF(Main[[#This Row],[Tech Start Date]]&lt;1/1/1990,"",IF(Main[[#This Row],[Class]]="C",WORKDAY(Main[[#This Row],[Tech Start Date]],19),IF(Main[[#This Row],[Class]]="B", WORKDAY(Main[[#This Row],[Tech Start Date]],12),IF(Main[[#This Row],[Class]]="A",WORKDAY(Main[[#This Row],[Tech Start Date]],4),""))))</f>
        <v/>
      </c>
      <c r="O473" s="69" t="str">
        <f>IF(Main[[#This Row],[Tech Start Date]]&lt;1/1/1990,"",IF(Main[[#This Row],[Class]]="C",WORKDAY(Main[[#This Row],[Tech Start Date]],23),IF(Main[[#This Row],[Class]]="B", WORKDAY(Main[[#This Row],[Tech Start Date]],15),IF(Main[[#This Row],[Class]]="A",WORKDAY(Main[[#This Row],[Tech Start Date]],5),""))))</f>
        <v/>
      </c>
      <c r="P473" s="69" t="str">
        <f>IF(Main[[#This Row],[Tech Start Date]]&lt;1/1/1990,"",IF(Main[[#This Row],[Class]]="C",WORKDAY(Main[[#This Row],[Tech Start Date]],28),IF(Main[[#This Row],[Class]]="B", WORKDAY(Main[[#This Row],[Tech Start Date]],19),IF(Main[[#This Row],[Class]]="A",WORKDAY(Main[[#This Row],[Tech Start Date]],9),""))))</f>
        <v/>
      </c>
      <c r="Q473" s="67"/>
      <c r="R473" s="67"/>
      <c r="S473" s="65" t="s">
        <v>11</v>
      </c>
      <c r="T473" s="70" t="s">
        <v>4</v>
      </c>
      <c r="U473" s="65" t="s">
        <v>14</v>
      </c>
      <c r="V473" s="65" t="s">
        <v>1918</v>
      </c>
      <c r="W473" s="65" t="s">
        <v>1925</v>
      </c>
      <c r="X473" s="65" t="s">
        <v>2833</v>
      </c>
      <c r="Y473" s="65" t="s">
        <v>2954</v>
      </c>
      <c r="Z473" s="65" t="s">
        <v>4</v>
      </c>
      <c r="AA473" s="65" t="s">
        <v>2833</v>
      </c>
    </row>
    <row r="474" spans="1:27" ht="17.45" customHeight="1">
      <c r="A474" s="131" t="str">
        <f>IF(priority(Main[[#This Row],[Comments]])&lt;&gt;0, priority(Main[[#This Row],[Comments]]),"")</f>
        <v/>
      </c>
      <c r="B474" s="99" t="s">
        <v>1309</v>
      </c>
      <c r="C474" s="65" t="s">
        <v>382</v>
      </c>
      <c r="D474" s="66" t="s">
        <v>383</v>
      </c>
      <c r="E474" s="67"/>
      <c r="F474" s="67"/>
      <c r="G474" s="64" t="str">
        <f>IF(stdProdLT(Main[[#This Row],[Comments]])=0.1,"N/A",IF(stdProdLT(Main[[#This Row],[Comments]])=0,"",stdProdLT(Main[[#This Row],[Comments]])))</f>
        <v/>
      </c>
      <c r="H474" s="68" t="str">
        <f>IF(AND(Main[[#This Row],[In Stock Date]]&lt;&gt;"",Main[[#This Row],[Revised Due Date]]&lt;&gt;""),Main[[#This Row],[In Stock Date]]-Main[[#This Row],[Revised Due Date]],"")</f>
        <v/>
      </c>
      <c r="I474" s="65" t="s">
        <v>4</v>
      </c>
      <c r="J474" s="65" t="s">
        <v>4</v>
      </c>
      <c r="K474" s="65" t="s">
        <v>4</v>
      </c>
      <c r="L474" s="67"/>
      <c r="M474" s="69" t="str">
        <f>IF(Main[[#This Row],[Tech Start Date]]&lt;1/1/1990,"",IF(Main[[#This Row],[Class]]="C",WORKDAY(Main[[#This Row],[Tech Start Date]],9),IF(Main[[#This Row],[Class]]="B", WORKDAY(Main[[#This Row],[Tech Start Date]],6),IF(Main[[#This Row],[Class]]="A",WORKDAY(Main[[#This Row],[Tech Start Date]],2),""))))</f>
        <v/>
      </c>
      <c r="N474" s="69" t="str">
        <f>IF(Main[[#This Row],[Tech Start Date]]&lt;1/1/1990,"",IF(Main[[#This Row],[Class]]="C",WORKDAY(Main[[#This Row],[Tech Start Date]],19),IF(Main[[#This Row],[Class]]="B", WORKDAY(Main[[#This Row],[Tech Start Date]],12),IF(Main[[#This Row],[Class]]="A",WORKDAY(Main[[#This Row],[Tech Start Date]],4),""))))</f>
        <v/>
      </c>
      <c r="O474" s="69" t="str">
        <f>IF(Main[[#This Row],[Tech Start Date]]&lt;1/1/1990,"",IF(Main[[#This Row],[Class]]="C",WORKDAY(Main[[#This Row],[Tech Start Date]],23),IF(Main[[#This Row],[Class]]="B", WORKDAY(Main[[#This Row],[Tech Start Date]],15),IF(Main[[#This Row],[Class]]="A",WORKDAY(Main[[#This Row],[Tech Start Date]],5),""))))</f>
        <v/>
      </c>
      <c r="P474" s="69" t="str">
        <f>IF(Main[[#This Row],[Tech Start Date]]&lt;1/1/1990,"",IF(Main[[#This Row],[Class]]="C",WORKDAY(Main[[#This Row],[Tech Start Date]],28),IF(Main[[#This Row],[Class]]="B", WORKDAY(Main[[#This Row],[Tech Start Date]],19),IF(Main[[#This Row],[Class]]="A",WORKDAY(Main[[#This Row],[Tech Start Date]],9),""))))</f>
        <v/>
      </c>
      <c r="Q474" s="67"/>
      <c r="R474" s="67"/>
      <c r="S474" s="65" t="s">
        <v>11</v>
      </c>
      <c r="T474" s="70" t="s">
        <v>4</v>
      </c>
      <c r="U474" s="65" t="s">
        <v>14</v>
      </c>
      <c r="V474" s="65" t="s">
        <v>1918</v>
      </c>
      <c r="W474" s="65" t="s">
        <v>1925</v>
      </c>
      <c r="X474" s="65" t="s">
        <v>2833</v>
      </c>
      <c r="Y474" s="65" t="s">
        <v>2954</v>
      </c>
      <c r="Z474" s="65" t="s">
        <v>4</v>
      </c>
      <c r="AA474" s="65" t="s">
        <v>2833</v>
      </c>
    </row>
    <row r="475" spans="1:27" ht="17.45" customHeight="1">
      <c r="A475" s="131" t="str">
        <f>IF(priority(Main[[#This Row],[Comments]])&lt;&gt;0, priority(Main[[#This Row],[Comments]]),"")</f>
        <v/>
      </c>
      <c r="B475" s="99" t="s">
        <v>1331</v>
      </c>
      <c r="C475" s="65" t="s">
        <v>93</v>
      </c>
      <c r="D475" s="66" t="s">
        <v>384</v>
      </c>
      <c r="E475" s="67"/>
      <c r="F475" s="67">
        <v>40299</v>
      </c>
      <c r="G475" s="64" t="str">
        <f>IF(stdProdLT(Main[[#This Row],[Comments]])=0.1,"N/A",IF(stdProdLT(Main[[#This Row],[Comments]])=0,"",stdProdLT(Main[[#This Row],[Comments]])))</f>
        <v/>
      </c>
      <c r="H475" s="68" t="str">
        <f>IF(AND(Main[[#This Row],[In Stock Date]]&lt;&gt;"",Main[[#This Row],[Revised Due Date]]&lt;&gt;""),Main[[#This Row],[In Stock Date]]-Main[[#This Row],[Revised Due Date]],"")</f>
        <v/>
      </c>
      <c r="I475" s="65" t="s">
        <v>4</v>
      </c>
      <c r="J475" s="65" t="s">
        <v>4</v>
      </c>
      <c r="K475" s="65" t="s">
        <v>4</v>
      </c>
      <c r="L475" s="67"/>
      <c r="M475" s="69" t="str">
        <f>IF(Main[[#This Row],[Tech Start Date]]&lt;1/1/1990,"",IF(Main[[#This Row],[Class]]="C",WORKDAY(Main[[#This Row],[Tech Start Date]],9),IF(Main[[#This Row],[Class]]="B", WORKDAY(Main[[#This Row],[Tech Start Date]],6),IF(Main[[#This Row],[Class]]="A",WORKDAY(Main[[#This Row],[Tech Start Date]],2),""))))</f>
        <v/>
      </c>
      <c r="N475" s="69" t="str">
        <f>IF(Main[[#This Row],[Tech Start Date]]&lt;1/1/1990,"",IF(Main[[#This Row],[Class]]="C",WORKDAY(Main[[#This Row],[Tech Start Date]],19),IF(Main[[#This Row],[Class]]="B", WORKDAY(Main[[#This Row],[Tech Start Date]],12),IF(Main[[#This Row],[Class]]="A",WORKDAY(Main[[#This Row],[Tech Start Date]],4),""))))</f>
        <v/>
      </c>
      <c r="O475" s="69" t="str">
        <f>IF(Main[[#This Row],[Tech Start Date]]&lt;1/1/1990,"",IF(Main[[#This Row],[Class]]="C",WORKDAY(Main[[#This Row],[Tech Start Date]],23),IF(Main[[#This Row],[Class]]="B", WORKDAY(Main[[#This Row],[Tech Start Date]],15),IF(Main[[#This Row],[Class]]="A",WORKDAY(Main[[#This Row],[Tech Start Date]],5),""))))</f>
        <v/>
      </c>
      <c r="P475" s="69" t="str">
        <f>IF(Main[[#This Row],[Tech Start Date]]&lt;1/1/1990,"",IF(Main[[#This Row],[Class]]="C",WORKDAY(Main[[#This Row],[Tech Start Date]],28),IF(Main[[#This Row],[Class]]="B", WORKDAY(Main[[#This Row],[Tech Start Date]],19),IF(Main[[#This Row],[Class]]="A",WORKDAY(Main[[#This Row],[Tech Start Date]],9),""))))</f>
        <v/>
      </c>
      <c r="Q475" s="67">
        <v>40209</v>
      </c>
      <c r="R475" s="67"/>
      <c r="S475" s="65" t="s">
        <v>11</v>
      </c>
      <c r="T475" s="70" t="s">
        <v>4</v>
      </c>
      <c r="U475" s="65" t="s">
        <v>14</v>
      </c>
      <c r="V475" s="65" t="s">
        <v>1917</v>
      </c>
      <c r="W475" s="65" t="s">
        <v>1928</v>
      </c>
      <c r="X475" s="65" t="s">
        <v>2851</v>
      </c>
      <c r="Y475" s="65" t="s">
        <v>4</v>
      </c>
      <c r="Z475" s="65" t="s">
        <v>4</v>
      </c>
      <c r="AA475" s="65" t="s">
        <v>2851</v>
      </c>
    </row>
    <row r="476" spans="1:27" ht="17.45" customHeight="1">
      <c r="A476" s="131" t="str">
        <f>IF(priority(Main[[#This Row],[Comments]])&lt;&gt;0, priority(Main[[#This Row],[Comments]]),"")</f>
        <v/>
      </c>
      <c r="B476" s="99" t="s">
        <v>2086</v>
      </c>
      <c r="C476" s="65" t="s">
        <v>4</v>
      </c>
      <c r="D476" s="66" t="s">
        <v>2087</v>
      </c>
      <c r="E476" s="67">
        <v>40763.356041666666</v>
      </c>
      <c r="F476" s="67"/>
      <c r="G476" s="64" t="str">
        <f>IF(stdProdLT(Main[[#This Row],[Comments]])=0.1,"N/A",IF(stdProdLT(Main[[#This Row],[Comments]])=0,"",stdProdLT(Main[[#This Row],[Comments]])))</f>
        <v/>
      </c>
      <c r="H476" s="68" t="str">
        <f>IF(AND(Main[[#This Row],[In Stock Date]]&lt;&gt;"",Main[[#This Row],[Revised Due Date]]&lt;&gt;""),Main[[#This Row],[In Stock Date]]-Main[[#This Row],[Revised Due Date]],"")</f>
        <v/>
      </c>
      <c r="I476" s="65" t="s">
        <v>914</v>
      </c>
      <c r="J476" s="65" t="s">
        <v>52</v>
      </c>
      <c r="K476" s="65" t="s">
        <v>4</v>
      </c>
      <c r="L476" s="67"/>
      <c r="M476" s="69" t="str">
        <f>IF(Main[[#This Row],[Tech Start Date]]&lt;1/1/1990,"",IF(Main[[#This Row],[Class]]="C",WORKDAY(Main[[#This Row],[Tech Start Date]],9),IF(Main[[#This Row],[Class]]="B", WORKDAY(Main[[#This Row],[Tech Start Date]],6),IF(Main[[#This Row],[Class]]="A",WORKDAY(Main[[#This Row],[Tech Start Date]],2),""))))</f>
        <v/>
      </c>
      <c r="N476" s="69" t="str">
        <f>IF(Main[[#This Row],[Tech Start Date]]&lt;1/1/1990,"",IF(Main[[#This Row],[Class]]="C",WORKDAY(Main[[#This Row],[Tech Start Date]],19),IF(Main[[#This Row],[Class]]="B", WORKDAY(Main[[#This Row],[Tech Start Date]],12),IF(Main[[#This Row],[Class]]="A",WORKDAY(Main[[#This Row],[Tech Start Date]],4),""))))</f>
        <v/>
      </c>
      <c r="O476" s="69" t="str">
        <f>IF(Main[[#This Row],[Tech Start Date]]&lt;1/1/1990,"",IF(Main[[#This Row],[Class]]="C",WORKDAY(Main[[#This Row],[Tech Start Date]],23),IF(Main[[#This Row],[Class]]="B", WORKDAY(Main[[#This Row],[Tech Start Date]],15),IF(Main[[#This Row],[Class]]="A",WORKDAY(Main[[#This Row],[Tech Start Date]],5),""))))</f>
        <v/>
      </c>
      <c r="P476" s="69" t="str">
        <f>IF(Main[[#This Row],[Tech Start Date]]&lt;1/1/1990,"",IF(Main[[#This Row],[Class]]="C",WORKDAY(Main[[#This Row],[Tech Start Date]],28),IF(Main[[#This Row],[Class]]="B", WORKDAY(Main[[#This Row],[Tech Start Date]],19),IF(Main[[#This Row],[Class]]="A",WORKDAY(Main[[#This Row],[Tech Start Date]],9),""))))</f>
        <v/>
      </c>
      <c r="Q476" s="67">
        <v>40787</v>
      </c>
      <c r="R476" s="67"/>
      <c r="S476" s="65" t="s">
        <v>6</v>
      </c>
      <c r="T476" s="70" t="s">
        <v>4</v>
      </c>
      <c r="U476" s="65" t="s">
        <v>29</v>
      </c>
      <c r="V476" s="65" t="s">
        <v>1917</v>
      </c>
      <c r="W476" s="65" t="s">
        <v>4</v>
      </c>
      <c r="X476" s="65" t="s">
        <v>2828</v>
      </c>
      <c r="Y476" s="65" t="s">
        <v>2944</v>
      </c>
      <c r="Z476" s="65" t="s">
        <v>129</v>
      </c>
      <c r="AA476" s="65" t="s">
        <v>2828</v>
      </c>
    </row>
    <row r="477" spans="1:27" ht="17.45" customHeight="1">
      <c r="A477" s="131" t="str">
        <f>IF(priority(Main[[#This Row],[Comments]])&lt;&gt;0, priority(Main[[#This Row],[Comments]]),"")</f>
        <v/>
      </c>
      <c r="B477" s="99" t="s">
        <v>1666</v>
      </c>
      <c r="C477" s="65" t="s">
        <v>4</v>
      </c>
      <c r="D477" s="66" t="s">
        <v>727</v>
      </c>
      <c r="E477" s="67"/>
      <c r="F477" s="67"/>
      <c r="G477" s="64" t="str">
        <f>IF(stdProdLT(Main[[#This Row],[Comments]])=0.1,"N/A",IF(stdProdLT(Main[[#This Row],[Comments]])=0,"",stdProdLT(Main[[#This Row],[Comments]])))</f>
        <v/>
      </c>
      <c r="H477" s="68" t="str">
        <f>IF(AND(Main[[#This Row],[In Stock Date]]&lt;&gt;"",Main[[#This Row],[Revised Due Date]]&lt;&gt;""),Main[[#This Row],[In Stock Date]]-Main[[#This Row],[Revised Due Date]],"")</f>
        <v/>
      </c>
      <c r="I477" s="65" t="s">
        <v>896</v>
      </c>
      <c r="J477" s="65" t="s">
        <v>52</v>
      </c>
      <c r="K477" s="71" t="s">
        <v>1926</v>
      </c>
      <c r="L477" s="67"/>
      <c r="M477" s="69" t="str">
        <f>IF(Main[[#This Row],[Tech Start Date]]&lt;1/1/1990,"",IF(Main[[#This Row],[Class]]="C",WORKDAY(Main[[#This Row],[Tech Start Date]],9),IF(Main[[#This Row],[Class]]="B", WORKDAY(Main[[#This Row],[Tech Start Date]],6),IF(Main[[#This Row],[Class]]="A",WORKDAY(Main[[#This Row],[Tech Start Date]],2),""))))</f>
        <v/>
      </c>
      <c r="N477" s="69" t="str">
        <f>IF(Main[[#This Row],[Tech Start Date]]&lt;1/1/1990,"",IF(Main[[#This Row],[Class]]="C",WORKDAY(Main[[#This Row],[Tech Start Date]],19),IF(Main[[#This Row],[Class]]="B", WORKDAY(Main[[#This Row],[Tech Start Date]],12),IF(Main[[#This Row],[Class]]="A",WORKDAY(Main[[#This Row],[Tech Start Date]],4),""))))</f>
        <v/>
      </c>
      <c r="O477" s="69" t="str">
        <f>IF(Main[[#This Row],[Tech Start Date]]&lt;1/1/1990,"",IF(Main[[#This Row],[Class]]="C",WORKDAY(Main[[#This Row],[Tech Start Date]],23),IF(Main[[#This Row],[Class]]="B", WORKDAY(Main[[#This Row],[Tech Start Date]],15),IF(Main[[#This Row],[Class]]="A",WORKDAY(Main[[#This Row],[Tech Start Date]],5),""))))</f>
        <v/>
      </c>
      <c r="P477" s="69" t="str">
        <f>IF(Main[[#This Row],[Tech Start Date]]&lt;1/1/1990,"",IF(Main[[#This Row],[Class]]="C",WORKDAY(Main[[#This Row],[Tech Start Date]],28),IF(Main[[#This Row],[Class]]="B", WORKDAY(Main[[#This Row],[Tech Start Date]],19),IF(Main[[#This Row],[Class]]="A",WORKDAY(Main[[#This Row],[Tech Start Date]],9),""))))</f>
        <v/>
      </c>
      <c r="Q477" s="67">
        <v>40581</v>
      </c>
      <c r="R477" s="67"/>
      <c r="S477" s="65" t="s">
        <v>6</v>
      </c>
      <c r="T477" s="70" t="s">
        <v>4</v>
      </c>
      <c r="U477" s="65" t="s">
        <v>14</v>
      </c>
      <c r="V477" s="65" t="s">
        <v>1920</v>
      </c>
      <c r="W477" s="65" t="s">
        <v>1921</v>
      </c>
      <c r="X477" s="65" t="s">
        <v>2825</v>
      </c>
      <c r="Y477" s="65" t="s">
        <v>2938</v>
      </c>
      <c r="Z477" s="65" t="s">
        <v>44</v>
      </c>
      <c r="AA477" s="65" t="s">
        <v>2825</v>
      </c>
    </row>
    <row r="478" spans="1:27" ht="17.45" customHeight="1">
      <c r="A478" s="131" t="str">
        <f>IF(priority(Main[[#This Row],[Comments]])&lt;&gt;0, priority(Main[[#This Row],[Comments]]),"")</f>
        <v/>
      </c>
      <c r="B478" s="99" t="s">
        <v>1332</v>
      </c>
      <c r="C478" s="65" t="s">
        <v>31</v>
      </c>
      <c r="D478" s="66" t="s">
        <v>385</v>
      </c>
      <c r="E478" s="67"/>
      <c r="F478" s="67"/>
      <c r="G478" s="64" t="str">
        <f>IF(stdProdLT(Main[[#This Row],[Comments]])=0.1,"N/A",IF(stdProdLT(Main[[#This Row],[Comments]])=0,"",stdProdLT(Main[[#This Row],[Comments]])))</f>
        <v/>
      </c>
      <c r="H478" s="68" t="str">
        <f>IF(AND(Main[[#This Row],[In Stock Date]]&lt;&gt;"",Main[[#This Row],[Revised Due Date]]&lt;&gt;""),Main[[#This Row],[In Stock Date]]-Main[[#This Row],[Revised Due Date]],"")</f>
        <v/>
      </c>
      <c r="I478" s="65" t="s">
        <v>4</v>
      </c>
      <c r="J478" s="65" t="s">
        <v>4</v>
      </c>
      <c r="K478" s="71" t="s">
        <v>4</v>
      </c>
      <c r="L478" s="67"/>
      <c r="M478" s="69" t="str">
        <f>IF(Main[[#This Row],[Tech Start Date]]&lt;1/1/1990,"",IF(Main[[#This Row],[Class]]="C",WORKDAY(Main[[#This Row],[Tech Start Date]],9),IF(Main[[#This Row],[Class]]="B", WORKDAY(Main[[#This Row],[Tech Start Date]],6),IF(Main[[#This Row],[Class]]="A",WORKDAY(Main[[#This Row],[Tech Start Date]],2),""))))</f>
        <v/>
      </c>
      <c r="N478" s="69" t="str">
        <f>IF(Main[[#This Row],[Tech Start Date]]&lt;1/1/1990,"",IF(Main[[#This Row],[Class]]="C",WORKDAY(Main[[#This Row],[Tech Start Date]],19),IF(Main[[#This Row],[Class]]="B", WORKDAY(Main[[#This Row],[Tech Start Date]],12),IF(Main[[#This Row],[Class]]="A",WORKDAY(Main[[#This Row],[Tech Start Date]],4),""))))</f>
        <v/>
      </c>
      <c r="O478" s="69" t="str">
        <f>IF(Main[[#This Row],[Tech Start Date]]&lt;1/1/1990,"",IF(Main[[#This Row],[Class]]="C",WORKDAY(Main[[#This Row],[Tech Start Date]],23),IF(Main[[#This Row],[Class]]="B", WORKDAY(Main[[#This Row],[Tech Start Date]],15),IF(Main[[#This Row],[Class]]="A",WORKDAY(Main[[#This Row],[Tech Start Date]],5),""))))</f>
        <v/>
      </c>
      <c r="P478" s="69" t="str">
        <f>IF(Main[[#This Row],[Tech Start Date]]&lt;1/1/1990,"",IF(Main[[#This Row],[Class]]="C",WORKDAY(Main[[#This Row],[Tech Start Date]],28),IF(Main[[#This Row],[Class]]="B", WORKDAY(Main[[#This Row],[Tech Start Date]],19),IF(Main[[#This Row],[Class]]="A",WORKDAY(Main[[#This Row],[Tech Start Date]],9),""))))</f>
        <v/>
      </c>
      <c r="Q478" s="67">
        <v>40318</v>
      </c>
      <c r="R478" s="67"/>
      <c r="S478" s="65" t="s">
        <v>11</v>
      </c>
      <c r="T478" s="70" t="s">
        <v>4</v>
      </c>
      <c r="U478" s="65" t="s">
        <v>14</v>
      </c>
      <c r="V478" s="65" t="s">
        <v>1920</v>
      </c>
      <c r="W478" s="65" t="s">
        <v>1919</v>
      </c>
      <c r="X478" s="65" t="s">
        <v>2836</v>
      </c>
      <c r="Y478" s="65" t="s">
        <v>4</v>
      </c>
      <c r="Z478" s="65" t="s">
        <v>4</v>
      </c>
      <c r="AA478" s="65" t="s">
        <v>2836</v>
      </c>
    </row>
    <row r="479" spans="1:27" ht="17.45" customHeight="1">
      <c r="A479" s="131" t="str">
        <f>IF(priority(Main[[#This Row],[Comments]])&lt;&gt;0, priority(Main[[#This Row],[Comments]]),"")</f>
        <v/>
      </c>
      <c r="B479" s="99" t="s">
        <v>1333</v>
      </c>
      <c r="C479" s="65" t="s">
        <v>31</v>
      </c>
      <c r="D479" s="66" t="s">
        <v>386</v>
      </c>
      <c r="E479" s="67"/>
      <c r="F479" s="67"/>
      <c r="G479" s="64" t="str">
        <f>IF(stdProdLT(Main[[#This Row],[Comments]])=0.1,"N/A",IF(stdProdLT(Main[[#This Row],[Comments]])=0,"",stdProdLT(Main[[#This Row],[Comments]])))</f>
        <v/>
      </c>
      <c r="H479" s="68" t="str">
        <f>IF(AND(Main[[#This Row],[In Stock Date]]&lt;&gt;"",Main[[#This Row],[Revised Due Date]]&lt;&gt;""),Main[[#This Row],[In Stock Date]]-Main[[#This Row],[Revised Due Date]],"")</f>
        <v/>
      </c>
      <c r="I479" s="65" t="s">
        <v>4</v>
      </c>
      <c r="J479" s="65" t="s">
        <v>4</v>
      </c>
      <c r="K479" s="65" t="s">
        <v>4</v>
      </c>
      <c r="L479" s="67"/>
      <c r="M479" s="69" t="str">
        <f>IF(Main[[#This Row],[Tech Start Date]]&lt;1/1/1990,"",IF(Main[[#This Row],[Class]]="C",WORKDAY(Main[[#This Row],[Tech Start Date]],9),IF(Main[[#This Row],[Class]]="B", WORKDAY(Main[[#This Row],[Tech Start Date]],6),IF(Main[[#This Row],[Class]]="A",WORKDAY(Main[[#This Row],[Tech Start Date]],2),""))))</f>
        <v/>
      </c>
      <c r="N479" s="69" t="str">
        <f>IF(Main[[#This Row],[Tech Start Date]]&lt;1/1/1990,"",IF(Main[[#This Row],[Class]]="C",WORKDAY(Main[[#This Row],[Tech Start Date]],19),IF(Main[[#This Row],[Class]]="B", WORKDAY(Main[[#This Row],[Tech Start Date]],12),IF(Main[[#This Row],[Class]]="A",WORKDAY(Main[[#This Row],[Tech Start Date]],4),""))))</f>
        <v/>
      </c>
      <c r="O479" s="69" t="str">
        <f>IF(Main[[#This Row],[Tech Start Date]]&lt;1/1/1990,"",IF(Main[[#This Row],[Class]]="C",WORKDAY(Main[[#This Row],[Tech Start Date]],23),IF(Main[[#This Row],[Class]]="B", WORKDAY(Main[[#This Row],[Tech Start Date]],15),IF(Main[[#This Row],[Class]]="A",WORKDAY(Main[[#This Row],[Tech Start Date]],5),""))))</f>
        <v/>
      </c>
      <c r="P479" s="69" t="str">
        <f>IF(Main[[#This Row],[Tech Start Date]]&lt;1/1/1990,"",IF(Main[[#This Row],[Class]]="C",WORKDAY(Main[[#This Row],[Tech Start Date]],28),IF(Main[[#This Row],[Class]]="B", WORKDAY(Main[[#This Row],[Tech Start Date]],19),IF(Main[[#This Row],[Class]]="A",WORKDAY(Main[[#This Row],[Tech Start Date]],9),""))))</f>
        <v/>
      </c>
      <c r="Q479" s="67">
        <v>40318</v>
      </c>
      <c r="R479" s="67"/>
      <c r="S479" s="65" t="s">
        <v>11</v>
      </c>
      <c r="T479" s="70" t="s">
        <v>4</v>
      </c>
      <c r="U479" s="65" t="s">
        <v>14</v>
      </c>
      <c r="V479" s="65" t="s">
        <v>1927</v>
      </c>
      <c r="W479" s="65" t="s">
        <v>1928</v>
      </c>
      <c r="X479" s="65" t="s">
        <v>2836</v>
      </c>
      <c r="Y479" s="65" t="s">
        <v>4</v>
      </c>
      <c r="Z479" s="65" t="s">
        <v>4</v>
      </c>
      <c r="AA479" s="65" t="s">
        <v>2836</v>
      </c>
    </row>
    <row r="480" spans="1:27" ht="17.45" customHeight="1">
      <c r="A480" s="131" t="str">
        <f>IF(priority(Main[[#This Row],[Comments]])&lt;&gt;0, priority(Main[[#This Row],[Comments]]),"")</f>
        <v/>
      </c>
      <c r="B480" s="99" t="s">
        <v>2374</v>
      </c>
      <c r="C480" s="65" t="s">
        <v>4</v>
      </c>
      <c r="D480" s="66" t="s">
        <v>2375</v>
      </c>
      <c r="E480" s="67"/>
      <c r="F480" s="67"/>
      <c r="G480" s="64" t="str">
        <f>IF(stdProdLT(Main[[#This Row],[Comments]])=0.1,"N/A",IF(stdProdLT(Main[[#This Row],[Comments]])=0,"",stdProdLT(Main[[#This Row],[Comments]])))</f>
        <v/>
      </c>
      <c r="H480" s="68" t="str">
        <f>IF(AND(Main[[#This Row],[In Stock Date]]&lt;&gt;"",Main[[#This Row],[Revised Due Date]]&lt;&gt;""),Main[[#This Row],[In Stock Date]]-Main[[#This Row],[Revised Due Date]],"")</f>
        <v/>
      </c>
      <c r="I480" s="65" t="s">
        <v>4</v>
      </c>
      <c r="J480" s="65" t="s">
        <v>4</v>
      </c>
      <c r="K480" s="65" t="s">
        <v>4</v>
      </c>
      <c r="L480" s="67"/>
      <c r="M480" s="69" t="str">
        <f>IF(Main[[#This Row],[Tech Start Date]]&lt;1/1/1990,"",IF(Main[[#This Row],[Class]]="C",WORKDAY(Main[[#This Row],[Tech Start Date]],9),IF(Main[[#This Row],[Class]]="B", WORKDAY(Main[[#This Row],[Tech Start Date]],6),IF(Main[[#This Row],[Class]]="A",WORKDAY(Main[[#This Row],[Tech Start Date]],2),""))))</f>
        <v/>
      </c>
      <c r="N480" s="69" t="str">
        <f>IF(Main[[#This Row],[Tech Start Date]]&lt;1/1/1990,"",IF(Main[[#This Row],[Class]]="C",WORKDAY(Main[[#This Row],[Tech Start Date]],19),IF(Main[[#This Row],[Class]]="B", WORKDAY(Main[[#This Row],[Tech Start Date]],12),IF(Main[[#This Row],[Class]]="A",WORKDAY(Main[[#This Row],[Tech Start Date]],4),""))))</f>
        <v/>
      </c>
      <c r="O480" s="69" t="str">
        <f>IF(Main[[#This Row],[Tech Start Date]]&lt;1/1/1990,"",IF(Main[[#This Row],[Class]]="C",WORKDAY(Main[[#This Row],[Tech Start Date]],23),IF(Main[[#This Row],[Class]]="B", WORKDAY(Main[[#This Row],[Tech Start Date]],15),IF(Main[[#This Row],[Class]]="A",WORKDAY(Main[[#This Row],[Tech Start Date]],5),""))))</f>
        <v/>
      </c>
      <c r="P480" s="69" t="str">
        <f>IF(Main[[#This Row],[Tech Start Date]]&lt;1/1/1990,"",IF(Main[[#This Row],[Class]]="C",WORKDAY(Main[[#This Row],[Tech Start Date]],28),IF(Main[[#This Row],[Class]]="B", WORKDAY(Main[[#This Row],[Tech Start Date]],19),IF(Main[[#This Row],[Class]]="A",WORKDAY(Main[[#This Row],[Tech Start Date]],9),""))))</f>
        <v/>
      </c>
      <c r="Q480" s="67"/>
      <c r="R480" s="67"/>
      <c r="S480" s="65" t="s">
        <v>11</v>
      </c>
      <c r="T480" s="70" t="s">
        <v>4</v>
      </c>
      <c r="U480" s="65" t="s">
        <v>14</v>
      </c>
      <c r="V480" s="65" t="s">
        <v>1918</v>
      </c>
      <c r="W480" s="65" t="s">
        <v>4</v>
      </c>
      <c r="X480" s="65" t="s">
        <v>2254</v>
      </c>
      <c r="Y480" s="65" t="s">
        <v>4</v>
      </c>
      <c r="Z480" s="65" t="s">
        <v>4</v>
      </c>
      <c r="AA480" s="65" t="s">
        <v>4</v>
      </c>
    </row>
    <row r="481" spans="1:27" ht="17.45" customHeight="1">
      <c r="A481" s="131" t="str">
        <f>IF(priority(Main[[#This Row],[Comments]])&lt;&gt;0, priority(Main[[#This Row],[Comments]]),"")</f>
        <v/>
      </c>
      <c r="B481" s="99" t="s">
        <v>3610</v>
      </c>
      <c r="C481" s="65" t="s">
        <v>3611</v>
      </c>
      <c r="D481" s="66" t="s">
        <v>3612</v>
      </c>
      <c r="E481" s="67"/>
      <c r="F481" s="67">
        <v>40982</v>
      </c>
      <c r="G481" s="64" t="str">
        <f>IF(stdProdLT(Main[[#This Row],[Comments]])=0.1,"N/A",IF(stdProdLT(Main[[#This Row],[Comments]])=0,"",stdProdLT(Main[[#This Row],[Comments]])))</f>
        <v/>
      </c>
      <c r="H481" s="68" t="str">
        <f>IF(AND(Main[[#This Row],[In Stock Date]]&lt;&gt;"",Main[[#This Row],[Revised Due Date]]&lt;&gt;""),Main[[#This Row],[In Stock Date]]-Main[[#This Row],[Revised Due Date]],"")</f>
        <v/>
      </c>
      <c r="I481" s="65" t="s">
        <v>4</v>
      </c>
      <c r="J481" s="65" t="s">
        <v>4</v>
      </c>
      <c r="K481" s="65" t="s">
        <v>4</v>
      </c>
      <c r="L481" s="67"/>
      <c r="M481" s="69" t="str">
        <f>IF(Main[[#This Row],[Tech Start Date]]&lt;1/1/1990,"",IF(Main[[#This Row],[Class]]="C",WORKDAY(Main[[#This Row],[Tech Start Date]],9),IF(Main[[#This Row],[Class]]="B", WORKDAY(Main[[#This Row],[Tech Start Date]],6),IF(Main[[#This Row],[Class]]="A",WORKDAY(Main[[#This Row],[Tech Start Date]],2),""))))</f>
        <v/>
      </c>
      <c r="N481" s="69" t="str">
        <f>IF(Main[[#This Row],[Tech Start Date]]&lt;1/1/1990,"",IF(Main[[#This Row],[Class]]="C",WORKDAY(Main[[#This Row],[Tech Start Date]],19),IF(Main[[#This Row],[Class]]="B", WORKDAY(Main[[#This Row],[Tech Start Date]],12),IF(Main[[#This Row],[Class]]="A",WORKDAY(Main[[#This Row],[Tech Start Date]],4),""))))</f>
        <v/>
      </c>
      <c r="O481" s="69" t="str">
        <f>IF(Main[[#This Row],[Tech Start Date]]&lt;1/1/1990,"",IF(Main[[#This Row],[Class]]="C",WORKDAY(Main[[#This Row],[Tech Start Date]],23),IF(Main[[#This Row],[Class]]="B", WORKDAY(Main[[#This Row],[Tech Start Date]],15),IF(Main[[#This Row],[Class]]="A",WORKDAY(Main[[#This Row],[Tech Start Date]],5),""))))</f>
        <v/>
      </c>
      <c r="P481" s="69" t="str">
        <f>IF(Main[[#This Row],[Tech Start Date]]&lt;1/1/1990,"",IF(Main[[#This Row],[Class]]="C",WORKDAY(Main[[#This Row],[Tech Start Date]],28),IF(Main[[#This Row],[Class]]="B", WORKDAY(Main[[#This Row],[Tech Start Date]],19),IF(Main[[#This Row],[Class]]="A",WORKDAY(Main[[#This Row],[Tech Start Date]],9),""))))</f>
        <v/>
      </c>
      <c r="Q481" s="67"/>
      <c r="R481" s="67"/>
      <c r="S481" s="65" t="s">
        <v>11</v>
      </c>
      <c r="T481" s="70" t="s">
        <v>4</v>
      </c>
      <c r="U481" s="65" t="s">
        <v>12</v>
      </c>
      <c r="V481" s="65" t="s">
        <v>1920</v>
      </c>
      <c r="W481" s="65" t="s">
        <v>1922</v>
      </c>
      <c r="X481" s="65" t="s">
        <v>2840</v>
      </c>
      <c r="Y481" s="65" t="s">
        <v>3603</v>
      </c>
      <c r="Z481" s="65" t="s">
        <v>4</v>
      </c>
      <c r="AA481" s="65" t="s">
        <v>2840</v>
      </c>
    </row>
    <row r="482" spans="1:27" ht="17.45" customHeight="1">
      <c r="A482" s="131" t="str">
        <f>IF(priority(Main[[#This Row],[Comments]])&lt;&gt;0, priority(Main[[#This Row],[Comments]]),"")</f>
        <v/>
      </c>
      <c r="B482" s="99" t="s">
        <v>1334</v>
      </c>
      <c r="C482" s="65" t="s">
        <v>31</v>
      </c>
      <c r="D482" s="66" t="s">
        <v>387</v>
      </c>
      <c r="E482" s="67"/>
      <c r="F482" s="67"/>
      <c r="G482" s="64" t="str">
        <f>IF(stdProdLT(Main[[#This Row],[Comments]])=0.1,"N/A",IF(stdProdLT(Main[[#This Row],[Comments]])=0,"",stdProdLT(Main[[#This Row],[Comments]])))</f>
        <v/>
      </c>
      <c r="H482" s="68" t="str">
        <f>IF(AND(Main[[#This Row],[In Stock Date]]&lt;&gt;"",Main[[#This Row],[Revised Due Date]]&lt;&gt;""),Main[[#This Row],[In Stock Date]]-Main[[#This Row],[Revised Due Date]],"")</f>
        <v/>
      </c>
      <c r="I482" s="65" t="s">
        <v>4</v>
      </c>
      <c r="J482" s="65" t="s">
        <v>4</v>
      </c>
      <c r="K482" s="65" t="s">
        <v>4</v>
      </c>
      <c r="L482" s="67"/>
      <c r="M482" s="69" t="str">
        <f>IF(Main[[#This Row],[Tech Start Date]]&lt;1/1/1990,"",IF(Main[[#This Row],[Class]]="C",WORKDAY(Main[[#This Row],[Tech Start Date]],9),IF(Main[[#This Row],[Class]]="B", WORKDAY(Main[[#This Row],[Tech Start Date]],6),IF(Main[[#This Row],[Class]]="A",WORKDAY(Main[[#This Row],[Tech Start Date]],2),""))))</f>
        <v/>
      </c>
      <c r="N482" s="69" t="str">
        <f>IF(Main[[#This Row],[Tech Start Date]]&lt;1/1/1990,"",IF(Main[[#This Row],[Class]]="C",WORKDAY(Main[[#This Row],[Tech Start Date]],19),IF(Main[[#This Row],[Class]]="B", WORKDAY(Main[[#This Row],[Tech Start Date]],12),IF(Main[[#This Row],[Class]]="A",WORKDAY(Main[[#This Row],[Tech Start Date]],4),""))))</f>
        <v/>
      </c>
      <c r="O482" s="69" t="str">
        <f>IF(Main[[#This Row],[Tech Start Date]]&lt;1/1/1990,"",IF(Main[[#This Row],[Class]]="C",WORKDAY(Main[[#This Row],[Tech Start Date]],23),IF(Main[[#This Row],[Class]]="B", WORKDAY(Main[[#This Row],[Tech Start Date]],15),IF(Main[[#This Row],[Class]]="A",WORKDAY(Main[[#This Row],[Tech Start Date]],5),""))))</f>
        <v/>
      </c>
      <c r="P482" s="69" t="str">
        <f>IF(Main[[#This Row],[Tech Start Date]]&lt;1/1/1990,"",IF(Main[[#This Row],[Class]]="C",WORKDAY(Main[[#This Row],[Tech Start Date]],28),IF(Main[[#This Row],[Class]]="B", WORKDAY(Main[[#This Row],[Tech Start Date]],19),IF(Main[[#This Row],[Class]]="A",WORKDAY(Main[[#This Row],[Tech Start Date]],9),""))))</f>
        <v/>
      </c>
      <c r="Q482" s="67">
        <v>40318</v>
      </c>
      <c r="R482" s="67"/>
      <c r="S482" s="65" t="s">
        <v>11</v>
      </c>
      <c r="T482" s="70" t="s">
        <v>4</v>
      </c>
      <c r="U482" s="65" t="s">
        <v>14</v>
      </c>
      <c r="V482" s="65" t="s">
        <v>1927</v>
      </c>
      <c r="W482" s="65" t="s">
        <v>1919</v>
      </c>
      <c r="X482" s="65" t="s">
        <v>2836</v>
      </c>
      <c r="Y482" s="65" t="s">
        <v>4</v>
      </c>
      <c r="Z482" s="65" t="s">
        <v>4</v>
      </c>
      <c r="AA482" s="65" t="s">
        <v>2836</v>
      </c>
    </row>
    <row r="483" spans="1:27" ht="17.45" customHeight="1">
      <c r="A483" s="131" t="str">
        <f>IF(priority(Main[[#This Row],[Comments]])&lt;&gt;0, priority(Main[[#This Row],[Comments]]),"")</f>
        <v/>
      </c>
      <c r="B483" s="99" t="s">
        <v>1335</v>
      </c>
      <c r="C483" s="65" t="s">
        <v>31</v>
      </c>
      <c r="D483" s="66" t="s">
        <v>388</v>
      </c>
      <c r="E483" s="67"/>
      <c r="F483" s="67">
        <v>40288</v>
      </c>
      <c r="G483" s="64" t="str">
        <f>IF(stdProdLT(Main[[#This Row],[Comments]])=0.1,"N/A",IF(stdProdLT(Main[[#This Row],[Comments]])=0,"",stdProdLT(Main[[#This Row],[Comments]])))</f>
        <v/>
      </c>
      <c r="H483" s="68" t="str">
        <f>IF(AND(Main[[#This Row],[In Stock Date]]&lt;&gt;"",Main[[#This Row],[Revised Due Date]]&lt;&gt;""),Main[[#This Row],[In Stock Date]]-Main[[#This Row],[Revised Due Date]],"")</f>
        <v/>
      </c>
      <c r="I483" s="65" t="s">
        <v>4</v>
      </c>
      <c r="J483" s="65" t="s">
        <v>4</v>
      </c>
      <c r="K483" s="71" t="s">
        <v>4</v>
      </c>
      <c r="L483" s="67"/>
      <c r="M483" s="69" t="str">
        <f>IF(Main[[#This Row],[Tech Start Date]]&lt;1/1/1990,"",IF(Main[[#This Row],[Class]]="C",WORKDAY(Main[[#This Row],[Tech Start Date]],9),IF(Main[[#This Row],[Class]]="B", WORKDAY(Main[[#This Row],[Tech Start Date]],6),IF(Main[[#This Row],[Class]]="A",WORKDAY(Main[[#This Row],[Tech Start Date]],2),""))))</f>
        <v/>
      </c>
      <c r="N483" s="69" t="str">
        <f>IF(Main[[#This Row],[Tech Start Date]]&lt;1/1/1990,"",IF(Main[[#This Row],[Class]]="C",WORKDAY(Main[[#This Row],[Tech Start Date]],19),IF(Main[[#This Row],[Class]]="B", WORKDAY(Main[[#This Row],[Tech Start Date]],12),IF(Main[[#This Row],[Class]]="A",WORKDAY(Main[[#This Row],[Tech Start Date]],4),""))))</f>
        <v/>
      </c>
      <c r="O483" s="69" t="str">
        <f>IF(Main[[#This Row],[Tech Start Date]]&lt;1/1/1990,"",IF(Main[[#This Row],[Class]]="C",WORKDAY(Main[[#This Row],[Tech Start Date]],23),IF(Main[[#This Row],[Class]]="B", WORKDAY(Main[[#This Row],[Tech Start Date]],15),IF(Main[[#This Row],[Class]]="A",WORKDAY(Main[[#This Row],[Tech Start Date]],5),""))))</f>
        <v/>
      </c>
      <c r="P483" s="69" t="str">
        <f>IF(Main[[#This Row],[Tech Start Date]]&lt;1/1/1990,"",IF(Main[[#This Row],[Class]]="C",WORKDAY(Main[[#This Row],[Tech Start Date]],28),IF(Main[[#This Row],[Class]]="B", WORKDAY(Main[[#This Row],[Tech Start Date]],19),IF(Main[[#This Row],[Class]]="A",WORKDAY(Main[[#This Row],[Tech Start Date]],9),""))))</f>
        <v/>
      </c>
      <c r="Q483" s="67">
        <v>40106</v>
      </c>
      <c r="R483" s="67"/>
      <c r="S483" s="65" t="s">
        <v>11</v>
      </c>
      <c r="T483" s="70" t="s">
        <v>4</v>
      </c>
      <c r="U483" s="65" t="s">
        <v>14</v>
      </c>
      <c r="V483" s="65" t="s">
        <v>1920</v>
      </c>
      <c r="W483" s="65" t="s">
        <v>1928</v>
      </c>
      <c r="X483" s="65" t="s">
        <v>2836</v>
      </c>
      <c r="Y483" s="65" t="s">
        <v>4</v>
      </c>
      <c r="Z483" s="65" t="s">
        <v>4</v>
      </c>
      <c r="AA483" s="65" t="s">
        <v>2836</v>
      </c>
    </row>
    <row r="484" spans="1:27" ht="17.45" customHeight="1">
      <c r="A484" s="131" t="str">
        <f>IF(priority(Main[[#This Row],[Comments]])&lt;&gt;0, priority(Main[[#This Row],[Comments]]),"")</f>
        <v/>
      </c>
      <c r="B484" s="99" t="s">
        <v>1905</v>
      </c>
      <c r="C484" s="65" t="s">
        <v>277</v>
      </c>
      <c r="D484" s="66" t="s">
        <v>955</v>
      </c>
      <c r="E484" s="67"/>
      <c r="F484" s="67">
        <v>40543</v>
      </c>
      <c r="G484" s="64" t="str">
        <f>IF(stdProdLT(Main[[#This Row],[Comments]])=0.1,"N/A",IF(stdProdLT(Main[[#This Row],[Comments]])=0,"",stdProdLT(Main[[#This Row],[Comments]])))</f>
        <v/>
      </c>
      <c r="H484" s="68">
        <f>IF(AND(Main[[#This Row],[In Stock Date]]&lt;&gt;"",Main[[#This Row],[Revised Due Date]]&lt;&gt;""),Main[[#This Row],[In Stock Date]]-Main[[#This Row],[Revised Due Date]],"")</f>
        <v>-200</v>
      </c>
      <c r="I484" s="65" t="s">
        <v>163</v>
      </c>
      <c r="J484" s="65" t="s">
        <v>4</v>
      </c>
      <c r="K484" s="65" t="s">
        <v>1929</v>
      </c>
      <c r="L484" s="67"/>
      <c r="M484" s="69" t="str">
        <f>IF(Main[[#This Row],[Tech Start Date]]&lt;1/1/1990,"",IF(Main[[#This Row],[Class]]="C",WORKDAY(Main[[#This Row],[Tech Start Date]],9),IF(Main[[#This Row],[Class]]="B", WORKDAY(Main[[#This Row],[Tech Start Date]],6),IF(Main[[#This Row],[Class]]="A",WORKDAY(Main[[#This Row],[Tech Start Date]],2),""))))</f>
        <v/>
      </c>
      <c r="N484" s="69" t="str">
        <f>IF(Main[[#This Row],[Tech Start Date]]&lt;1/1/1990,"",IF(Main[[#This Row],[Class]]="C",WORKDAY(Main[[#This Row],[Tech Start Date]],19),IF(Main[[#This Row],[Class]]="B", WORKDAY(Main[[#This Row],[Tech Start Date]],12),IF(Main[[#This Row],[Class]]="A",WORKDAY(Main[[#This Row],[Tech Start Date]],4),""))))</f>
        <v/>
      </c>
      <c r="O484" s="69" t="str">
        <f>IF(Main[[#This Row],[Tech Start Date]]&lt;1/1/1990,"",IF(Main[[#This Row],[Class]]="C",WORKDAY(Main[[#This Row],[Tech Start Date]],23),IF(Main[[#This Row],[Class]]="B", WORKDAY(Main[[#This Row],[Tech Start Date]],15),IF(Main[[#This Row],[Class]]="A",WORKDAY(Main[[#This Row],[Tech Start Date]],5),""))))</f>
        <v/>
      </c>
      <c r="P484" s="69" t="str">
        <f>IF(Main[[#This Row],[Tech Start Date]]&lt;1/1/1990,"",IF(Main[[#This Row],[Class]]="C",WORKDAY(Main[[#This Row],[Tech Start Date]],28),IF(Main[[#This Row],[Class]]="B", WORKDAY(Main[[#This Row],[Tech Start Date]],19),IF(Main[[#This Row],[Class]]="A",WORKDAY(Main[[#This Row],[Tech Start Date]],9),""))))</f>
        <v/>
      </c>
      <c r="Q484" s="67">
        <v>40543</v>
      </c>
      <c r="R484" s="67">
        <v>40743</v>
      </c>
      <c r="S484" s="65" t="s">
        <v>17</v>
      </c>
      <c r="T484" s="70" t="s">
        <v>4</v>
      </c>
      <c r="U484" s="65" t="s">
        <v>14</v>
      </c>
      <c r="V484" s="65" t="s">
        <v>1920</v>
      </c>
      <c r="W484" s="65" t="s">
        <v>1919</v>
      </c>
      <c r="X484" s="65" t="s">
        <v>65</v>
      </c>
      <c r="Y484" s="65" t="s">
        <v>4</v>
      </c>
      <c r="Z484" s="65" t="s">
        <v>415</v>
      </c>
      <c r="AA484" s="65" t="s">
        <v>65</v>
      </c>
    </row>
    <row r="485" spans="1:27" ht="17.45" customHeight="1">
      <c r="A485" s="131" t="str">
        <f>IF(priority(Main[[#This Row],[Comments]])&lt;&gt;0, priority(Main[[#This Row],[Comments]]),"")</f>
        <v/>
      </c>
      <c r="B485" s="99" t="s">
        <v>1310</v>
      </c>
      <c r="C485" s="65" t="s">
        <v>4</v>
      </c>
      <c r="D485" s="66" t="s">
        <v>389</v>
      </c>
      <c r="E485" s="67"/>
      <c r="F485" s="67"/>
      <c r="G485" s="64" t="str">
        <f>IF(stdProdLT(Main[[#This Row],[Comments]])=0.1,"N/A",IF(stdProdLT(Main[[#This Row],[Comments]])=0,"",stdProdLT(Main[[#This Row],[Comments]])))</f>
        <v/>
      </c>
      <c r="H485" s="68" t="str">
        <f>IF(AND(Main[[#This Row],[In Stock Date]]&lt;&gt;"",Main[[#This Row],[Revised Due Date]]&lt;&gt;""),Main[[#This Row],[In Stock Date]]-Main[[#This Row],[Revised Due Date]],"")</f>
        <v/>
      </c>
      <c r="I485" s="65" t="s">
        <v>4</v>
      </c>
      <c r="J485" s="65" t="s">
        <v>4</v>
      </c>
      <c r="K485" s="65" t="s">
        <v>4</v>
      </c>
      <c r="L485" s="67"/>
      <c r="M485" s="69" t="str">
        <f>IF(Main[[#This Row],[Tech Start Date]]&lt;1/1/1990,"",IF(Main[[#This Row],[Class]]="C",WORKDAY(Main[[#This Row],[Tech Start Date]],9),IF(Main[[#This Row],[Class]]="B", WORKDAY(Main[[#This Row],[Tech Start Date]],6),IF(Main[[#This Row],[Class]]="A",WORKDAY(Main[[#This Row],[Tech Start Date]],2),""))))</f>
        <v/>
      </c>
      <c r="N485" s="69" t="str">
        <f>IF(Main[[#This Row],[Tech Start Date]]&lt;1/1/1990,"",IF(Main[[#This Row],[Class]]="C",WORKDAY(Main[[#This Row],[Tech Start Date]],19),IF(Main[[#This Row],[Class]]="B", WORKDAY(Main[[#This Row],[Tech Start Date]],12),IF(Main[[#This Row],[Class]]="A",WORKDAY(Main[[#This Row],[Tech Start Date]],4),""))))</f>
        <v/>
      </c>
      <c r="O485" s="69" t="str">
        <f>IF(Main[[#This Row],[Tech Start Date]]&lt;1/1/1990,"",IF(Main[[#This Row],[Class]]="C",WORKDAY(Main[[#This Row],[Tech Start Date]],23),IF(Main[[#This Row],[Class]]="B", WORKDAY(Main[[#This Row],[Tech Start Date]],15),IF(Main[[#This Row],[Class]]="A",WORKDAY(Main[[#This Row],[Tech Start Date]],5),""))))</f>
        <v/>
      </c>
      <c r="P485" s="69" t="str">
        <f>IF(Main[[#This Row],[Tech Start Date]]&lt;1/1/1990,"",IF(Main[[#This Row],[Class]]="C",WORKDAY(Main[[#This Row],[Tech Start Date]],28),IF(Main[[#This Row],[Class]]="B", WORKDAY(Main[[#This Row],[Tech Start Date]],19),IF(Main[[#This Row],[Class]]="A",WORKDAY(Main[[#This Row],[Tech Start Date]],9),""))))</f>
        <v/>
      </c>
      <c r="Q485" s="67"/>
      <c r="R485" s="67"/>
      <c r="S485" s="65" t="s">
        <v>4</v>
      </c>
      <c r="T485" s="70" t="s">
        <v>4</v>
      </c>
      <c r="U485" s="65" t="s">
        <v>14</v>
      </c>
      <c r="V485" s="65" t="s">
        <v>1918</v>
      </c>
      <c r="W485" s="65" t="s">
        <v>4</v>
      </c>
      <c r="X485" s="65" t="s">
        <v>924</v>
      </c>
      <c r="Y485" s="65" t="s">
        <v>4</v>
      </c>
      <c r="Z485" s="65" t="s">
        <v>4</v>
      </c>
      <c r="AA485" s="65" t="s">
        <v>4</v>
      </c>
    </row>
    <row r="486" spans="1:27" ht="17.45" customHeight="1">
      <c r="A486" s="131" t="str">
        <f>IF(priority(Main[[#This Row],[Comments]])&lt;&gt;0, priority(Main[[#This Row],[Comments]]),"")</f>
        <v/>
      </c>
      <c r="B486" s="99" t="s">
        <v>1194</v>
      </c>
      <c r="C486" s="65" t="s">
        <v>4</v>
      </c>
      <c r="D486" s="66" t="s">
        <v>252</v>
      </c>
      <c r="E486" s="67"/>
      <c r="F486" s="67"/>
      <c r="G486" s="64" t="str">
        <f>IF(stdProdLT(Main[[#This Row],[Comments]])=0.1,"N/A",IF(stdProdLT(Main[[#This Row],[Comments]])=0,"",stdProdLT(Main[[#This Row],[Comments]])))</f>
        <v/>
      </c>
      <c r="H486" s="68" t="str">
        <f>IF(AND(Main[[#This Row],[In Stock Date]]&lt;&gt;"",Main[[#This Row],[Revised Due Date]]&lt;&gt;""),Main[[#This Row],[In Stock Date]]-Main[[#This Row],[Revised Due Date]],"")</f>
        <v/>
      </c>
      <c r="I486" s="65" t="s">
        <v>4</v>
      </c>
      <c r="J486" s="65" t="s">
        <v>4</v>
      </c>
      <c r="K486" s="65" t="s">
        <v>4</v>
      </c>
      <c r="L486" s="67"/>
      <c r="M486" s="69" t="str">
        <f>IF(Main[[#This Row],[Tech Start Date]]&lt;1/1/1990,"",IF(Main[[#This Row],[Class]]="C",WORKDAY(Main[[#This Row],[Tech Start Date]],9),IF(Main[[#This Row],[Class]]="B", WORKDAY(Main[[#This Row],[Tech Start Date]],6),IF(Main[[#This Row],[Class]]="A",WORKDAY(Main[[#This Row],[Tech Start Date]],2),""))))</f>
        <v/>
      </c>
      <c r="N486" s="69" t="str">
        <f>IF(Main[[#This Row],[Tech Start Date]]&lt;1/1/1990,"",IF(Main[[#This Row],[Class]]="C",WORKDAY(Main[[#This Row],[Tech Start Date]],19),IF(Main[[#This Row],[Class]]="B", WORKDAY(Main[[#This Row],[Tech Start Date]],12),IF(Main[[#This Row],[Class]]="A",WORKDAY(Main[[#This Row],[Tech Start Date]],4),""))))</f>
        <v/>
      </c>
      <c r="O486" s="69" t="str">
        <f>IF(Main[[#This Row],[Tech Start Date]]&lt;1/1/1990,"",IF(Main[[#This Row],[Class]]="C",WORKDAY(Main[[#This Row],[Tech Start Date]],23),IF(Main[[#This Row],[Class]]="B", WORKDAY(Main[[#This Row],[Tech Start Date]],15),IF(Main[[#This Row],[Class]]="A",WORKDAY(Main[[#This Row],[Tech Start Date]],5),""))))</f>
        <v/>
      </c>
      <c r="P486" s="69" t="str">
        <f>IF(Main[[#This Row],[Tech Start Date]]&lt;1/1/1990,"",IF(Main[[#This Row],[Class]]="C",WORKDAY(Main[[#This Row],[Tech Start Date]],28),IF(Main[[#This Row],[Class]]="B", WORKDAY(Main[[#This Row],[Tech Start Date]],19),IF(Main[[#This Row],[Class]]="A",WORKDAY(Main[[#This Row],[Tech Start Date]],9),""))))</f>
        <v/>
      </c>
      <c r="Q486" s="67"/>
      <c r="R486" s="67"/>
      <c r="S486" s="65" t="s">
        <v>11</v>
      </c>
      <c r="T486" s="70" t="s">
        <v>4</v>
      </c>
      <c r="U486" s="65" t="s">
        <v>12</v>
      </c>
      <c r="V486" s="65" t="s">
        <v>1917</v>
      </c>
      <c r="W486" s="65" t="s">
        <v>1921</v>
      </c>
      <c r="X486" s="65" t="s">
        <v>879</v>
      </c>
      <c r="Y486" s="65" t="s">
        <v>3040</v>
      </c>
      <c r="Z486" s="65" t="s">
        <v>4</v>
      </c>
      <c r="AA486" s="65" t="s">
        <v>3413</v>
      </c>
    </row>
    <row r="487" spans="1:27" ht="17.45" customHeight="1">
      <c r="A487" s="131" t="str">
        <f>IF(priority(Main[[#This Row],[Comments]])&lt;&gt;0, priority(Main[[#This Row],[Comments]]),"")</f>
        <v/>
      </c>
      <c r="B487" s="99" t="s">
        <v>1195</v>
      </c>
      <c r="C487" s="65" t="s">
        <v>155</v>
      </c>
      <c r="D487" s="66" t="s">
        <v>253</v>
      </c>
      <c r="E487" s="67"/>
      <c r="F487" s="67"/>
      <c r="G487" s="64" t="str">
        <f>IF(stdProdLT(Main[[#This Row],[Comments]])=0.1,"N/A",IF(stdProdLT(Main[[#This Row],[Comments]])=0,"",stdProdLT(Main[[#This Row],[Comments]])))</f>
        <v/>
      </c>
      <c r="H487" s="68" t="str">
        <f>IF(AND(Main[[#This Row],[In Stock Date]]&lt;&gt;"",Main[[#This Row],[Revised Due Date]]&lt;&gt;""),Main[[#This Row],[In Stock Date]]-Main[[#This Row],[Revised Due Date]],"")</f>
        <v/>
      </c>
      <c r="I487" s="65" t="s">
        <v>4</v>
      </c>
      <c r="J487" s="65" t="s">
        <v>4</v>
      </c>
      <c r="K487" s="71" t="s">
        <v>4</v>
      </c>
      <c r="L487" s="67"/>
      <c r="M487" s="69" t="str">
        <f>IF(Main[[#This Row],[Tech Start Date]]&lt;1/1/1990,"",IF(Main[[#This Row],[Class]]="C",WORKDAY(Main[[#This Row],[Tech Start Date]],9),IF(Main[[#This Row],[Class]]="B", WORKDAY(Main[[#This Row],[Tech Start Date]],6),IF(Main[[#This Row],[Class]]="A",WORKDAY(Main[[#This Row],[Tech Start Date]],2),""))))</f>
        <v/>
      </c>
      <c r="N487" s="69" t="str">
        <f>IF(Main[[#This Row],[Tech Start Date]]&lt;1/1/1990,"",IF(Main[[#This Row],[Class]]="C",WORKDAY(Main[[#This Row],[Tech Start Date]],19),IF(Main[[#This Row],[Class]]="B", WORKDAY(Main[[#This Row],[Tech Start Date]],12),IF(Main[[#This Row],[Class]]="A",WORKDAY(Main[[#This Row],[Tech Start Date]],4),""))))</f>
        <v/>
      </c>
      <c r="O487" s="69" t="str">
        <f>IF(Main[[#This Row],[Tech Start Date]]&lt;1/1/1990,"",IF(Main[[#This Row],[Class]]="C",WORKDAY(Main[[#This Row],[Tech Start Date]],23),IF(Main[[#This Row],[Class]]="B", WORKDAY(Main[[#This Row],[Tech Start Date]],15),IF(Main[[#This Row],[Class]]="A",WORKDAY(Main[[#This Row],[Tech Start Date]],5),""))))</f>
        <v/>
      </c>
      <c r="P487" s="69" t="str">
        <f>IF(Main[[#This Row],[Tech Start Date]]&lt;1/1/1990,"",IF(Main[[#This Row],[Class]]="C",WORKDAY(Main[[#This Row],[Tech Start Date]],28),IF(Main[[#This Row],[Class]]="B", WORKDAY(Main[[#This Row],[Tech Start Date]],19),IF(Main[[#This Row],[Class]]="A",WORKDAY(Main[[#This Row],[Tech Start Date]],9),""))))</f>
        <v/>
      </c>
      <c r="Q487" s="67">
        <v>40144</v>
      </c>
      <c r="R487" s="67"/>
      <c r="S487" s="65" t="s">
        <v>11</v>
      </c>
      <c r="T487" s="70" t="s">
        <v>4</v>
      </c>
      <c r="U487" s="65" t="s">
        <v>14</v>
      </c>
      <c r="V487" s="65" t="s">
        <v>1917</v>
      </c>
      <c r="W487" s="65" t="s">
        <v>1919</v>
      </c>
      <c r="X487" s="65" t="s">
        <v>2860</v>
      </c>
      <c r="Y487" s="65" t="s">
        <v>4</v>
      </c>
      <c r="Z487" s="65" t="s">
        <v>4</v>
      </c>
      <c r="AA487" s="65" t="s">
        <v>2860</v>
      </c>
    </row>
    <row r="488" spans="1:27" ht="17.45" customHeight="1">
      <c r="A488" s="131" t="str">
        <f>IF(priority(Main[[#This Row],[Comments]])&lt;&gt;0, priority(Main[[#This Row],[Comments]]),"")</f>
        <v/>
      </c>
      <c r="B488" s="99" t="s">
        <v>1196</v>
      </c>
      <c r="C488" s="65" t="s">
        <v>4</v>
      </c>
      <c r="D488" s="66" t="s">
        <v>254</v>
      </c>
      <c r="E488" s="67">
        <v>40703.393472222226</v>
      </c>
      <c r="F488" s="67"/>
      <c r="G488" s="64" t="str">
        <f>IF(stdProdLT(Main[[#This Row],[Comments]])=0.1,"N/A",IF(stdProdLT(Main[[#This Row],[Comments]])=0,"",stdProdLT(Main[[#This Row],[Comments]])))</f>
        <v/>
      </c>
      <c r="H488" s="68" t="str">
        <f>IF(AND(Main[[#This Row],[In Stock Date]]&lt;&gt;"",Main[[#This Row],[Revised Due Date]]&lt;&gt;""),Main[[#This Row],[In Stock Date]]-Main[[#This Row],[Revised Due Date]],"")</f>
        <v/>
      </c>
      <c r="I488" s="65" t="s">
        <v>4</v>
      </c>
      <c r="J488" s="65" t="s">
        <v>4</v>
      </c>
      <c r="K488" s="65" t="s">
        <v>4</v>
      </c>
      <c r="L488" s="67"/>
      <c r="M488" s="69" t="str">
        <f>IF(Main[[#This Row],[Tech Start Date]]&lt;1/1/1990,"",IF(Main[[#This Row],[Class]]="C",WORKDAY(Main[[#This Row],[Tech Start Date]],9),IF(Main[[#This Row],[Class]]="B", WORKDAY(Main[[#This Row],[Tech Start Date]],6),IF(Main[[#This Row],[Class]]="A",WORKDAY(Main[[#This Row],[Tech Start Date]],2),""))))</f>
        <v/>
      </c>
      <c r="N488" s="69" t="str">
        <f>IF(Main[[#This Row],[Tech Start Date]]&lt;1/1/1990,"",IF(Main[[#This Row],[Class]]="C",WORKDAY(Main[[#This Row],[Tech Start Date]],19),IF(Main[[#This Row],[Class]]="B", WORKDAY(Main[[#This Row],[Tech Start Date]],12),IF(Main[[#This Row],[Class]]="A",WORKDAY(Main[[#This Row],[Tech Start Date]],4),""))))</f>
        <v/>
      </c>
      <c r="O488" s="69" t="str">
        <f>IF(Main[[#This Row],[Tech Start Date]]&lt;1/1/1990,"",IF(Main[[#This Row],[Class]]="C",WORKDAY(Main[[#This Row],[Tech Start Date]],23),IF(Main[[#This Row],[Class]]="B", WORKDAY(Main[[#This Row],[Tech Start Date]],15),IF(Main[[#This Row],[Class]]="A",WORKDAY(Main[[#This Row],[Tech Start Date]],5),""))))</f>
        <v/>
      </c>
      <c r="P488" s="69" t="str">
        <f>IF(Main[[#This Row],[Tech Start Date]]&lt;1/1/1990,"",IF(Main[[#This Row],[Class]]="C",WORKDAY(Main[[#This Row],[Tech Start Date]],28),IF(Main[[#This Row],[Class]]="B", WORKDAY(Main[[#This Row],[Tech Start Date]],19),IF(Main[[#This Row],[Class]]="A",WORKDAY(Main[[#This Row],[Tech Start Date]],9),""))))</f>
        <v/>
      </c>
      <c r="Q488" s="67">
        <v>40724</v>
      </c>
      <c r="R488" s="67"/>
      <c r="S488" s="65" t="s">
        <v>6</v>
      </c>
      <c r="T488" s="70" t="s">
        <v>4</v>
      </c>
      <c r="U488" s="65" t="s">
        <v>7</v>
      </c>
      <c r="V488" s="65" t="s">
        <v>1917</v>
      </c>
      <c r="W488" s="65" t="s">
        <v>1921</v>
      </c>
      <c r="X488" s="65" t="s">
        <v>2842</v>
      </c>
      <c r="Y488" s="65" t="s">
        <v>2971</v>
      </c>
      <c r="Z488" s="65" t="s">
        <v>4</v>
      </c>
      <c r="AA488" s="65" t="s">
        <v>2842</v>
      </c>
    </row>
    <row r="489" spans="1:27" ht="17.45" customHeight="1">
      <c r="A489" s="131" t="str">
        <f>IF(priority(Main[[#This Row],[Comments]])&lt;&gt;0, priority(Main[[#This Row],[Comments]]),"")</f>
        <v/>
      </c>
      <c r="B489" s="99" t="s">
        <v>1197</v>
      </c>
      <c r="C489" s="65" t="s">
        <v>33</v>
      </c>
      <c r="D489" s="66" t="s">
        <v>255</v>
      </c>
      <c r="E489" s="67"/>
      <c r="F489" s="67"/>
      <c r="G489" s="64" t="str">
        <f>IF(stdProdLT(Main[[#This Row],[Comments]])=0.1,"N/A",IF(stdProdLT(Main[[#This Row],[Comments]])=0,"",stdProdLT(Main[[#This Row],[Comments]])))</f>
        <v/>
      </c>
      <c r="H489" s="68" t="str">
        <f>IF(AND(Main[[#This Row],[In Stock Date]]&lt;&gt;"",Main[[#This Row],[Revised Due Date]]&lt;&gt;""),Main[[#This Row],[In Stock Date]]-Main[[#This Row],[Revised Due Date]],"")</f>
        <v/>
      </c>
      <c r="I489" s="65" t="s">
        <v>4</v>
      </c>
      <c r="J489" s="65" t="s">
        <v>28</v>
      </c>
      <c r="K489" s="65" t="s">
        <v>1930</v>
      </c>
      <c r="L489" s="67"/>
      <c r="M489" s="69" t="str">
        <f>IF(Main[[#This Row],[Tech Start Date]]&lt;1/1/1990,"",IF(Main[[#This Row],[Class]]="C",WORKDAY(Main[[#This Row],[Tech Start Date]],9),IF(Main[[#This Row],[Class]]="B", WORKDAY(Main[[#This Row],[Tech Start Date]],6),IF(Main[[#This Row],[Class]]="A",WORKDAY(Main[[#This Row],[Tech Start Date]],2),""))))</f>
        <v/>
      </c>
      <c r="N489" s="69" t="str">
        <f>IF(Main[[#This Row],[Tech Start Date]]&lt;1/1/1990,"",IF(Main[[#This Row],[Class]]="C",WORKDAY(Main[[#This Row],[Tech Start Date]],19),IF(Main[[#This Row],[Class]]="B", WORKDAY(Main[[#This Row],[Tech Start Date]],12),IF(Main[[#This Row],[Class]]="A",WORKDAY(Main[[#This Row],[Tech Start Date]],4),""))))</f>
        <v/>
      </c>
      <c r="O489" s="69" t="str">
        <f>IF(Main[[#This Row],[Tech Start Date]]&lt;1/1/1990,"",IF(Main[[#This Row],[Class]]="C",WORKDAY(Main[[#This Row],[Tech Start Date]],23),IF(Main[[#This Row],[Class]]="B", WORKDAY(Main[[#This Row],[Tech Start Date]],15),IF(Main[[#This Row],[Class]]="A",WORKDAY(Main[[#This Row],[Tech Start Date]],5),""))))</f>
        <v/>
      </c>
      <c r="P489" s="69" t="str">
        <f>IF(Main[[#This Row],[Tech Start Date]]&lt;1/1/1990,"",IF(Main[[#This Row],[Class]]="C",WORKDAY(Main[[#This Row],[Tech Start Date]],28),IF(Main[[#This Row],[Class]]="B", WORKDAY(Main[[#This Row],[Tech Start Date]],19),IF(Main[[#This Row],[Class]]="A",WORKDAY(Main[[#This Row],[Tech Start Date]],9),""))))</f>
        <v/>
      </c>
      <c r="Q489" s="67">
        <v>40364</v>
      </c>
      <c r="R489" s="67"/>
      <c r="S489" s="65" t="s">
        <v>17</v>
      </c>
      <c r="T489" s="70" t="s">
        <v>4</v>
      </c>
      <c r="U489" s="65" t="s">
        <v>14</v>
      </c>
      <c r="V489" s="65" t="s">
        <v>1918</v>
      </c>
      <c r="W489" s="65" t="s">
        <v>1922</v>
      </c>
      <c r="X489" s="65" t="s">
        <v>2881</v>
      </c>
      <c r="Y489" s="65" t="s">
        <v>3027</v>
      </c>
      <c r="Z489" s="65" t="s">
        <v>108</v>
      </c>
      <c r="AA489" s="65" t="s">
        <v>2881</v>
      </c>
    </row>
    <row r="490" spans="1:27" ht="17.45" customHeight="1">
      <c r="A490" s="131" t="str">
        <f>IF(priority(Main[[#This Row],[Comments]])&lt;&gt;0, priority(Main[[#This Row],[Comments]]),"")</f>
        <v/>
      </c>
      <c r="B490" s="99" t="s">
        <v>1198</v>
      </c>
      <c r="C490" s="65" t="s">
        <v>31</v>
      </c>
      <c r="D490" s="66" t="s">
        <v>256</v>
      </c>
      <c r="E490" s="67"/>
      <c r="F490" s="67"/>
      <c r="G490" s="64" t="str">
        <f>IF(stdProdLT(Main[[#This Row],[Comments]])=0.1,"N/A",IF(stdProdLT(Main[[#This Row],[Comments]])=0,"",stdProdLT(Main[[#This Row],[Comments]])))</f>
        <v/>
      </c>
      <c r="H490" s="68" t="str">
        <f>IF(AND(Main[[#This Row],[In Stock Date]]&lt;&gt;"",Main[[#This Row],[Revised Due Date]]&lt;&gt;""),Main[[#This Row],[In Stock Date]]-Main[[#This Row],[Revised Due Date]],"")</f>
        <v/>
      </c>
      <c r="I490" s="65" t="s">
        <v>4</v>
      </c>
      <c r="J490" s="65" t="s">
        <v>4</v>
      </c>
      <c r="K490" s="71" t="s">
        <v>4</v>
      </c>
      <c r="L490" s="67"/>
      <c r="M490" s="69" t="str">
        <f>IF(Main[[#This Row],[Tech Start Date]]&lt;1/1/1990,"",IF(Main[[#This Row],[Class]]="C",WORKDAY(Main[[#This Row],[Tech Start Date]],9),IF(Main[[#This Row],[Class]]="B", WORKDAY(Main[[#This Row],[Tech Start Date]],6),IF(Main[[#This Row],[Class]]="A",WORKDAY(Main[[#This Row],[Tech Start Date]],2),""))))</f>
        <v/>
      </c>
      <c r="N490" s="69" t="str">
        <f>IF(Main[[#This Row],[Tech Start Date]]&lt;1/1/1990,"",IF(Main[[#This Row],[Class]]="C",WORKDAY(Main[[#This Row],[Tech Start Date]],19),IF(Main[[#This Row],[Class]]="B", WORKDAY(Main[[#This Row],[Tech Start Date]],12),IF(Main[[#This Row],[Class]]="A",WORKDAY(Main[[#This Row],[Tech Start Date]],4),""))))</f>
        <v/>
      </c>
      <c r="O490" s="69" t="str">
        <f>IF(Main[[#This Row],[Tech Start Date]]&lt;1/1/1990,"",IF(Main[[#This Row],[Class]]="C",WORKDAY(Main[[#This Row],[Tech Start Date]],23),IF(Main[[#This Row],[Class]]="B", WORKDAY(Main[[#This Row],[Tech Start Date]],15),IF(Main[[#This Row],[Class]]="A",WORKDAY(Main[[#This Row],[Tech Start Date]],5),""))))</f>
        <v/>
      </c>
      <c r="P490" s="69" t="str">
        <f>IF(Main[[#This Row],[Tech Start Date]]&lt;1/1/1990,"",IF(Main[[#This Row],[Class]]="C",WORKDAY(Main[[#This Row],[Tech Start Date]],28),IF(Main[[#This Row],[Class]]="B", WORKDAY(Main[[#This Row],[Tech Start Date]],19),IF(Main[[#This Row],[Class]]="A",WORKDAY(Main[[#This Row],[Tech Start Date]],9),""))))</f>
        <v/>
      </c>
      <c r="Q490" s="67">
        <v>40318</v>
      </c>
      <c r="R490" s="67"/>
      <c r="S490" s="65" t="s">
        <v>11</v>
      </c>
      <c r="T490" s="70" t="s">
        <v>4</v>
      </c>
      <c r="U490" s="65" t="s">
        <v>14</v>
      </c>
      <c r="V490" s="65" t="s">
        <v>1920</v>
      </c>
      <c r="W490" s="65" t="s">
        <v>1919</v>
      </c>
      <c r="X490" s="65" t="s">
        <v>2836</v>
      </c>
      <c r="Y490" s="65" t="s">
        <v>4</v>
      </c>
      <c r="Z490" s="65" t="s">
        <v>4</v>
      </c>
      <c r="AA490" s="65" t="s">
        <v>2836</v>
      </c>
    </row>
    <row r="491" spans="1:27" ht="17.45" customHeight="1">
      <c r="A491" s="131" t="str">
        <f>IF(priority(Main[[#This Row],[Comments]])&lt;&gt;0, priority(Main[[#This Row],[Comments]]),"")</f>
        <v/>
      </c>
      <c r="B491" s="99" t="s">
        <v>1199</v>
      </c>
      <c r="C491" s="65" t="s">
        <v>4</v>
      </c>
      <c r="D491" s="66" t="s">
        <v>257</v>
      </c>
      <c r="E491" s="67"/>
      <c r="F491" s="67"/>
      <c r="G491" s="64" t="str">
        <f>IF(stdProdLT(Main[[#This Row],[Comments]])=0.1,"N/A",IF(stdProdLT(Main[[#This Row],[Comments]])=0,"",stdProdLT(Main[[#This Row],[Comments]])))</f>
        <v/>
      </c>
      <c r="H491" s="68" t="str">
        <f>IF(AND(Main[[#This Row],[In Stock Date]]&lt;&gt;"",Main[[#This Row],[Revised Due Date]]&lt;&gt;""),Main[[#This Row],[In Stock Date]]-Main[[#This Row],[Revised Due Date]],"")</f>
        <v/>
      </c>
      <c r="I491" s="65" t="s">
        <v>4</v>
      </c>
      <c r="J491" s="65" t="s">
        <v>4</v>
      </c>
      <c r="K491" s="65" t="s">
        <v>4</v>
      </c>
      <c r="L491" s="67"/>
      <c r="M491" s="69" t="str">
        <f>IF(Main[[#This Row],[Tech Start Date]]&lt;1/1/1990,"",IF(Main[[#This Row],[Class]]="C",WORKDAY(Main[[#This Row],[Tech Start Date]],9),IF(Main[[#This Row],[Class]]="B", WORKDAY(Main[[#This Row],[Tech Start Date]],6),IF(Main[[#This Row],[Class]]="A",WORKDAY(Main[[#This Row],[Tech Start Date]],2),""))))</f>
        <v/>
      </c>
      <c r="N491" s="69" t="str">
        <f>IF(Main[[#This Row],[Tech Start Date]]&lt;1/1/1990,"",IF(Main[[#This Row],[Class]]="C",WORKDAY(Main[[#This Row],[Tech Start Date]],19),IF(Main[[#This Row],[Class]]="B", WORKDAY(Main[[#This Row],[Tech Start Date]],12),IF(Main[[#This Row],[Class]]="A",WORKDAY(Main[[#This Row],[Tech Start Date]],4),""))))</f>
        <v/>
      </c>
      <c r="O491" s="69" t="str">
        <f>IF(Main[[#This Row],[Tech Start Date]]&lt;1/1/1990,"",IF(Main[[#This Row],[Class]]="C",WORKDAY(Main[[#This Row],[Tech Start Date]],23),IF(Main[[#This Row],[Class]]="B", WORKDAY(Main[[#This Row],[Tech Start Date]],15),IF(Main[[#This Row],[Class]]="A",WORKDAY(Main[[#This Row],[Tech Start Date]],5),""))))</f>
        <v/>
      </c>
      <c r="P491" s="69" t="str">
        <f>IF(Main[[#This Row],[Tech Start Date]]&lt;1/1/1990,"",IF(Main[[#This Row],[Class]]="C",WORKDAY(Main[[#This Row],[Tech Start Date]],28),IF(Main[[#This Row],[Class]]="B", WORKDAY(Main[[#This Row],[Tech Start Date]],19),IF(Main[[#This Row],[Class]]="A",WORKDAY(Main[[#This Row],[Tech Start Date]],9),""))))</f>
        <v/>
      </c>
      <c r="Q491" s="67">
        <v>40390</v>
      </c>
      <c r="R491" s="67"/>
      <c r="S491" s="65" t="s">
        <v>6</v>
      </c>
      <c r="T491" s="70" t="s">
        <v>4</v>
      </c>
      <c r="U491" s="65" t="s">
        <v>14</v>
      </c>
      <c r="V491" s="65" t="s">
        <v>1920</v>
      </c>
      <c r="W491" s="65" t="s">
        <v>4</v>
      </c>
      <c r="X491" s="65" t="s">
        <v>2825</v>
      </c>
      <c r="Y491" s="65" t="s">
        <v>2938</v>
      </c>
      <c r="Z491" s="65" t="s">
        <v>4</v>
      </c>
      <c r="AA491" s="65" t="s">
        <v>2825</v>
      </c>
    </row>
    <row r="492" spans="1:27" ht="17.45" customHeight="1">
      <c r="A492" s="131" t="str">
        <f>IF(priority(Main[[#This Row],[Comments]])&lt;&gt;0, priority(Main[[#This Row],[Comments]]),"")</f>
        <v/>
      </c>
      <c r="B492" s="99" t="s">
        <v>1200</v>
      </c>
      <c r="C492" s="65" t="s">
        <v>211</v>
      </c>
      <c r="D492" s="66" t="s">
        <v>258</v>
      </c>
      <c r="E492" s="67"/>
      <c r="F492" s="67">
        <v>40452</v>
      </c>
      <c r="G492" s="64" t="str">
        <f>IF(stdProdLT(Main[[#This Row],[Comments]])=0.1,"N/A",IF(stdProdLT(Main[[#This Row],[Comments]])=0,"",stdProdLT(Main[[#This Row],[Comments]])))</f>
        <v/>
      </c>
      <c r="H492" s="68" t="str">
        <f>IF(AND(Main[[#This Row],[In Stock Date]]&lt;&gt;"",Main[[#This Row],[Revised Due Date]]&lt;&gt;""),Main[[#This Row],[In Stock Date]]-Main[[#This Row],[Revised Due Date]],"")</f>
        <v/>
      </c>
      <c r="I492" s="65" t="s">
        <v>4</v>
      </c>
      <c r="J492" s="65" t="s">
        <v>4</v>
      </c>
      <c r="K492" s="65" t="s">
        <v>4</v>
      </c>
      <c r="L492" s="67"/>
      <c r="M492" s="69" t="str">
        <f>IF(Main[[#This Row],[Tech Start Date]]&lt;1/1/1990,"",IF(Main[[#This Row],[Class]]="C",WORKDAY(Main[[#This Row],[Tech Start Date]],9),IF(Main[[#This Row],[Class]]="B", WORKDAY(Main[[#This Row],[Tech Start Date]],6),IF(Main[[#This Row],[Class]]="A",WORKDAY(Main[[#This Row],[Tech Start Date]],2),""))))</f>
        <v/>
      </c>
      <c r="N492" s="69" t="str">
        <f>IF(Main[[#This Row],[Tech Start Date]]&lt;1/1/1990,"",IF(Main[[#This Row],[Class]]="C",WORKDAY(Main[[#This Row],[Tech Start Date]],19),IF(Main[[#This Row],[Class]]="B", WORKDAY(Main[[#This Row],[Tech Start Date]],12),IF(Main[[#This Row],[Class]]="A",WORKDAY(Main[[#This Row],[Tech Start Date]],4),""))))</f>
        <v/>
      </c>
      <c r="O492" s="69" t="str">
        <f>IF(Main[[#This Row],[Tech Start Date]]&lt;1/1/1990,"",IF(Main[[#This Row],[Class]]="C",WORKDAY(Main[[#This Row],[Tech Start Date]],23),IF(Main[[#This Row],[Class]]="B", WORKDAY(Main[[#This Row],[Tech Start Date]],15),IF(Main[[#This Row],[Class]]="A",WORKDAY(Main[[#This Row],[Tech Start Date]],5),""))))</f>
        <v/>
      </c>
      <c r="P492" s="69" t="str">
        <f>IF(Main[[#This Row],[Tech Start Date]]&lt;1/1/1990,"",IF(Main[[#This Row],[Class]]="C",WORKDAY(Main[[#This Row],[Tech Start Date]],28),IF(Main[[#This Row],[Class]]="B", WORKDAY(Main[[#This Row],[Tech Start Date]],19),IF(Main[[#This Row],[Class]]="A",WORKDAY(Main[[#This Row],[Tech Start Date]],9),""))))</f>
        <v/>
      </c>
      <c r="Q492" s="67">
        <v>40357</v>
      </c>
      <c r="R492" s="67"/>
      <c r="S492" s="65" t="s">
        <v>11</v>
      </c>
      <c r="T492" s="70" t="s">
        <v>4</v>
      </c>
      <c r="U492" s="65" t="s">
        <v>12</v>
      </c>
      <c r="V492" s="65" t="s">
        <v>1917</v>
      </c>
      <c r="W492" s="65" t="s">
        <v>1925</v>
      </c>
      <c r="X492" s="65" t="s">
        <v>2839</v>
      </c>
      <c r="Y492" s="65" t="s">
        <v>4</v>
      </c>
      <c r="Z492" s="65" t="s">
        <v>4</v>
      </c>
      <c r="AA492" s="65" t="s">
        <v>2839</v>
      </c>
    </row>
    <row r="493" spans="1:27" ht="17.45" customHeight="1">
      <c r="A493" s="131" t="str">
        <f>IF(priority(Main[[#This Row],[Comments]])&lt;&gt;0, priority(Main[[#This Row],[Comments]]),"")</f>
        <v/>
      </c>
      <c r="B493" s="99" t="s">
        <v>1201</v>
      </c>
      <c r="C493" s="65" t="s">
        <v>211</v>
      </c>
      <c r="D493" s="66" t="s">
        <v>259</v>
      </c>
      <c r="E493" s="67"/>
      <c r="F493" s="67">
        <v>40452</v>
      </c>
      <c r="G493" s="64" t="str">
        <f>IF(stdProdLT(Main[[#This Row],[Comments]])=0.1,"N/A",IF(stdProdLT(Main[[#This Row],[Comments]])=0,"",stdProdLT(Main[[#This Row],[Comments]])))</f>
        <v/>
      </c>
      <c r="H493" s="68" t="str">
        <f>IF(AND(Main[[#This Row],[In Stock Date]]&lt;&gt;"",Main[[#This Row],[Revised Due Date]]&lt;&gt;""),Main[[#This Row],[In Stock Date]]-Main[[#This Row],[Revised Due Date]],"")</f>
        <v/>
      </c>
      <c r="I493" s="65" t="s">
        <v>4</v>
      </c>
      <c r="J493" s="65" t="s">
        <v>4</v>
      </c>
      <c r="K493" s="65" t="s">
        <v>4</v>
      </c>
      <c r="L493" s="67"/>
      <c r="M493" s="69" t="str">
        <f>IF(Main[[#This Row],[Tech Start Date]]&lt;1/1/1990,"",IF(Main[[#This Row],[Class]]="C",WORKDAY(Main[[#This Row],[Tech Start Date]],9),IF(Main[[#This Row],[Class]]="B", WORKDAY(Main[[#This Row],[Tech Start Date]],6),IF(Main[[#This Row],[Class]]="A",WORKDAY(Main[[#This Row],[Tech Start Date]],2),""))))</f>
        <v/>
      </c>
      <c r="N493" s="69" t="str">
        <f>IF(Main[[#This Row],[Tech Start Date]]&lt;1/1/1990,"",IF(Main[[#This Row],[Class]]="C",WORKDAY(Main[[#This Row],[Tech Start Date]],19),IF(Main[[#This Row],[Class]]="B", WORKDAY(Main[[#This Row],[Tech Start Date]],12),IF(Main[[#This Row],[Class]]="A",WORKDAY(Main[[#This Row],[Tech Start Date]],4),""))))</f>
        <v/>
      </c>
      <c r="O493" s="69" t="str">
        <f>IF(Main[[#This Row],[Tech Start Date]]&lt;1/1/1990,"",IF(Main[[#This Row],[Class]]="C",WORKDAY(Main[[#This Row],[Tech Start Date]],23),IF(Main[[#This Row],[Class]]="B", WORKDAY(Main[[#This Row],[Tech Start Date]],15),IF(Main[[#This Row],[Class]]="A",WORKDAY(Main[[#This Row],[Tech Start Date]],5),""))))</f>
        <v/>
      </c>
      <c r="P493" s="69" t="str">
        <f>IF(Main[[#This Row],[Tech Start Date]]&lt;1/1/1990,"",IF(Main[[#This Row],[Class]]="C",WORKDAY(Main[[#This Row],[Tech Start Date]],28),IF(Main[[#This Row],[Class]]="B", WORKDAY(Main[[#This Row],[Tech Start Date]],19),IF(Main[[#This Row],[Class]]="A",WORKDAY(Main[[#This Row],[Tech Start Date]],9),""))))</f>
        <v/>
      </c>
      <c r="Q493" s="67">
        <v>40357</v>
      </c>
      <c r="R493" s="67"/>
      <c r="S493" s="65" t="s">
        <v>11</v>
      </c>
      <c r="T493" s="70" t="s">
        <v>4</v>
      </c>
      <c r="U493" s="65" t="s">
        <v>12</v>
      </c>
      <c r="V493" s="65" t="s">
        <v>1917</v>
      </c>
      <c r="W493" s="65" t="s">
        <v>1925</v>
      </c>
      <c r="X493" s="65" t="s">
        <v>2839</v>
      </c>
      <c r="Y493" s="65" t="s">
        <v>4</v>
      </c>
      <c r="Z493" s="65" t="s">
        <v>4</v>
      </c>
      <c r="AA493" s="65" t="s">
        <v>2839</v>
      </c>
    </row>
    <row r="494" spans="1:27" ht="17.45" customHeight="1">
      <c r="A494" s="131" t="str">
        <f>IF(priority(Main[[#This Row],[Comments]])&lt;&gt;0, priority(Main[[#This Row],[Comments]]),"")</f>
        <v/>
      </c>
      <c r="B494" s="99" t="s">
        <v>1311</v>
      </c>
      <c r="C494" s="65" t="s">
        <v>390</v>
      </c>
      <c r="D494" s="66" t="s">
        <v>391</v>
      </c>
      <c r="E494" s="67"/>
      <c r="F494" s="67">
        <v>40512</v>
      </c>
      <c r="G494" s="64" t="str">
        <f>IF(stdProdLT(Main[[#This Row],[Comments]])=0.1,"N/A",IF(stdProdLT(Main[[#This Row],[Comments]])=0,"",stdProdLT(Main[[#This Row],[Comments]])))</f>
        <v/>
      </c>
      <c r="H494" s="68" t="str">
        <f>IF(AND(Main[[#This Row],[In Stock Date]]&lt;&gt;"",Main[[#This Row],[Revised Due Date]]&lt;&gt;""),Main[[#This Row],[In Stock Date]]-Main[[#This Row],[Revised Due Date]],"")</f>
        <v/>
      </c>
      <c r="I494" s="65" t="s">
        <v>4</v>
      </c>
      <c r="J494" s="65" t="s">
        <v>4</v>
      </c>
      <c r="K494" s="65" t="s">
        <v>4</v>
      </c>
      <c r="L494" s="67"/>
      <c r="M494" s="69" t="str">
        <f>IF(Main[[#This Row],[Tech Start Date]]&lt;1/1/1990,"",IF(Main[[#This Row],[Class]]="C",WORKDAY(Main[[#This Row],[Tech Start Date]],9),IF(Main[[#This Row],[Class]]="B", WORKDAY(Main[[#This Row],[Tech Start Date]],6),IF(Main[[#This Row],[Class]]="A",WORKDAY(Main[[#This Row],[Tech Start Date]],2),""))))</f>
        <v/>
      </c>
      <c r="N494" s="69" t="str">
        <f>IF(Main[[#This Row],[Tech Start Date]]&lt;1/1/1990,"",IF(Main[[#This Row],[Class]]="C",WORKDAY(Main[[#This Row],[Tech Start Date]],19),IF(Main[[#This Row],[Class]]="B", WORKDAY(Main[[#This Row],[Tech Start Date]],12),IF(Main[[#This Row],[Class]]="A",WORKDAY(Main[[#This Row],[Tech Start Date]],4),""))))</f>
        <v/>
      </c>
      <c r="O494" s="69" t="str">
        <f>IF(Main[[#This Row],[Tech Start Date]]&lt;1/1/1990,"",IF(Main[[#This Row],[Class]]="C",WORKDAY(Main[[#This Row],[Tech Start Date]],23),IF(Main[[#This Row],[Class]]="B", WORKDAY(Main[[#This Row],[Tech Start Date]],15),IF(Main[[#This Row],[Class]]="A",WORKDAY(Main[[#This Row],[Tech Start Date]],5),""))))</f>
        <v/>
      </c>
      <c r="P494" s="69" t="str">
        <f>IF(Main[[#This Row],[Tech Start Date]]&lt;1/1/1990,"",IF(Main[[#This Row],[Class]]="C",WORKDAY(Main[[#This Row],[Tech Start Date]],28),IF(Main[[#This Row],[Class]]="B", WORKDAY(Main[[#This Row],[Tech Start Date]],19),IF(Main[[#This Row],[Class]]="A",WORKDAY(Main[[#This Row],[Tech Start Date]],9),""))))</f>
        <v/>
      </c>
      <c r="Q494" s="67">
        <v>40316</v>
      </c>
      <c r="R494" s="67"/>
      <c r="S494" s="65" t="s">
        <v>11</v>
      </c>
      <c r="T494" s="70" t="s">
        <v>4</v>
      </c>
      <c r="U494" s="65" t="s">
        <v>14</v>
      </c>
      <c r="V494" s="65" t="s">
        <v>1917</v>
      </c>
      <c r="W494" s="65" t="s">
        <v>1923</v>
      </c>
      <c r="X494" s="65" t="s">
        <v>2858</v>
      </c>
      <c r="Y494" s="65" t="s">
        <v>4</v>
      </c>
      <c r="Z494" s="65" t="s">
        <v>4</v>
      </c>
      <c r="AA494" s="65" t="s">
        <v>2858</v>
      </c>
    </row>
    <row r="495" spans="1:27" ht="17.45" customHeight="1">
      <c r="A495" s="131" t="str">
        <f>IF(priority(Main[[#This Row],[Comments]])&lt;&gt;0, priority(Main[[#This Row],[Comments]]),"")</f>
        <v/>
      </c>
      <c r="B495" s="99" t="s">
        <v>1312</v>
      </c>
      <c r="C495" s="65" t="s">
        <v>213</v>
      </c>
      <c r="D495" s="66" t="s">
        <v>392</v>
      </c>
      <c r="E495" s="67"/>
      <c r="F495" s="67">
        <v>40390</v>
      </c>
      <c r="G495" s="64" t="str">
        <f>IF(stdProdLT(Main[[#This Row],[Comments]])=0.1,"N/A",IF(stdProdLT(Main[[#This Row],[Comments]])=0,"",stdProdLT(Main[[#This Row],[Comments]])))</f>
        <v/>
      </c>
      <c r="H495" s="68" t="str">
        <f>IF(AND(Main[[#This Row],[In Stock Date]]&lt;&gt;"",Main[[#This Row],[Revised Due Date]]&lt;&gt;""),Main[[#This Row],[In Stock Date]]-Main[[#This Row],[Revised Due Date]],"")</f>
        <v/>
      </c>
      <c r="I495" s="65" t="s">
        <v>4</v>
      </c>
      <c r="J495" s="65" t="s">
        <v>4</v>
      </c>
      <c r="K495" s="65" t="s">
        <v>4</v>
      </c>
      <c r="L495" s="67"/>
      <c r="M495" s="69" t="str">
        <f>IF(Main[[#This Row],[Tech Start Date]]&lt;1/1/1990,"",IF(Main[[#This Row],[Class]]="C",WORKDAY(Main[[#This Row],[Tech Start Date]],9),IF(Main[[#This Row],[Class]]="B", WORKDAY(Main[[#This Row],[Tech Start Date]],6),IF(Main[[#This Row],[Class]]="A",WORKDAY(Main[[#This Row],[Tech Start Date]],2),""))))</f>
        <v/>
      </c>
      <c r="N495" s="69" t="str">
        <f>IF(Main[[#This Row],[Tech Start Date]]&lt;1/1/1990,"",IF(Main[[#This Row],[Class]]="C",WORKDAY(Main[[#This Row],[Tech Start Date]],19),IF(Main[[#This Row],[Class]]="B", WORKDAY(Main[[#This Row],[Tech Start Date]],12),IF(Main[[#This Row],[Class]]="A",WORKDAY(Main[[#This Row],[Tech Start Date]],4),""))))</f>
        <v/>
      </c>
      <c r="O495" s="69" t="str">
        <f>IF(Main[[#This Row],[Tech Start Date]]&lt;1/1/1990,"",IF(Main[[#This Row],[Class]]="C",WORKDAY(Main[[#This Row],[Tech Start Date]],23),IF(Main[[#This Row],[Class]]="B", WORKDAY(Main[[#This Row],[Tech Start Date]],15),IF(Main[[#This Row],[Class]]="A",WORKDAY(Main[[#This Row],[Tech Start Date]],5),""))))</f>
        <v/>
      </c>
      <c r="P495" s="69" t="str">
        <f>IF(Main[[#This Row],[Tech Start Date]]&lt;1/1/1990,"",IF(Main[[#This Row],[Class]]="C",WORKDAY(Main[[#This Row],[Tech Start Date]],28),IF(Main[[#This Row],[Class]]="B", WORKDAY(Main[[#This Row],[Tech Start Date]],19),IF(Main[[#This Row],[Class]]="A",WORKDAY(Main[[#This Row],[Tech Start Date]],9),""))))</f>
        <v/>
      </c>
      <c r="Q495" s="67">
        <v>40278</v>
      </c>
      <c r="R495" s="67"/>
      <c r="S495" s="65" t="s">
        <v>11</v>
      </c>
      <c r="T495" s="70" t="s">
        <v>4</v>
      </c>
      <c r="U495" s="65" t="s">
        <v>14</v>
      </c>
      <c r="V495" s="65" t="s">
        <v>1920</v>
      </c>
      <c r="W495" s="65" t="s">
        <v>1922</v>
      </c>
      <c r="X495" s="65" t="s">
        <v>554</v>
      </c>
      <c r="Y495" s="65" t="s">
        <v>4</v>
      </c>
      <c r="Z495" s="65" t="s">
        <v>4</v>
      </c>
      <c r="AA495" s="65" t="s">
        <v>554</v>
      </c>
    </row>
    <row r="496" spans="1:27" ht="17.45" customHeight="1">
      <c r="A496" s="131" t="str">
        <f>IF(priority(Main[[#This Row],[Comments]])&lt;&gt;0, priority(Main[[#This Row],[Comments]]),"")</f>
        <v/>
      </c>
      <c r="B496" s="99" t="s">
        <v>1313</v>
      </c>
      <c r="C496" s="65" t="s">
        <v>275</v>
      </c>
      <c r="D496" s="66" t="s">
        <v>393</v>
      </c>
      <c r="E496" s="67"/>
      <c r="F496" s="67">
        <v>40186</v>
      </c>
      <c r="G496" s="64" t="str">
        <f>IF(stdProdLT(Main[[#This Row],[Comments]])=0.1,"N/A",IF(stdProdLT(Main[[#This Row],[Comments]])=0,"",stdProdLT(Main[[#This Row],[Comments]])))</f>
        <v/>
      </c>
      <c r="H496" s="68" t="str">
        <f>IF(AND(Main[[#This Row],[In Stock Date]]&lt;&gt;"",Main[[#This Row],[Revised Due Date]]&lt;&gt;""),Main[[#This Row],[In Stock Date]]-Main[[#This Row],[Revised Due Date]],"")</f>
        <v/>
      </c>
      <c r="I496" s="65" t="s">
        <v>4</v>
      </c>
      <c r="J496" s="65" t="s">
        <v>4</v>
      </c>
      <c r="K496" s="71" t="s">
        <v>4</v>
      </c>
      <c r="L496" s="67"/>
      <c r="M496" s="69" t="str">
        <f>IF(Main[[#This Row],[Tech Start Date]]&lt;1/1/1990,"",IF(Main[[#This Row],[Class]]="C",WORKDAY(Main[[#This Row],[Tech Start Date]],9),IF(Main[[#This Row],[Class]]="B", WORKDAY(Main[[#This Row],[Tech Start Date]],6),IF(Main[[#This Row],[Class]]="A",WORKDAY(Main[[#This Row],[Tech Start Date]],2),""))))</f>
        <v/>
      </c>
      <c r="N496" s="69" t="str">
        <f>IF(Main[[#This Row],[Tech Start Date]]&lt;1/1/1990,"",IF(Main[[#This Row],[Class]]="C",WORKDAY(Main[[#This Row],[Tech Start Date]],19),IF(Main[[#This Row],[Class]]="B", WORKDAY(Main[[#This Row],[Tech Start Date]],12),IF(Main[[#This Row],[Class]]="A",WORKDAY(Main[[#This Row],[Tech Start Date]],4),""))))</f>
        <v/>
      </c>
      <c r="O496" s="69" t="str">
        <f>IF(Main[[#This Row],[Tech Start Date]]&lt;1/1/1990,"",IF(Main[[#This Row],[Class]]="C",WORKDAY(Main[[#This Row],[Tech Start Date]],23),IF(Main[[#This Row],[Class]]="B", WORKDAY(Main[[#This Row],[Tech Start Date]],15),IF(Main[[#This Row],[Class]]="A",WORKDAY(Main[[#This Row],[Tech Start Date]],5),""))))</f>
        <v/>
      </c>
      <c r="P496" s="69" t="str">
        <f>IF(Main[[#This Row],[Tech Start Date]]&lt;1/1/1990,"",IF(Main[[#This Row],[Class]]="C",WORKDAY(Main[[#This Row],[Tech Start Date]],28),IF(Main[[#This Row],[Class]]="B", WORKDAY(Main[[#This Row],[Tech Start Date]],19),IF(Main[[#This Row],[Class]]="A",WORKDAY(Main[[#This Row],[Tech Start Date]],9),""))))</f>
        <v/>
      </c>
      <c r="Q496" s="67">
        <v>40186</v>
      </c>
      <c r="R496" s="67"/>
      <c r="S496" s="65" t="s">
        <v>11</v>
      </c>
      <c r="T496" s="70" t="s">
        <v>4</v>
      </c>
      <c r="U496" s="65" t="s">
        <v>14</v>
      </c>
      <c r="V496" s="65" t="s">
        <v>1920</v>
      </c>
      <c r="W496" s="65" t="s">
        <v>1925</v>
      </c>
      <c r="X496" s="65" t="s">
        <v>2848</v>
      </c>
      <c r="Y496" s="65" t="s">
        <v>4</v>
      </c>
      <c r="Z496" s="65" t="s">
        <v>4</v>
      </c>
      <c r="AA496" s="65" t="s">
        <v>2848</v>
      </c>
    </row>
    <row r="497" spans="1:27" ht="17.45" customHeight="1">
      <c r="A497" s="131" t="str">
        <f>IF(priority(Main[[#This Row],[Comments]])&lt;&gt;0, priority(Main[[#This Row],[Comments]]),"")</f>
        <v/>
      </c>
      <c r="B497" s="99" t="s">
        <v>1314</v>
      </c>
      <c r="C497" s="65" t="s">
        <v>394</v>
      </c>
      <c r="D497" s="66" t="s">
        <v>395</v>
      </c>
      <c r="E497" s="67"/>
      <c r="F497" s="67"/>
      <c r="G497" s="64" t="str">
        <f>IF(stdProdLT(Main[[#This Row],[Comments]])=0.1,"N/A",IF(stdProdLT(Main[[#This Row],[Comments]])=0,"",stdProdLT(Main[[#This Row],[Comments]])))</f>
        <v/>
      </c>
      <c r="H497" s="68" t="str">
        <f>IF(AND(Main[[#This Row],[In Stock Date]]&lt;&gt;"",Main[[#This Row],[Revised Due Date]]&lt;&gt;""),Main[[#This Row],[In Stock Date]]-Main[[#This Row],[Revised Due Date]],"")</f>
        <v/>
      </c>
      <c r="I497" s="65" t="s">
        <v>4</v>
      </c>
      <c r="J497" s="65" t="s">
        <v>4</v>
      </c>
      <c r="K497" s="65" t="s">
        <v>4</v>
      </c>
      <c r="L497" s="67"/>
      <c r="M497" s="69" t="str">
        <f>IF(Main[[#This Row],[Tech Start Date]]&lt;1/1/1990,"",IF(Main[[#This Row],[Class]]="C",WORKDAY(Main[[#This Row],[Tech Start Date]],9),IF(Main[[#This Row],[Class]]="B", WORKDAY(Main[[#This Row],[Tech Start Date]],6),IF(Main[[#This Row],[Class]]="A",WORKDAY(Main[[#This Row],[Tech Start Date]],2),""))))</f>
        <v/>
      </c>
      <c r="N497" s="69" t="str">
        <f>IF(Main[[#This Row],[Tech Start Date]]&lt;1/1/1990,"",IF(Main[[#This Row],[Class]]="C",WORKDAY(Main[[#This Row],[Tech Start Date]],19),IF(Main[[#This Row],[Class]]="B", WORKDAY(Main[[#This Row],[Tech Start Date]],12),IF(Main[[#This Row],[Class]]="A",WORKDAY(Main[[#This Row],[Tech Start Date]],4),""))))</f>
        <v/>
      </c>
      <c r="O497" s="69" t="str">
        <f>IF(Main[[#This Row],[Tech Start Date]]&lt;1/1/1990,"",IF(Main[[#This Row],[Class]]="C",WORKDAY(Main[[#This Row],[Tech Start Date]],23),IF(Main[[#This Row],[Class]]="B", WORKDAY(Main[[#This Row],[Tech Start Date]],15),IF(Main[[#This Row],[Class]]="A",WORKDAY(Main[[#This Row],[Tech Start Date]],5),""))))</f>
        <v/>
      </c>
      <c r="P497" s="69" t="str">
        <f>IF(Main[[#This Row],[Tech Start Date]]&lt;1/1/1990,"",IF(Main[[#This Row],[Class]]="C",WORKDAY(Main[[#This Row],[Tech Start Date]],28),IF(Main[[#This Row],[Class]]="B", WORKDAY(Main[[#This Row],[Tech Start Date]],19),IF(Main[[#This Row],[Class]]="A",WORKDAY(Main[[#This Row],[Tech Start Date]],9),""))))</f>
        <v/>
      </c>
      <c r="Q497" s="67"/>
      <c r="R497" s="67"/>
      <c r="S497" s="65" t="s">
        <v>11</v>
      </c>
      <c r="T497" s="70" t="s">
        <v>4</v>
      </c>
      <c r="U497" s="65" t="s">
        <v>14</v>
      </c>
      <c r="V497" s="65" t="s">
        <v>1918</v>
      </c>
      <c r="W497" s="65" t="s">
        <v>1925</v>
      </c>
      <c r="X497" s="65" t="s">
        <v>2859</v>
      </c>
      <c r="Y497" s="65" t="s">
        <v>2997</v>
      </c>
      <c r="Z497" s="65" t="s">
        <v>4</v>
      </c>
      <c r="AA497" s="65" t="s">
        <v>2859</v>
      </c>
    </row>
    <row r="498" spans="1:27" ht="17.45" customHeight="1">
      <c r="A498" s="131" t="str">
        <f>IF(priority(Main[[#This Row],[Comments]])&lt;&gt;0, priority(Main[[#This Row],[Comments]]),"")</f>
        <v/>
      </c>
      <c r="B498" s="99" t="s">
        <v>1316</v>
      </c>
      <c r="C498" s="65" t="s">
        <v>4</v>
      </c>
      <c r="D498" s="66" t="s">
        <v>396</v>
      </c>
      <c r="E498" s="67">
        <v>40319.627523148149</v>
      </c>
      <c r="F498" s="67"/>
      <c r="G498" s="64" t="str">
        <f>IF(stdProdLT(Main[[#This Row],[Comments]])=0.1,"N/A",IF(stdProdLT(Main[[#This Row],[Comments]])=0,"",stdProdLT(Main[[#This Row],[Comments]])))</f>
        <v/>
      </c>
      <c r="H498" s="68" t="str">
        <f>IF(AND(Main[[#This Row],[In Stock Date]]&lt;&gt;"",Main[[#This Row],[Revised Due Date]]&lt;&gt;""),Main[[#This Row],[In Stock Date]]-Main[[#This Row],[Revised Due Date]],"")</f>
        <v/>
      </c>
      <c r="I498" s="65" t="s">
        <v>129</v>
      </c>
      <c r="J498" s="65" t="s">
        <v>4</v>
      </c>
      <c r="K498" s="65" t="s">
        <v>4</v>
      </c>
      <c r="L498" s="67"/>
      <c r="M498" s="69" t="str">
        <f>IF(Main[[#This Row],[Tech Start Date]]&lt;1/1/1990,"",IF(Main[[#This Row],[Class]]="C",WORKDAY(Main[[#This Row],[Tech Start Date]],9),IF(Main[[#This Row],[Class]]="B", WORKDAY(Main[[#This Row],[Tech Start Date]],6),IF(Main[[#This Row],[Class]]="A",WORKDAY(Main[[#This Row],[Tech Start Date]],2),""))))</f>
        <v/>
      </c>
      <c r="N498" s="69" t="str">
        <f>IF(Main[[#This Row],[Tech Start Date]]&lt;1/1/1990,"",IF(Main[[#This Row],[Class]]="C",WORKDAY(Main[[#This Row],[Tech Start Date]],19),IF(Main[[#This Row],[Class]]="B", WORKDAY(Main[[#This Row],[Tech Start Date]],12),IF(Main[[#This Row],[Class]]="A",WORKDAY(Main[[#This Row],[Tech Start Date]],4),""))))</f>
        <v/>
      </c>
      <c r="O498" s="69" t="str">
        <f>IF(Main[[#This Row],[Tech Start Date]]&lt;1/1/1990,"",IF(Main[[#This Row],[Class]]="C",WORKDAY(Main[[#This Row],[Tech Start Date]],23),IF(Main[[#This Row],[Class]]="B", WORKDAY(Main[[#This Row],[Tech Start Date]],15),IF(Main[[#This Row],[Class]]="A",WORKDAY(Main[[#This Row],[Tech Start Date]],5),""))))</f>
        <v/>
      </c>
      <c r="P498" s="69" t="str">
        <f>IF(Main[[#This Row],[Tech Start Date]]&lt;1/1/1990,"",IF(Main[[#This Row],[Class]]="C",WORKDAY(Main[[#This Row],[Tech Start Date]],28),IF(Main[[#This Row],[Class]]="B", WORKDAY(Main[[#This Row],[Tech Start Date]],19),IF(Main[[#This Row],[Class]]="A",WORKDAY(Main[[#This Row],[Tech Start Date]],9),""))))</f>
        <v/>
      </c>
      <c r="Q498" s="67">
        <v>40337</v>
      </c>
      <c r="R498" s="67"/>
      <c r="S498" s="65" t="s">
        <v>6</v>
      </c>
      <c r="T498" s="70" t="s">
        <v>4</v>
      </c>
      <c r="U498" s="65" t="s">
        <v>7</v>
      </c>
      <c r="V498" s="65" t="s">
        <v>1917</v>
      </c>
      <c r="W498" s="65" t="s">
        <v>1921</v>
      </c>
      <c r="X498" s="65" t="s">
        <v>2827</v>
      </c>
      <c r="Y498" s="65" t="s">
        <v>2942</v>
      </c>
      <c r="Z498" s="65" t="s">
        <v>4</v>
      </c>
      <c r="AA498" s="65" t="s">
        <v>2827</v>
      </c>
    </row>
    <row r="499" spans="1:27" ht="17.45" customHeight="1">
      <c r="A499" s="131" t="str">
        <f>IF(priority(Main[[#This Row],[Comments]])&lt;&gt;0, priority(Main[[#This Row],[Comments]]),"")</f>
        <v/>
      </c>
      <c r="B499" s="99" t="s">
        <v>1317</v>
      </c>
      <c r="C499" s="65" t="s">
        <v>93</v>
      </c>
      <c r="D499" s="66" t="s">
        <v>397</v>
      </c>
      <c r="E499" s="67"/>
      <c r="F499" s="67">
        <v>40132</v>
      </c>
      <c r="G499" s="64" t="str">
        <f>IF(stdProdLT(Main[[#This Row],[Comments]])=0.1,"N/A",IF(stdProdLT(Main[[#This Row],[Comments]])=0,"",stdProdLT(Main[[#This Row],[Comments]])))</f>
        <v/>
      </c>
      <c r="H499" s="68" t="str">
        <f>IF(AND(Main[[#This Row],[In Stock Date]]&lt;&gt;"",Main[[#This Row],[Revised Due Date]]&lt;&gt;""),Main[[#This Row],[In Stock Date]]-Main[[#This Row],[Revised Due Date]],"")</f>
        <v/>
      </c>
      <c r="I499" s="65" t="s">
        <v>4</v>
      </c>
      <c r="J499" s="65" t="s">
        <v>4</v>
      </c>
      <c r="K499" s="65" t="s">
        <v>4</v>
      </c>
      <c r="L499" s="67"/>
      <c r="M499" s="69" t="str">
        <f>IF(Main[[#This Row],[Tech Start Date]]&lt;1/1/1990,"",IF(Main[[#This Row],[Class]]="C",WORKDAY(Main[[#This Row],[Tech Start Date]],9),IF(Main[[#This Row],[Class]]="B", WORKDAY(Main[[#This Row],[Tech Start Date]],6),IF(Main[[#This Row],[Class]]="A",WORKDAY(Main[[#This Row],[Tech Start Date]],2),""))))</f>
        <v/>
      </c>
      <c r="N499" s="69" t="str">
        <f>IF(Main[[#This Row],[Tech Start Date]]&lt;1/1/1990,"",IF(Main[[#This Row],[Class]]="C",WORKDAY(Main[[#This Row],[Tech Start Date]],19),IF(Main[[#This Row],[Class]]="B", WORKDAY(Main[[#This Row],[Tech Start Date]],12),IF(Main[[#This Row],[Class]]="A",WORKDAY(Main[[#This Row],[Tech Start Date]],4),""))))</f>
        <v/>
      </c>
      <c r="O499" s="69" t="str">
        <f>IF(Main[[#This Row],[Tech Start Date]]&lt;1/1/1990,"",IF(Main[[#This Row],[Class]]="C",WORKDAY(Main[[#This Row],[Tech Start Date]],23),IF(Main[[#This Row],[Class]]="B", WORKDAY(Main[[#This Row],[Tech Start Date]],15),IF(Main[[#This Row],[Class]]="A",WORKDAY(Main[[#This Row],[Tech Start Date]],5),""))))</f>
        <v/>
      </c>
      <c r="P499" s="69" t="str">
        <f>IF(Main[[#This Row],[Tech Start Date]]&lt;1/1/1990,"",IF(Main[[#This Row],[Class]]="C",WORKDAY(Main[[#This Row],[Tech Start Date]],28),IF(Main[[#This Row],[Class]]="B", WORKDAY(Main[[#This Row],[Tech Start Date]],19),IF(Main[[#This Row],[Class]]="A",WORKDAY(Main[[#This Row],[Tech Start Date]],9),""))))</f>
        <v/>
      </c>
      <c r="Q499" s="67">
        <v>40132</v>
      </c>
      <c r="R499" s="67"/>
      <c r="S499" s="65" t="s">
        <v>11</v>
      </c>
      <c r="T499" s="70" t="s">
        <v>4</v>
      </c>
      <c r="U499" s="65" t="s">
        <v>14</v>
      </c>
      <c r="V499" s="65" t="s">
        <v>1927</v>
      </c>
      <c r="W499" s="65" t="s">
        <v>1928</v>
      </c>
      <c r="X499" s="65" t="s">
        <v>2862</v>
      </c>
      <c r="Y499" s="65" t="s">
        <v>4</v>
      </c>
      <c r="Z499" s="65" t="s">
        <v>4</v>
      </c>
      <c r="AA499" s="65" t="s">
        <v>2862</v>
      </c>
    </row>
    <row r="500" spans="1:27" ht="17.45" customHeight="1">
      <c r="A500" s="131" t="str">
        <f>IF(priority(Main[[#This Row],[Comments]])&lt;&gt;0, priority(Main[[#This Row],[Comments]]),"")</f>
        <v/>
      </c>
      <c r="B500" s="99" t="s">
        <v>1318</v>
      </c>
      <c r="C500" s="65" t="s">
        <v>4</v>
      </c>
      <c r="D500" s="66" t="s">
        <v>398</v>
      </c>
      <c r="E500" s="67"/>
      <c r="F500" s="67">
        <v>40385</v>
      </c>
      <c r="G500" s="64" t="str">
        <f>IF(stdProdLT(Main[[#This Row],[Comments]])=0.1,"N/A",IF(stdProdLT(Main[[#This Row],[Comments]])=0,"",stdProdLT(Main[[#This Row],[Comments]])))</f>
        <v/>
      </c>
      <c r="H500" s="68" t="str">
        <f>IF(AND(Main[[#This Row],[In Stock Date]]&lt;&gt;"",Main[[#This Row],[Revised Due Date]]&lt;&gt;""),Main[[#This Row],[In Stock Date]]-Main[[#This Row],[Revised Due Date]],"")</f>
        <v/>
      </c>
      <c r="I500" s="65" t="s">
        <v>399</v>
      </c>
      <c r="J500" s="65" t="s">
        <v>4</v>
      </c>
      <c r="K500" s="65" t="s">
        <v>4</v>
      </c>
      <c r="L500" s="67"/>
      <c r="M500" s="69" t="str">
        <f>IF(Main[[#This Row],[Tech Start Date]]&lt;1/1/1990,"",IF(Main[[#This Row],[Class]]="C",WORKDAY(Main[[#This Row],[Tech Start Date]],9),IF(Main[[#This Row],[Class]]="B", WORKDAY(Main[[#This Row],[Tech Start Date]],6),IF(Main[[#This Row],[Class]]="A",WORKDAY(Main[[#This Row],[Tech Start Date]],2),""))))</f>
        <v/>
      </c>
      <c r="N500" s="69" t="str">
        <f>IF(Main[[#This Row],[Tech Start Date]]&lt;1/1/1990,"",IF(Main[[#This Row],[Class]]="C",WORKDAY(Main[[#This Row],[Tech Start Date]],19),IF(Main[[#This Row],[Class]]="B", WORKDAY(Main[[#This Row],[Tech Start Date]],12),IF(Main[[#This Row],[Class]]="A",WORKDAY(Main[[#This Row],[Tech Start Date]],4),""))))</f>
        <v/>
      </c>
      <c r="O500" s="69" t="str">
        <f>IF(Main[[#This Row],[Tech Start Date]]&lt;1/1/1990,"",IF(Main[[#This Row],[Class]]="C",WORKDAY(Main[[#This Row],[Tech Start Date]],23),IF(Main[[#This Row],[Class]]="B", WORKDAY(Main[[#This Row],[Tech Start Date]],15),IF(Main[[#This Row],[Class]]="A",WORKDAY(Main[[#This Row],[Tech Start Date]],5),""))))</f>
        <v/>
      </c>
      <c r="P500" s="69" t="str">
        <f>IF(Main[[#This Row],[Tech Start Date]]&lt;1/1/1990,"",IF(Main[[#This Row],[Class]]="C",WORKDAY(Main[[#This Row],[Tech Start Date]],28),IF(Main[[#This Row],[Class]]="B", WORKDAY(Main[[#This Row],[Tech Start Date]],19),IF(Main[[#This Row],[Class]]="A",WORKDAY(Main[[#This Row],[Tech Start Date]],9),""))))</f>
        <v/>
      </c>
      <c r="Q500" s="67">
        <v>40359</v>
      </c>
      <c r="R500" s="67"/>
      <c r="S500" s="65" t="s">
        <v>11</v>
      </c>
      <c r="T500" s="70" t="s">
        <v>4</v>
      </c>
      <c r="U500" s="65" t="s">
        <v>14</v>
      </c>
      <c r="V500" s="65" t="s">
        <v>1920</v>
      </c>
      <c r="W500" s="65" t="s">
        <v>1923</v>
      </c>
      <c r="X500" s="65" t="s">
        <v>2887</v>
      </c>
      <c r="Y500" s="65" t="s">
        <v>3036</v>
      </c>
      <c r="Z500" s="65" t="s">
        <v>306</v>
      </c>
      <c r="AA500" s="65" t="s">
        <v>2887</v>
      </c>
    </row>
    <row r="501" spans="1:27" ht="17.45" customHeight="1">
      <c r="A501" s="131" t="str">
        <f>IF(priority(Main[[#This Row],[Comments]])&lt;&gt;0, priority(Main[[#This Row],[Comments]]),"")</f>
        <v/>
      </c>
      <c r="B501" s="99" t="s">
        <v>1319</v>
      </c>
      <c r="C501" s="65" t="s">
        <v>31</v>
      </c>
      <c r="D501" s="66" t="s">
        <v>400</v>
      </c>
      <c r="E501" s="67"/>
      <c r="F501" s="67">
        <v>40203</v>
      </c>
      <c r="G501" s="64" t="str">
        <f>IF(stdProdLT(Main[[#This Row],[Comments]])=0.1,"N/A",IF(stdProdLT(Main[[#This Row],[Comments]])=0,"",stdProdLT(Main[[#This Row],[Comments]])))</f>
        <v/>
      </c>
      <c r="H501" s="68" t="str">
        <f>IF(AND(Main[[#This Row],[In Stock Date]]&lt;&gt;"",Main[[#This Row],[Revised Due Date]]&lt;&gt;""),Main[[#This Row],[In Stock Date]]-Main[[#This Row],[Revised Due Date]],"")</f>
        <v/>
      </c>
      <c r="I501" s="65" t="s">
        <v>4</v>
      </c>
      <c r="J501" s="65" t="s">
        <v>4</v>
      </c>
      <c r="K501" s="65" t="s">
        <v>4</v>
      </c>
      <c r="L501" s="67"/>
      <c r="M501" s="69" t="str">
        <f>IF(Main[[#This Row],[Tech Start Date]]&lt;1/1/1990,"",IF(Main[[#This Row],[Class]]="C",WORKDAY(Main[[#This Row],[Tech Start Date]],9),IF(Main[[#This Row],[Class]]="B", WORKDAY(Main[[#This Row],[Tech Start Date]],6),IF(Main[[#This Row],[Class]]="A",WORKDAY(Main[[#This Row],[Tech Start Date]],2),""))))</f>
        <v/>
      </c>
      <c r="N501" s="69" t="str">
        <f>IF(Main[[#This Row],[Tech Start Date]]&lt;1/1/1990,"",IF(Main[[#This Row],[Class]]="C",WORKDAY(Main[[#This Row],[Tech Start Date]],19),IF(Main[[#This Row],[Class]]="B", WORKDAY(Main[[#This Row],[Tech Start Date]],12),IF(Main[[#This Row],[Class]]="A",WORKDAY(Main[[#This Row],[Tech Start Date]],4),""))))</f>
        <v/>
      </c>
      <c r="O501" s="69" t="str">
        <f>IF(Main[[#This Row],[Tech Start Date]]&lt;1/1/1990,"",IF(Main[[#This Row],[Class]]="C",WORKDAY(Main[[#This Row],[Tech Start Date]],23),IF(Main[[#This Row],[Class]]="B", WORKDAY(Main[[#This Row],[Tech Start Date]],15),IF(Main[[#This Row],[Class]]="A",WORKDAY(Main[[#This Row],[Tech Start Date]],5),""))))</f>
        <v/>
      </c>
      <c r="P501" s="69" t="str">
        <f>IF(Main[[#This Row],[Tech Start Date]]&lt;1/1/1990,"",IF(Main[[#This Row],[Class]]="C",WORKDAY(Main[[#This Row],[Tech Start Date]],28),IF(Main[[#This Row],[Class]]="B", WORKDAY(Main[[#This Row],[Tech Start Date]],19),IF(Main[[#This Row],[Class]]="A",WORKDAY(Main[[#This Row],[Tech Start Date]],9),""))))</f>
        <v/>
      </c>
      <c r="Q501" s="67">
        <v>40063</v>
      </c>
      <c r="R501" s="67"/>
      <c r="S501" s="65" t="s">
        <v>11</v>
      </c>
      <c r="T501" s="70" t="s">
        <v>4</v>
      </c>
      <c r="U501" s="65" t="s">
        <v>14</v>
      </c>
      <c r="V501" s="65" t="s">
        <v>1927</v>
      </c>
      <c r="W501" s="65" t="s">
        <v>1923</v>
      </c>
      <c r="X501" s="65" t="s">
        <v>2877</v>
      </c>
      <c r="Y501" s="65" t="s">
        <v>4</v>
      </c>
      <c r="Z501" s="65" t="s">
        <v>4</v>
      </c>
      <c r="AA501" s="65" t="s">
        <v>2877</v>
      </c>
    </row>
    <row r="502" spans="1:27" ht="17.45" customHeight="1">
      <c r="A502" s="131" t="str">
        <f>IF(priority(Main[[#This Row],[Comments]])&lt;&gt;0, priority(Main[[#This Row],[Comments]]),"")</f>
        <v/>
      </c>
      <c r="B502" s="99" t="s">
        <v>1657</v>
      </c>
      <c r="C502" s="65" t="s">
        <v>4</v>
      </c>
      <c r="D502" s="66" t="s">
        <v>722</v>
      </c>
      <c r="E502" s="67"/>
      <c r="F502" s="67"/>
      <c r="G502" s="64" t="str">
        <f>IF(stdProdLT(Main[[#This Row],[Comments]])=0.1,"N/A",IF(stdProdLT(Main[[#This Row],[Comments]])=0,"",stdProdLT(Main[[#This Row],[Comments]])))</f>
        <v/>
      </c>
      <c r="H502" s="68" t="str">
        <f>IF(AND(Main[[#This Row],[In Stock Date]]&lt;&gt;"",Main[[#This Row],[Revised Due Date]]&lt;&gt;""),Main[[#This Row],[In Stock Date]]-Main[[#This Row],[Revised Due Date]],"")</f>
        <v/>
      </c>
      <c r="I502" s="65" t="s">
        <v>4</v>
      </c>
      <c r="J502" s="65" t="s">
        <v>4</v>
      </c>
      <c r="K502" s="65" t="s">
        <v>4</v>
      </c>
      <c r="L502" s="67"/>
      <c r="M502" s="69" t="str">
        <f>IF(Main[[#This Row],[Tech Start Date]]&lt;1/1/1990,"",IF(Main[[#This Row],[Class]]="C",WORKDAY(Main[[#This Row],[Tech Start Date]],9),IF(Main[[#This Row],[Class]]="B", WORKDAY(Main[[#This Row],[Tech Start Date]],6),IF(Main[[#This Row],[Class]]="A",WORKDAY(Main[[#This Row],[Tech Start Date]],2),""))))</f>
        <v/>
      </c>
      <c r="N502" s="69" t="str">
        <f>IF(Main[[#This Row],[Tech Start Date]]&lt;1/1/1990,"",IF(Main[[#This Row],[Class]]="C",WORKDAY(Main[[#This Row],[Tech Start Date]],19),IF(Main[[#This Row],[Class]]="B", WORKDAY(Main[[#This Row],[Tech Start Date]],12),IF(Main[[#This Row],[Class]]="A",WORKDAY(Main[[#This Row],[Tech Start Date]],4),""))))</f>
        <v/>
      </c>
      <c r="O502" s="69" t="str">
        <f>IF(Main[[#This Row],[Tech Start Date]]&lt;1/1/1990,"",IF(Main[[#This Row],[Class]]="C",WORKDAY(Main[[#This Row],[Tech Start Date]],23),IF(Main[[#This Row],[Class]]="B", WORKDAY(Main[[#This Row],[Tech Start Date]],15),IF(Main[[#This Row],[Class]]="A",WORKDAY(Main[[#This Row],[Tech Start Date]],5),""))))</f>
        <v/>
      </c>
      <c r="P502" s="69" t="str">
        <f>IF(Main[[#This Row],[Tech Start Date]]&lt;1/1/1990,"",IF(Main[[#This Row],[Class]]="C",WORKDAY(Main[[#This Row],[Tech Start Date]],28),IF(Main[[#This Row],[Class]]="B", WORKDAY(Main[[#This Row],[Tech Start Date]],19),IF(Main[[#This Row],[Class]]="A",WORKDAY(Main[[#This Row],[Tech Start Date]],9),""))))</f>
        <v/>
      </c>
      <c r="Q502" s="67">
        <v>40676</v>
      </c>
      <c r="R502" s="67"/>
      <c r="S502" s="65" t="s">
        <v>6</v>
      </c>
      <c r="T502" s="70" t="s">
        <v>4</v>
      </c>
      <c r="U502" s="65" t="s">
        <v>14</v>
      </c>
      <c r="V502" s="65" t="s">
        <v>1917</v>
      </c>
      <c r="W502" s="65" t="s">
        <v>1921</v>
      </c>
      <c r="X502" s="65" t="s">
        <v>2827</v>
      </c>
      <c r="Y502" s="65" t="s">
        <v>2942</v>
      </c>
      <c r="Z502" s="65" t="s">
        <v>4</v>
      </c>
      <c r="AA502" s="65" t="s">
        <v>2827</v>
      </c>
    </row>
    <row r="503" spans="1:27" ht="17.45" customHeight="1">
      <c r="A503" s="131" t="str">
        <f>IF(priority(Main[[#This Row],[Comments]])&lt;&gt;0, priority(Main[[#This Row],[Comments]]),"")</f>
        <v/>
      </c>
      <c r="B503" s="99" t="s">
        <v>1320</v>
      </c>
      <c r="C503" s="65" t="s">
        <v>47</v>
      </c>
      <c r="D503" s="66" t="s">
        <v>146</v>
      </c>
      <c r="E503" s="67"/>
      <c r="F503" s="67"/>
      <c r="G503" s="64" t="str">
        <f>IF(stdProdLT(Main[[#This Row],[Comments]])=0.1,"N/A",IF(stdProdLT(Main[[#This Row],[Comments]])=0,"",stdProdLT(Main[[#This Row],[Comments]])))</f>
        <v/>
      </c>
      <c r="H503" s="68" t="str">
        <f>IF(AND(Main[[#This Row],[In Stock Date]]&lt;&gt;"",Main[[#This Row],[Revised Due Date]]&lt;&gt;""),Main[[#This Row],[In Stock Date]]-Main[[#This Row],[Revised Due Date]],"")</f>
        <v/>
      </c>
      <c r="I503" s="65" t="s">
        <v>4</v>
      </c>
      <c r="J503" s="65" t="s">
        <v>4</v>
      </c>
      <c r="K503" s="65" t="s">
        <v>4</v>
      </c>
      <c r="L503" s="67"/>
      <c r="M503" s="69" t="str">
        <f>IF(Main[[#This Row],[Tech Start Date]]&lt;1/1/1990,"",IF(Main[[#This Row],[Class]]="C",WORKDAY(Main[[#This Row],[Tech Start Date]],9),IF(Main[[#This Row],[Class]]="B", WORKDAY(Main[[#This Row],[Tech Start Date]],6),IF(Main[[#This Row],[Class]]="A",WORKDAY(Main[[#This Row],[Tech Start Date]],2),""))))</f>
        <v/>
      </c>
      <c r="N503" s="69" t="str">
        <f>IF(Main[[#This Row],[Tech Start Date]]&lt;1/1/1990,"",IF(Main[[#This Row],[Class]]="C",WORKDAY(Main[[#This Row],[Tech Start Date]],19),IF(Main[[#This Row],[Class]]="B", WORKDAY(Main[[#This Row],[Tech Start Date]],12),IF(Main[[#This Row],[Class]]="A",WORKDAY(Main[[#This Row],[Tech Start Date]],4),""))))</f>
        <v/>
      </c>
      <c r="O503" s="69" t="str">
        <f>IF(Main[[#This Row],[Tech Start Date]]&lt;1/1/1990,"",IF(Main[[#This Row],[Class]]="C",WORKDAY(Main[[#This Row],[Tech Start Date]],23),IF(Main[[#This Row],[Class]]="B", WORKDAY(Main[[#This Row],[Tech Start Date]],15),IF(Main[[#This Row],[Class]]="A",WORKDAY(Main[[#This Row],[Tech Start Date]],5),""))))</f>
        <v/>
      </c>
      <c r="P503" s="69" t="str">
        <f>IF(Main[[#This Row],[Tech Start Date]]&lt;1/1/1990,"",IF(Main[[#This Row],[Class]]="C",WORKDAY(Main[[#This Row],[Tech Start Date]],28),IF(Main[[#This Row],[Class]]="B", WORKDAY(Main[[#This Row],[Tech Start Date]],19),IF(Main[[#This Row],[Class]]="A",WORKDAY(Main[[#This Row],[Tech Start Date]],9),""))))</f>
        <v/>
      </c>
      <c r="Q503" s="67"/>
      <c r="R503" s="67"/>
      <c r="S503" s="65" t="s">
        <v>4</v>
      </c>
      <c r="T503" s="70" t="s">
        <v>4</v>
      </c>
      <c r="U503" s="65" t="s">
        <v>14</v>
      </c>
      <c r="V503" s="65" t="s">
        <v>1918</v>
      </c>
      <c r="W503" s="65" t="s">
        <v>4</v>
      </c>
      <c r="X503" s="65" t="s">
        <v>306</v>
      </c>
      <c r="Y503" s="65" t="s">
        <v>2947</v>
      </c>
      <c r="Z503" s="65" t="s">
        <v>4</v>
      </c>
      <c r="AA503" s="65" t="s">
        <v>3388</v>
      </c>
    </row>
    <row r="504" spans="1:27" ht="17.45" customHeight="1">
      <c r="A504" s="131" t="str">
        <f>IF(priority(Main[[#This Row],[Comments]])&lt;&gt;0, priority(Main[[#This Row],[Comments]]),"")</f>
        <v/>
      </c>
      <c r="B504" s="99" t="s">
        <v>1321</v>
      </c>
      <c r="C504" s="65" t="s">
        <v>401</v>
      </c>
      <c r="D504" s="66" t="s">
        <v>402</v>
      </c>
      <c r="E504" s="67"/>
      <c r="F504" s="67">
        <v>40447</v>
      </c>
      <c r="G504" s="64" t="str">
        <f>IF(stdProdLT(Main[[#This Row],[Comments]])=0.1,"N/A",IF(stdProdLT(Main[[#This Row],[Comments]])=0,"",stdProdLT(Main[[#This Row],[Comments]])))</f>
        <v/>
      </c>
      <c r="H504" s="68" t="str">
        <f>IF(AND(Main[[#This Row],[In Stock Date]]&lt;&gt;"",Main[[#This Row],[Revised Due Date]]&lt;&gt;""),Main[[#This Row],[In Stock Date]]-Main[[#This Row],[Revised Due Date]],"")</f>
        <v/>
      </c>
      <c r="I504" s="65" t="s">
        <v>4</v>
      </c>
      <c r="J504" s="65" t="s">
        <v>4</v>
      </c>
      <c r="K504" s="71" t="s">
        <v>4</v>
      </c>
      <c r="L504" s="67"/>
      <c r="M504" s="69" t="str">
        <f>IF(Main[[#This Row],[Tech Start Date]]&lt;1/1/1990,"",IF(Main[[#This Row],[Class]]="C",WORKDAY(Main[[#This Row],[Tech Start Date]],9),IF(Main[[#This Row],[Class]]="B", WORKDAY(Main[[#This Row],[Tech Start Date]],6),IF(Main[[#This Row],[Class]]="A",WORKDAY(Main[[#This Row],[Tech Start Date]],2),""))))</f>
        <v/>
      </c>
      <c r="N504" s="69" t="str">
        <f>IF(Main[[#This Row],[Tech Start Date]]&lt;1/1/1990,"",IF(Main[[#This Row],[Class]]="C",WORKDAY(Main[[#This Row],[Tech Start Date]],19),IF(Main[[#This Row],[Class]]="B", WORKDAY(Main[[#This Row],[Tech Start Date]],12),IF(Main[[#This Row],[Class]]="A",WORKDAY(Main[[#This Row],[Tech Start Date]],4),""))))</f>
        <v/>
      </c>
      <c r="O504" s="69" t="str">
        <f>IF(Main[[#This Row],[Tech Start Date]]&lt;1/1/1990,"",IF(Main[[#This Row],[Class]]="C",WORKDAY(Main[[#This Row],[Tech Start Date]],23),IF(Main[[#This Row],[Class]]="B", WORKDAY(Main[[#This Row],[Tech Start Date]],15),IF(Main[[#This Row],[Class]]="A",WORKDAY(Main[[#This Row],[Tech Start Date]],5),""))))</f>
        <v/>
      </c>
      <c r="P504" s="69" t="str">
        <f>IF(Main[[#This Row],[Tech Start Date]]&lt;1/1/1990,"",IF(Main[[#This Row],[Class]]="C",WORKDAY(Main[[#This Row],[Tech Start Date]],28),IF(Main[[#This Row],[Class]]="B", WORKDAY(Main[[#This Row],[Tech Start Date]],19),IF(Main[[#This Row],[Class]]="A",WORKDAY(Main[[#This Row],[Tech Start Date]],9),""))))</f>
        <v/>
      </c>
      <c r="Q504" s="67">
        <v>40349</v>
      </c>
      <c r="R504" s="67"/>
      <c r="S504" s="65" t="s">
        <v>11</v>
      </c>
      <c r="T504" s="70" t="s">
        <v>4</v>
      </c>
      <c r="U504" s="65" t="s">
        <v>14</v>
      </c>
      <c r="V504" s="65" t="s">
        <v>1927</v>
      </c>
      <c r="W504" s="65" t="s">
        <v>1922</v>
      </c>
      <c r="X504" s="65" t="s">
        <v>2856</v>
      </c>
      <c r="Y504" s="65" t="s">
        <v>4</v>
      </c>
      <c r="Z504" s="65" t="s">
        <v>4</v>
      </c>
      <c r="AA504" s="65" t="s">
        <v>2856</v>
      </c>
    </row>
    <row r="505" spans="1:27" ht="17.45" customHeight="1">
      <c r="A505" s="131" t="str">
        <f>IF(priority(Main[[#This Row],[Comments]])&lt;&gt;0, priority(Main[[#This Row],[Comments]]),"")</f>
        <v/>
      </c>
      <c r="B505" s="99" t="s">
        <v>2089</v>
      </c>
      <c r="C505" s="65" t="s">
        <v>47</v>
      </c>
      <c r="D505" s="66" t="s">
        <v>878</v>
      </c>
      <c r="E505" s="67"/>
      <c r="F505" s="67"/>
      <c r="G505" s="64" t="str">
        <f>IF(stdProdLT(Main[[#This Row],[Comments]])=0.1,"N/A",IF(stdProdLT(Main[[#This Row],[Comments]])=0,"",stdProdLT(Main[[#This Row],[Comments]])))</f>
        <v/>
      </c>
      <c r="H505" s="68" t="str">
        <f>IF(AND(Main[[#This Row],[In Stock Date]]&lt;&gt;"",Main[[#This Row],[Revised Due Date]]&lt;&gt;""),Main[[#This Row],[In Stock Date]]-Main[[#This Row],[Revised Due Date]],"")</f>
        <v/>
      </c>
      <c r="I505" s="65" t="s">
        <v>4</v>
      </c>
      <c r="J505" s="65" t="s">
        <v>4</v>
      </c>
      <c r="K505" s="65" t="s">
        <v>4</v>
      </c>
      <c r="L505" s="67"/>
      <c r="M505" s="69" t="str">
        <f>IF(Main[[#This Row],[Tech Start Date]]&lt;1/1/1990,"",IF(Main[[#This Row],[Class]]="C",WORKDAY(Main[[#This Row],[Tech Start Date]],9),IF(Main[[#This Row],[Class]]="B", WORKDAY(Main[[#This Row],[Tech Start Date]],6),IF(Main[[#This Row],[Class]]="A",WORKDAY(Main[[#This Row],[Tech Start Date]],2),""))))</f>
        <v/>
      </c>
      <c r="N505" s="69" t="str">
        <f>IF(Main[[#This Row],[Tech Start Date]]&lt;1/1/1990,"",IF(Main[[#This Row],[Class]]="C",WORKDAY(Main[[#This Row],[Tech Start Date]],19),IF(Main[[#This Row],[Class]]="B", WORKDAY(Main[[#This Row],[Tech Start Date]],12),IF(Main[[#This Row],[Class]]="A",WORKDAY(Main[[#This Row],[Tech Start Date]],4),""))))</f>
        <v/>
      </c>
      <c r="O505" s="69" t="str">
        <f>IF(Main[[#This Row],[Tech Start Date]]&lt;1/1/1990,"",IF(Main[[#This Row],[Class]]="C",WORKDAY(Main[[#This Row],[Tech Start Date]],23),IF(Main[[#This Row],[Class]]="B", WORKDAY(Main[[#This Row],[Tech Start Date]],15),IF(Main[[#This Row],[Class]]="A",WORKDAY(Main[[#This Row],[Tech Start Date]],5),""))))</f>
        <v/>
      </c>
      <c r="P505" s="69" t="str">
        <f>IF(Main[[#This Row],[Tech Start Date]]&lt;1/1/1990,"",IF(Main[[#This Row],[Class]]="C",WORKDAY(Main[[#This Row],[Tech Start Date]],28),IF(Main[[#This Row],[Class]]="B", WORKDAY(Main[[#This Row],[Tech Start Date]],19),IF(Main[[#This Row],[Class]]="A",WORKDAY(Main[[#This Row],[Tech Start Date]],9),""))))</f>
        <v/>
      </c>
      <c r="Q505" s="67">
        <v>40267</v>
      </c>
      <c r="R505" s="67"/>
      <c r="S505" s="65" t="s">
        <v>17</v>
      </c>
      <c r="T505" s="70" t="s">
        <v>4</v>
      </c>
      <c r="U505" s="65" t="s">
        <v>14</v>
      </c>
      <c r="V505" s="65" t="s">
        <v>1917</v>
      </c>
      <c r="W505" s="65" t="s">
        <v>1921</v>
      </c>
      <c r="X505" s="65" t="s">
        <v>2888</v>
      </c>
      <c r="Y505" s="65" t="s">
        <v>2947</v>
      </c>
      <c r="Z505" s="65" t="s">
        <v>4</v>
      </c>
      <c r="AA505" s="65" t="s">
        <v>3388</v>
      </c>
    </row>
    <row r="506" spans="1:27" ht="17.45" customHeight="1">
      <c r="A506" s="131" t="str">
        <f>IF(priority(Main[[#This Row],[Comments]])&lt;&gt;0, priority(Main[[#This Row],[Comments]]),"")</f>
        <v/>
      </c>
      <c r="B506" s="99" t="s">
        <v>1322</v>
      </c>
      <c r="C506" s="65" t="s">
        <v>113</v>
      </c>
      <c r="D506" s="66" t="s">
        <v>403</v>
      </c>
      <c r="E506" s="67"/>
      <c r="F506" s="67"/>
      <c r="G506" s="64" t="str">
        <f>IF(stdProdLT(Main[[#This Row],[Comments]])=0.1,"N/A",IF(stdProdLT(Main[[#This Row],[Comments]])=0,"",stdProdLT(Main[[#This Row],[Comments]])))</f>
        <v/>
      </c>
      <c r="H506" s="68" t="str">
        <f>IF(AND(Main[[#This Row],[In Stock Date]]&lt;&gt;"",Main[[#This Row],[Revised Due Date]]&lt;&gt;""),Main[[#This Row],[In Stock Date]]-Main[[#This Row],[Revised Due Date]],"")</f>
        <v/>
      </c>
      <c r="I506" s="65" t="s">
        <v>4</v>
      </c>
      <c r="J506" s="65" t="s">
        <v>4</v>
      </c>
      <c r="K506" s="71" t="s">
        <v>4</v>
      </c>
      <c r="L506" s="67"/>
      <c r="M506" s="69" t="str">
        <f>IF(Main[[#This Row],[Tech Start Date]]&lt;1/1/1990,"",IF(Main[[#This Row],[Class]]="C",WORKDAY(Main[[#This Row],[Tech Start Date]],9),IF(Main[[#This Row],[Class]]="B", WORKDAY(Main[[#This Row],[Tech Start Date]],6),IF(Main[[#This Row],[Class]]="A",WORKDAY(Main[[#This Row],[Tech Start Date]],2),""))))</f>
        <v/>
      </c>
      <c r="N506" s="69" t="str">
        <f>IF(Main[[#This Row],[Tech Start Date]]&lt;1/1/1990,"",IF(Main[[#This Row],[Class]]="C",WORKDAY(Main[[#This Row],[Tech Start Date]],19),IF(Main[[#This Row],[Class]]="B", WORKDAY(Main[[#This Row],[Tech Start Date]],12),IF(Main[[#This Row],[Class]]="A",WORKDAY(Main[[#This Row],[Tech Start Date]],4),""))))</f>
        <v/>
      </c>
      <c r="O506" s="69" t="str">
        <f>IF(Main[[#This Row],[Tech Start Date]]&lt;1/1/1990,"",IF(Main[[#This Row],[Class]]="C",WORKDAY(Main[[#This Row],[Tech Start Date]],23),IF(Main[[#This Row],[Class]]="B", WORKDAY(Main[[#This Row],[Tech Start Date]],15),IF(Main[[#This Row],[Class]]="A",WORKDAY(Main[[#This Row],[Tech Start Date]],5),""))))</f>
        <v/>
      </c>
      <c r="P506" s="69" t="str">
        <f>IF(Main[[#This Row],[Tech Start Date]]&lt;1/1/1990,"",IF(Main[[#This Row],[Class]]="C",WORKDAY(Main[[#This Row],[Tech Start Date]],28),IF(Main[[#This Row],[Class]]="B", WORKDAY(Main[[#This Row],[Tech Start Date]],19),IF(Main[[#This Row],[Class]]="A",WORKDAY(Main[[#This Row],[Tech Start Date]],9),""))))</f>
        <v/>
      </c>
      <c r="Q506" s="67"/>
      <c r="R506" s="67"/>
      <c r="S506" s="65" t="s">
        <v>11</v>
      </c>
      <c r="T506" s="70" t="s">
        <v>4</v>
      </c>
      <c r="U506" s="65" t="s">
        <v>14</v>
      </c>
      <c r="V506" s="65" t="s">
        <v>1920</v>
      </c>
      <c r="W506" s="65" t="s">
        <v>1925</v>
      </c>
      <c r="X506" s="65" t="s">
        <v>2850</v>
      </c>
      <c r="Y506" s="65" t="s">
        <v>2983</v>
      </c>
      <c r="Z506" s="65" t="s">
        <v>4</v>
      </c>
      <c r="AA506" s="65" t="s">
        <v>2850</v>
      </c>
    </row>
    <row r="507" spans="1:27" ht="17.45" customHeight="1">
      <c r="A507" s="131" t="str">
        <f>IF(priority(Main[[#This Row],[Comments]])&lt;&gt;0, priority(Main[[#This Row],[Comments]]),"")</f>
        <v/>
      </c>
      <c r="B507" s="99" t="s">
        <v>1028</v>
      </c>
      <c r="C507" s="65" t="s">
        <v>4</v>
      </c>
      <c r="D507" s="66" t="s">
        <v>3613</v>
      </c>
      <c r="E507" s="67">
        <v>40294.37054398148</v>
      </c>
      <c r="F507" s="67"/>
      <c r="G507" s="64" t="str">
        <f>IF(stdProdLT(Main[[#This Row],[Comments]])=0.1,"N/A",IF(stdProdLT(Main[[#This Row],[Comments]])=0,"",stdProdLT(Main[[#This Row],[Comments]])))</f>
        <v/>
      </c>
      <c r="H507" s="68" t="str">
        <f>IF(AND(Main[[#This Row],[In Stock Date]]&lt;&gt;"",Main[[#This Row],[Revised Due Date]]&lt;&gt;""),Main[[#This Row],[In Stock Date]]-Main[[#This Row],[Revised Due Date]],"")</f>
        <v/>
      </c>
      <c r="I507" s="65" t="s">
        <v>2211</v>
      </c>
      <c r="J507" s="65" t="s">
        <v>75</v>
      </c>
      <c r="K507" s="65" t="s">
        <v>1926</v>
      </c>
      <c r="L507" s="67"/>
      <c r="M507" s="69" t="str">
        <f>IF(Main[[#This Row],[Tech Start Date]]&lt;1/1/1990,"",IF(Main[[#This Row],[Class]]="C",WORKDAY(Main[[#This Row],[Tech Start Date]],9),IF(Main[[#This Row],[Class]]="B", WORKDAY(Main[[#This Row],[Tech Start Date]],6),IF(Main[[#This Row],[Class]]="A",WORKDAY(Main[[#This Row],[Tech Start Date]],2),""))))</f>
        <v/>
      </c>
      <c r="N507" s="69" t="str">
        <f>IF(Main[[#This Row],[Tech Start Date]]&lt;1/1/1990,"",IF(Main[[#This Row],[Class]]="C",WORKDAY(Main[[#This Row],[Tech Start Date]],19),IF(Main[[#This Row],[Class]]="B", WORKDAY(Main[[#This Row],[Tech Start Date]],12),IF(Main[[#This Row],[Class]]="A",WORKDAY(Main[[#This Row],[Tech Start Date]],4),""))))</f>
        <v/>
      </c>
      <c r="O507" s="69" t="str">
        <f>IF(Main[[#This Row],[Tech Start Date]]&lt;1/1/1990,"",IF(Main[[#This Row],[Class]]="C",WORKDAY(Main[[#This Row],[Tech Start Date]],23),IF(Main[[#This Row],[Class]]="B", WORKDAY(Main[[#This Row],[Tech Start Date]],15),IF(Main[[#This Row],[Class]]="A",WORKDAY(Main[[#This Row],[Tech Start Date]],5),""))))</f>
        <v/>
      </c>
      <c r="P507" s="69" t="str">
        <f>IF(Main[[#This Row],[Tech Start Date]]&lt;1/1/1990,"",IF(Main[[#This Row],[Class]]="C",WORKDAY(Main[[#This Row],[Tech Start Date]],28),IF(Main[[#This Row],[Class]]="B", WORKDAY(Main[[#This Row],[Tech Start Date]],19),IF(Main[[#This Row],[Class]]="A",WORKDAY(Main[[#This Row],[Tech Start Date]],9),""))))</f>
        <v/>
      </c>
      <c r="Q507" s="67">
        <v>40909</v>
      </c>
      <c r="R507" s="67"/>
      <c r="S507" s="65" t="s">
        <v>6</v>
      </c>
      <c r="T507" s="70" t="s">
        <v>4</v>
      </c>
      <c r="U507" s="65" t="s">
        <v>29</v>
      </c>
      <c r="V507" s="65" t="s">
        <v>1920</v>
      </c>
      <c r="W507" s="65" t="s">
        <v>1921</v>
      </c>
      <c r="X507" s="65" t="s">
        <v>2825</v>
      </c>
      <c r="Y507" s="65" t="s">
        <v>2938</v>
      </c>
      <c r="Z507" s="65" t="s">
        <v>239</v>
      </c>
      <c r="AA507" s="65" t="s">
        <v>2825</v>
      </c>
    </row>
    <row r="508" spans="1:27" ht="17.45" customHeight="1">
      <c r="A508" s="131" t="str">
        <f>IF(priority(Main[[#This Row],[Comments]])&lt;&gt;0, priority(Main[[#This Row],[Comments]]),"")</f>
        <v/>
      </c>
      <c r="B508" s="99" t="s">
        <v>1325</v>
      </c>
      <c r="C508" s="65" t="s">
        <v>4</v>
      </c>
      <c r="D508" s="66" t="s">
        <v>405</v>
      </c>
      <c r="E508" s="67"/>
      <c r="F508" s="67"/>
      <c r="G508" s="64" t="str">
        <f>IF(stdProdLT(Main[[#This Row],[Comments]])=0.1,"N/A",IF(stdProdLT(Main[[#This Row],[Comments]])=0,"",stdProdLT(Main[[#This Row],[Comments]])))</f>
        <v/>
      </c>
      <c r="H508" s="68" t="str">
        <f>IF(AND(Main[[#This Row],[In Stock Date]]&lt;&gt;"",Main[[#This Row],[Revised Due Date]]&lt;&gt;""),Main[[#This Row],[In Stock Date]]-Main[[#This Row],[Revised Due Date]],"")</f>
        <v/>
      </c>
      <c r="I508" s="65" t="s">
        <v>4</v>
      </c>
      <c r="J508" s="65" t="s">
        <v>4</v>
      </c>
      <c r="K508" s="65" t="s">
        <v>4</v>
      </c>
      <c r="L508" s="67"/>
      <c r="M508" s="69" t="str">
        <f>IF(Main[[#This Row],[Tech Start Date]]&lt;1/1/1990,"",IF(Main[[#This Row],[Class]]="C",WORKDAY(Main[[#This Row],[Tech Start Date]],9),IF(Main[[#This Row],[Class]]="B", WORKDAY(Main[[#This Row],[Tech Start Date]],6),IF(Main[[#This Row],[Class]]="A",WORKDAY(Main[[#This Row],[Tech Start Date]],2),""))))</f>
        <v/>
      </c>
      <c r="N508" s="69" t="str">
        <f>IF(Main[[#This Row],[Tech Start Date]]&lt;1/1/1990,"",IF(Main[[#This Row],[Class]]="C",WORKDAY(Main[[#This Row],[Tech Start Date]],19),IF(Main[[#This Row],[Class]]="B", WORKDAY(Main[[#This Row],[Tech Start Date]],12),IF(Main[[#This Row],[Class]]="A",WORKDAY(Main[[#This Row],[Tech Start Date]],4),""))))</f>
        <v/>
      </c>
      <c r="O508" s="69" t="str">
        <f>IF(Main[[#This Row],[Tech Start Date]]&lt;1/1/1990,"",IF(Main[[#This Row],[Class]]="C",WORKDAY(Main[[#This Row],[Tech Start Date]],23),IF(Main[[#This Row],[Class]]="B", WORKDAY(Main[[#This Row],[Tech Start Date]],15),IF(Main[[#This Row],[Class]]="A",WORKDAY(Main[[#This Row],[Tech Start Date]],5),""))))</f>
        <v/>
      </c>
      <c r="P508" s="69" t="str">
        <f>IF(Main[[#This Row],[Tech Start Date]]&lt;1/1/1990,"",IF(Main[[#This Row],[Class]]="C",WORKDAY(Main[[#This Row],[Tech Start Date]],28),IF(Main[[#This Row],[Class]]="B", WORKDAY(Main[[#This Row],[Tech Start Date]],19),IF(Main[[#This Row],[Class]]="A",WORKDAY(Main[[#This Row],[Tech Start Date]],9),""))))</f>
        <v/>
      </c>
      <c r="Q508" s="67">
        <v>40390</v>
      </c>
      <c r="R508" s="67"/>
      <c r="S508" s="65" t="s">
        <v>6</v>
      </c>
      <c r="T508" s="70" t="s">
        <v>4</v>
      </c>
      <c r="U508" s="65" t="s">
        <v>14</v>
      </c>
      <c r="V508" s="65" t="s">
        <v>1920</v>
      </c>
      <c r="W508" s="65" t="s">
        <v>4</v>
      </c>
      <c r="X508" s="65" t="s">
        <v>2825</v>
      </c>
      <c r="Y508" s="65" t="s">
        <v>2938</v>
      </c>
      <c r="Z508" s="65" t="s">
        <v>4</v>
      </c>
      <c r="AA508" s="65" t="s">
        <v>2825</v>
      </c>
    </row>
    <row r="509" spans="1:27" ht="17.45" customHeight="1">
      <c r="A509" s="131" t="str">
        <f>IF(priority(Main[[#This Row],[Comments]])&lt;&gt;0, priority(Main[[#This Row],[Comments]]),"")</f>
        <v/>
      </c>
      <c r="B509" s="99" t="s">
        <v>1326</v>
      </c>
      <c r="C509" s="65" t="s">
        <v>169</v>
      </c>
      <c r="D509" s="66" t="s">
        <v>406</v>
      </c>
      <c r="E509" s="67"/>
      <c r="F509" s="67">
        <v>40237</v>
      </c>
      <c r="G509" s="64" t="str">
        <f>IF(stdProdLT(Main[[#This Row],[Comments]])=0.1,"N/A",IF(stdProdLT(Main[[#This Row],[Comments]])=0,"",stdProdLT(Main[[#This Row],[Comments]])))</f>
        <v/>
      </c>
      <c r="H509" s="68" t="str">
        <f>IF(AND(Main[[#This Row],[In Stock Date]]&lt;&gt;"",Main[[#This Row],[Revised Due Date]]&lt;&gt;""),Main[[#This Row],[In Stock Date]]-Main[[#This Row],[Revised Due Date]],"")</f>
        <v/>
      </c>
      <c r="I509" s="65" t="s">
        <v>4</v>
      </c>
      <c r="J509" s="65" t="s">
        <v>4</v>
      </c>
      <c r="K509" s="65" t="s">
        <v>4</v>
      </c>
      <c r="L509" s="67"/>
      <c r="M509" s="69" t="str">
        <f>IF(Main[[#This Row],[Tech Start Date]]&lt;1/1/1990,"",IF(Main[[#This Row],[Class]]="C",WORKDAY(Main[[#This Row],[Tech Start Date]],9),IF(Main[[#This Row],[Class]]="B", WORKDAY(Main[[#This Row],[Tech Start Date]],6),IF(Main[[#This Row],[Class]]="A",WORKDAY(Main[[#This Row],[Tech Start Date]],2),""))))</f>
        <v/>
      </c>
      <c r="N509" s="69" t="str">
        <f>IF(Main[[#This Row],[Tech Start Date]]&lt;1/1/1990,"",IF(Main[[#This Row],[Class]]="C",WORKDAY(Main[[#This Row],[Tech Start Date]],19),IF(Main[[#This Row],[Class]]="B", WORKDAY(Main[[#This Row],[Tech Start Date]],12),IF(Main[[#This Row],[Class]]="A",WORKDAY(Main[[#This Row],[Tech Start Date]],4),""))))</f>
        <v/>
      </c>
      <c r="O509" s="69" t="str">
        <f>IF(Main[[#This Row],[Tech Start Date]]&lt;1/1/1990,"",IF(Main[[#This Row],[Class]]="C",WORKDAY(Main[[#This Row],[Tech Start Date]],23),IF(Main[[#This Row],[Class]]="B", WORKDAY(Main[[#This Row],[Tech Start Date]],15),IF(Main[[#This Row],[Class]]="A",WORKDAY(Main[[#This Row],[Tech Start Date]],5),""))))</f>
        <v/>
      </c>
      <c r="P509" s="69" t="str">
        <f>IF(Main[[#This Row],[Tech Start Date]]&lt;1/1/1990,"",IF(Main[[#This Row],[Class]]="C",WORKDAY(Main[[#This Row],[Tech Start Date]],28),IF(Main[[#This Row],[Class]]="B", WORKDAY(Main[[#This Row],[Tech Start Date]],19),IF(Main[[#This Row],[Class]]="A",WORKDAY(Main[[#This Row],[Tech Start Date]],9),""))))</f>
        <v/>
      </c>
      <c r="Q509" s="67">
        <v>40132</v>
      </c>
      <c r="R509" s="67"/>
      <c r="S509" s="65" t="s">
        <v>11</v>
      </c>
      <c r="T509" s="70" t="s">
        <v>4</v>
      </c>
      <c r="U509" s="65" t="s">
        <v>14</v>
      </c>
      <c r="V509" s="65" t="s">
        <v>1917</v>
      </c>
      <c r="W509" s="65" t="s">
        <v>1922</v>
      </c>
      <c r="X509" s="65" t="s">
        <v>2864</v>
      </c>
      <c r="Y509" s="65" t="s">
        <v>4</v>
      </c>
      <c r="Z509" s="65" t="s">
        <v>4</v>
      </c>
      <c r="AA509" s="65" t="s">
        <v>2864</v>
      </c>
    </row>
    <row r="510" spans="1:27" ht="17.45" customHeight="1">
      <c r="A510" s="131" t="str">
        <f>IF(priority(Main[[#This Row],[Comments]])&lt;&gt;0, priority(Main[[#This Row],[Comments]]),"")</f>
        <v/>
      </c>
      <c r="B510" s="99" t="s">
        <v>1327</v>
      </c>
      <c r="C510" s="65" t="s">
        <v>169</v>
      </c>
      <c r="D510" s="66" t="s">
        <v>407</v>
      </c>
      <c r="E510" s="67"/>
      <c r="F510" s="67">
        <v>40237</v>
      </c>
      <c r="G510" s="64" t="str">
        <f>IF(stdProdLT(Main[[#This Row],[Comments]])=0.1,"N/A",IF(stdProdLT(Main[[#This Row],[Comments]])=0,"",stdProdLT(Main[[#This Row],[Comments]])))</f>
        <v/>
      </c>
      <c r="H510" s="68" t="str">
        <f>IF(AND(Main[[#This Row],[In Stock Date]]&lt;&gt;"",Main[[#This Row],[Revised Due Date]]&lt;&gt;""),Main[[#This Row],[In Stock Date]]-Main[[#This Row],[Revised Due Date]],"")</f>
        <v/>
      </c>
      <c r="I510" s="65" t="s">
        <v>4</v>
      </c>
      <c r="J510" s="65" t="s">
        <v>4</v>
      </c>
      <c r="K510" s="65" t="s">
        <v>4</v>
      </c>
      <c r="L510" s="67"/>
      <c r="M510" s="69" t="str">
        <f>IF(Main[[#This Row],[Tech Start Date]]&lt;1/1/1990,"",IF(Main[[#This Row],[Class]]="C",WORKDAY(Main[[#This Row],[Tech Start Date]],9),IF(Main[[#This Row],[Class]]="B", WORKDAY(Main[[#This Row],[Tech Start Date]],6),IF(Main[[#This Row],[Class]]="A",WORKDAY(Main[[#This Row],[Tech Start Date]],2),""))))</f>
        <v/>
      </c>
      <c r="N510" s="69" t="str">
        <f>IF(Main[[#This Row],[Tech Start Date]]&lt;1/1/1990,"",IF(Main[[#This Row],[Class]]="C",WORKDAY(Main[[#This Row],[Tech Start Date]],19),IF(Main[[#This Row],[Class]]="B", WORKDAY(Main[[#This Row],[Tech Start Date]],12),IF(Main[[#This Row],[Class]]="A",WORKDAY(Main[[#This Row],[Tech Start Date]],4),""))))</f>
        <v/>
      </c>
      <c r="O510" s="69" t="str">
        <f>IF(Main[[#This Row],[Tech Start Date]]&lt;1/1/1990,"",IF(Main[[#This Row],[Class]]="C",WORKDAY(Main[[#This Row],[Tech Start Date]],23),IF(Main[[#This Row],[Class]]="B", WORKDAY(Main[[#This Row],[Tech Start Date]],15),IF(Main[[#This Row],[Class]]="A",WORKDAY(Main[[#This Row],[Tech Start Date]],5),""))))</f>
        <v/>
      </c>
      <c r="P510" s="69" t="str">
        <f>IF(Main[[#This Row],[Tech Start Date]]&lt;1/1/1990,"",IF(Main[[#This Row],[Class]]="C",WORKDAY(Main[[#This Row],[Tech Start Date]],28),IF(Main[[#This Row],[Class]]="B", WORKDAY(Main[[#This Row],[Tech Start Date]],19),IF(Main[[#This Row],[Class]]="A",WORKDAY(Main[[#This Row],[Tech Start Date]],9),""))))</f>
        <v/>
      </c>
      <c r="Q510" s="67">
        <v>40132</v>
      </c>
      <c r="R510" s="67"/>
      <c r="S510" s="65" t="s">
        <v>11</v>
      </c>
      <c r="T510" s="70" t="s">
        <v>4</v>
      </c>
      <c r="U510" s="65" t="s">
        <v>14</v>
      </c>
      <c r="V510" s="65" t="s">
        <v>1917</v>
      </c>
      <c r="W510" s="65" t="s">
        <v>1922</v>
      </c>
      <c r="X510" s="65" t="s">
        <v>2864</v>
      </c>
      <c r="Y510" s="65" t="s">
        <v>4</v>
      </c>
      <c r="Z510" s="65" t="s">
        <v>4</v>
      </c>
      <c r="AA510" s="65" t="s">
        <v>2864</v>
      </c>
    </row>
    <row r="511" spans="1:27" ht="17.45" customHeight="1">
      <c r="A511" s="131" t="str">
        <f>IF(priority(Main[[#This Row],[Comments]])&lt;&gt;0, priority(Main[[#This Row],[Comments]]),"")</f>
        <v/>
      </c>
      <c r="B511" s="99" t="s">
        <v>1328</v>
      </c>
      <c r="C511" s="65" t="s">
        <v>4</v>
      </c>
      <c r="D511" s="66" t="s">
        <v>408</v>
      </c>
      <c r="E511" s="67"/>
      <c r="F511" s="67"/>
      <c r="G511" s="64" t="str">
        <f>IF(stdProdLT(Main[[#This Row],[Comments]])=0.1,"N/A",IF(stdProdLT(Main[[#This Row],[Comments]])=0,"",stdProdLT(Main[[#This Row],[Comments]])))</f>
        <v/>
      </c>
      <c r="H511" s="68" t="str">
        <f>IF(AND(Main[[#This Row],[In Stock Date]]&lt;&gt;"",Main[[#This Row],[Revised Due Date]]&lt;&gt;""),Main[[#This Row],[In Stock Date]]-Main[[#This Row],[Revised Due Date]],"")</f>
        <v/>
      </c>
      <c r="I511" s="65" t="s">
        <v>4</v>
      </c>
      <c r="J511" s="65" t="s">
        <v>28</v>
      </c>
      <c r="K511" s="65" t="s">
        <v>4</v>
      </c>
      <c r="L511" s="67"/>
      <c r="M511" s="69" t="str">
        <f>IF(Main[[#This Row],[Tech Start Date]]&lt;1/1/1990,"",IF(Main[[#This Row],[Class]]="C",WORKDAY(Main[[#This Row],[Tech Start Date]],9),IF(Main[[#This Row],[Class]]="B", WORKDAY(Main[[#This Row],[Tech Start Date]],6),IF(Main[[#This Row],[Class]]="A",WORKDAY(Main[[#This Row],[Tech Start Date]],2),""))))</f>
        <v/>
      </c>
      <c r="N511" s="69" t="str">
        <f>IF(Main[[#This Row],[Tech Start Date]]&lt;1/1/1990,"",IF(Main[[#This Row],[Class]]="C",WORKDAY(Main[[#This Row],[Tech Start Date]],19),IF(Main[[#This Row],[Class]]="B", WORKDAY(Main[[#This Row],[Tech Start Date]],12),IF(Main[[#This Row],[Class]]="A",WORKDAY(Main[[#This Row],[Tech Start Date]],4),""))))</f>
        <v/>
      </c>
      <c r="O511" s="69" t="str">
        <f>IF(Main[[#This Row],[Tech Start Date]]&lt;1/1/1990,"",IF(Main[[#This Row],[Class]]="C",WORKDAY(Main[[#This Row],[Tech Start Date]],23),IF(Main[[#This Row],[Class]]="B", WORKDAY(Main[[#This Row],[Tech Start Date]],15),IF(Main[[#This Row],[Class]]="A",WORKDAY(Main[[#This Row],[Tech Start Date]],5),""))))</f>
        <v/>
      </c>
      <c r="P511" s="69" t="str">
        <f>IF(Main[[#This Row],[Tech Start Date]]&lt;1/1/1990,"",IF(Main[[#This Row],[Class]]="C",WORKDAY(Main[[#This Row],[Tech Start Date]],28),IF(Main[[#This Row],[Class]]="B", WORKDAY(Main[[#This Row],[Tech Start Date]],19),IF(Main[[#This Row],[Class]]="A",WORKDAY(Main[[#This Row],[Tech Start Date]],9),""))))</f>
        <v/>
      </c>
      <c r="Q511" s="67">
        <v>40471</v>
      </c>
      <c r="R511" s="67"/>
      <c r="S511" s="65" t="s">
        <v>6</v>
      </c>
      <c r="T511" s="70" t="s">
        <v>4</v>
      </c>
      <c r="U511" s="65" t="s">
        <v>14</v>
      </c>
      <c r="V511" s="65" t="s">
        <v>1920</v>
      </c>
      <c r="W511" s="65" t="s">
        <v>1919</v>
      </c>
      <c r="X511" s="65" t="s">
        <v>2828</v>
      </c>
      <c r="Y511" s="65" t="s">
        <v>2944</v>
      </c>
      <c r="Z511" s="65" t="s">
        <v>530</v>
      </c>
      <c r="AA511" s="65" t="s">
        <v>2828</v>
      </c>
    </row>
    <row r="512" spans="1:27" ht="17.45" customHeight="1">
      <c r="A512" s="131" t="str">
        <f>IF(priority(Main[[#This Row],[Comments]])&lt;&gt;0, priority(Main[[#This Row],[Comments]]),"")</f>
        <v/>
      </c>
      <c r="B512" s="99" t="s">
        <v>1329</v>
      </c>
      <c r="C512" s="65" t="s">
        <v>4</v>
      </c>
      <c r="D512" s="66" t="s">
        <v>409</v>
      </c>
      <c r="E512" s="67"/>
      <c r="F512" s="67"/>
      <c r="G512" s="64" t="str">
        <f>IF(stdProdLT(Main[[#This Row],[Comments]])=0.1,"N/A",IF(stdProdLT(Main[[#This Row],[Comments]])=0,"",stdProdLT(Main[[#This Row],[Comments]])))</f>
        <v/>
      </c>
      <c r="H512" s="68" t="str">
        <f>IF(AND(Main[[#This Row],[In Stock Date]]&lt;&gt;"",Main[[#This Row],[Revised Due Date]]&lt;&gt;""),Main[[#This Row],[In Stock Date]]-Main[[#This Row],[Revised Due Date]],"")</f>
        <v/>
      </c>
      <c r="I512" s="65" t="s">
        <v>4</v>
      </c>
      <c r="J512" s="65" t="s">
        <v>4</v>
      </c>
      <c r="K512" s="65" t="s">
        <v>4</v>
      </c>
      <c r="L512" s="67"/>
      <c r="M512" s="69" t="str">
        <f>IF(Main[[#This Row],[Tech Start Date]]&lt;1/1/1990,"",IF(Main[[#This Row],[Class]]="C",WORKDAY(Main[[#This Row],[Tech Start Date]],9),IF(Main[[#This Row],[Class]]="B", WORKDAY(Main[[#This Row],[Tech Start Date]],6),IF(Main[[#This Row],[Class]]="A",WORKDAY(Main[[#This Row],[Tech Start Date]],2),""))))</f>
        <v/>
      </c>
      <c r="N512" s="69" t="str">
        <f>IF(Main[[#This Row],[Tech Start Date]]&lt;1/1/1990,"",IF(Main[[#This Row],[Class]]="C",WORKDAY(Main[[#This Row],[Tech Start Date]],19),IF(Main[[#This Row],[Class]]="B", WORKDAY(Main[[#This Row],[Tech Start Date]],12),IF(Main[[#This Row],[Class]]="A",WORKDAY(Main[[#This Row],[Tech Start Date]],4),""))))</f>
        <v/>
      </c>
      <c r="O512" s="69" t="str">
        <f>IF(Main[[#This Row],[Tech Start Date]]&lt;1/1/1990,"",IF(Main[[#This Row],[Class]]="C",WORKDAY(Main[[#This Row],[Tech Start Date]],23),IF(Main[[#This Row],[Class]]="B", WORKDAY(Main[[#This Row],[Tech Start Date]],15),IF(Main[[#This Row],[Class]]="A",WORKDAY(Main[[#This Row],[Tech Start Date]],5),""))))</f>
        <v/>
      </c>
      <c r="P512" s="69" t="str">
        <f>IF(Main[[#This Row],[Tech Start Date]]&lt;1/1/1990,"",IF(Main[[#This Row],[Class]]="C",WORKDAY(Main[[#This Row],[Tech Start Date]],28),IF(Main[[#This Row],[Class]]="B", WORKDAY(Main[[#This Row],[Tech Start Date]],19),IF(Main[[#This Row],[Class]]="A",WORKDAY(Main[[#This Row],[Tech Start Date]],9),""))))</f>
        <v/>
      </c>
      <c r="Q512" s="67"/>
      <c r="R512" s="67"/>
      <c r="S512" s="65" t="s">
        <v>6</v>
      </c>
      <c r="T512" s="70" t="s">
        <v>4</v>
      </c>
      <c r="U512" s="65" t="s">
        <v>12</v>
      </c>
      <c r="V512" s="65" t="s">
        <v>1918</v>
      </c>
      <c r="W512" s="65" t="s">
        <v>1925</v>
      </c>
      <c r="X512" s="65" t="s">
        <v>943</v>
      </c>
      <c r="Y512" s="65" t="s">
        <v>3001</v>
      </c>
      <c r="Z512" s="65" t="s">
        <v>4</v>
      </c>
      <c r="AA512" s="65" t="s">
        <v>943</v>
      </c>
    </row>
    <row r="513" spans="1:27" ht="17.45" customHeight="1">
      <c r="A513" s="131" t="str">
        <f>IF(priority(Main[[#This Row],[Comments]])&lt;&gt;0, priority(Main[[#This Row],[Comments]]),"")</f>
        <v/>
      </c>
      <c r="B513" s="99" t="s">
        <v>1330</v>
      </c>
      <c r="C513" s="65" t="s">
        <v>4</v>
      </c>
      <c r="D513" s="66" t="s">
        <v>410</v>
      </c>
      <c r="E513" s="67"/>
      <c r="F513" s="67"/>
      <c r="G513" s="64" t="str">
        <f>IF(stdProdLT(Main[[#This Row],[Comments]])=0.1,"N/A",IF(stdProdLT(Main[[#This Row],[Comments]])=0,"",stdProdLT(Main[[#This Row],[Comments]])))</f>
        <v/>
      </c>
      <c r="H513" s="68" t="str">
        <f>IF(AND(Main[[#This Row],[In Stock Date]]&lt;&gt;"",Main[[#This Row],[Revised Due Date]]&lt;&gt;""),Main[[#This Row],[In Stock Date]]-Main[[#This Row],[Revised Due Date]],"")</f>
        <v/>
      </c>
      <c r="I513" s="65" t="s">
        <v>4</v>
      </c>
      <c r="J513" s="65" t="s">
        <v>4</v>
      </c>
      <c r="K513" s="65" t="s">
        <v>4</v>
      </c>
      <c r="L513" s="67"/>
      <c r="M513" s="69" t="str">
        <f>IF(Main[[#This Row],[Tech Start Date]]&lt;1/1/1990,"",IF(Main[[#This Row],[Class]]="C",WORKDAY(Main[[#This Row],[Tech Start Date]],9),IF(Main[[#This Row],[Class]]="B", WORKDAY(Main[[#This Row],[Tech Start Date]],6),IF(Main[[#This Row],[Class]]="A",WORKDAY(Main[[#This Row],[Tech Start Date]],2),""))))</f>
        <v/>
      </c>
      <c r="N513" s="69" t="str">
        <f>IF(Main[[#This Row],[Tech Start Date]]&lt;1/1/1990,"",IF(Main[[#This Row],[Class]]="C",WORKDAY(Main[[#This Row],[Tech Start Date]],19),IF(Main[[#This Row],[Class]]="B", WORKDAY(Main[[#This Row],[Tech Start Date]],12),IF(Main[[#This Row],[Class]]="A",WORKDAY(Main[[#This Row],[Tech Start Date]],4),""))))</f>
        <v/>
      </c>
      <c r="O513" s="69" t="str">
        <f>IF(Main[[#This Row],[Tech Start Date]]&lt;1/1/1990,"",IF(Main[[#This Row],[Class]]="C",WORKDAY(Main[[#This Row],[Tech Start Date]],23),IF(Main[[#This Row],[Class]]="B", WORKDAY(Main[[#This Row],[Tech Start Date]],15),IF(Main[[#This Row],[Class]]="A",WORKDAY(Main[[#This Row],[Tech Start Date]],5),""))))</f>
        <v/>
      </c>
      <c r="P513" s="69" t="str">
        <f>IF(Main[[#This Row],[Tech Start Date]]&lt;1/1/1990,"",IF(Main[[#This Row],[Class]]="C",WORKDAY(Main[[#This Row],[Tech Start Date]],28),IF(Main[[#This Row],[Class]]="B", WORKDAY(Main[[#This Row],[Tech Start Date]],19),IF(Main[[#This Row],[Class]]="A",WORKDAY(Main[[#This Row],[Tech Start Date]],9),""))))</f>
        <v/>
      </c>
      <c r="Q513" s="67"/>
      <c r="R513" s="67"/>
      <c r="S513" s="65" t="s">
        <v>411</v>
      </c>
      <c r="T513" s="70" t="s">
        <v>4</v>
      </c>
      <c r="U513" s="65" t="s">
        <v>14</v>
      </c>
      <c r="V513" s="65" t="s">
        <v>1918</v>
      </c>
      <c r="W513" s="65" t="s">
        <v>1921</v>
      </c>
      <c r="X513" s="65" t="s">
        <v>924</v>
      </c>
      <c r="Y513" s="65" t="s">
        <v>2988</v>
      </c>
      <c r="Z513" s="65" t="s">
        <v>4</v>
      </c>
      <c r="AA513" s="65" t="s">
        <v>924</v>
      </c>
    </row>
    <row r="514" spans="1:27" ht="17.45" customHeight="1">
      <c r="A514" s="131" t="str">
        <f>IF(priority(Main[[#This Row],[Comments]])&lt;&gt;0, priority(Main[[#This Row],[Comments]]),"")</f>
        <v/>
      </c>
      <c r="B514" s="99" t="s">
        <v>1620</v>
      </c>
      <c r="C514" s="65" t="s">
        <v>694</v>
      </c>
      <c r="D514" s="66" t="s">
        <v>695</v>
      </c>
      <c r="E514" s="67"/>
      <c r="F514" s="67"/>
      <c r="G514" s="64" t="str">
        <f>IF(stdProdLT(Main[[#This Row],[Comments]])=0.1,"N/A",IF(stdProdLT(Main[[#This Row],[Comments]])=0,"",stdProdLT(Main[[#This Row],[Comments]])))</f>
        <v/>
      </c>
      <c r="H514" s="68" t="str">
        <f>IF(AND(Main[[#This Row],[In Stock Date]]&lt;&gt;"",Main[[#This Row],[Revised Due Date]]&lt;&gt;""),Main[[#This Row],[In Stock Date]]-Main[[#This Row],[Revised Due Date]],"")</f>
        <v/>
      </c>
      <c r="I514" s="65" t="s">
        <v>4</v>
      </c>
      <c r="J514" s="65" t="s">
        <v>4</v>
      </c>
      <c r="K514" s="65" t="s">
        <v>4</v>
      </c>
      <c r="L514" s="67"/>
      <c r="M514" s="69" t="str">
        <f>IF(Main[[#This Row],[Tech Start Date]]&lt;1/1/1990,"",IF(Main[[#This Row],[Class]]="C",WORKDAY(Main[[#This Row],[Tech Start Date]],9),IF(Main[[#This Row],[Class]]="B", WORKDAY(Main[[#This Row],[Tech Start Date]],6),IF(Main[[#This Row],[Class]]="A",WORKDAY(Main[[#This Row],[Tech Start Date]],2),""))))</f>
        <v/>
      </c>
      <c r="N514" s="69" t="str">
        <f>IF(Main[[#This Row],[Tech Start Date]]&lt;1/1/1990,"",IF(Main[[#This Row],[Class]]="C",WORKDAY(Main[[#This Row],[Tech Start Date]],19),IF(Main[[#This Row],[Class]]="B", WORKDAY(Main[[#This Row],[Tech Start Date]],12),IF(Main[[#This Row],[Class]]="A",WORKDAY(Main[[#This Row],[Tech Start Date]],4),""))))</f>
        <v/>
      </c>
      <c r="O514" s="69" t="str">
        <f>IF(Main[[#This Row],[Tech Start Date]]&lt;1/1/1990,"",IF(Main[[#This Row],[Class]]="C",WORKDAY(Main[[#This Row],[Tech Start Date]],23),IF(Main[[#This Row],[Class]]="B", WORKDAY(Main[[#This Row],[Tech Start Date]],15),IF(Main[[#This Row],[Class]]="A",WORKDAY(Main[[#This Row],[Tech Start Date]],5),""))))</f>
        <v/>
      </c>
      <c r="P514" s="69" t="str">
        <f>IF(Main[[#This Row],[Tech Start Date]]&lt;1/1/1990,"",IF(Main[[#This Row],[Class]]="C",WORKDAY(Main[[#This Row],[Tech Start Date]],28),IF(Main[[#This Row],[Class]]="B", WORKDAY(Main[[#This Row],[Tech Start Date]],19),IF(Main[[#This Row],[Class]]="A",WORKDAY(Main[[#This Row],[Tech Start Date]],9),""))))</f>
        <v/>
      </c>
      <c r="Q514" s="67">
        <v>40672</v>
      </c>
      <c r="R514" s="67"/>
      <c r="S514" s="65" t="s">
        <v>11</v>
      </c>
      <c r="T514" s="70" t="s">
        <v>4</v>
      </c>
      <c r="U514" s="65" t="s">
        <v>14</v>
      </c>
      <c r="V514" s="65" t="s">
        <v>1917</v>
      </c>
      <c r="W514" s="65" t="s">
        <v>1919</v>
      </c>
      <c r="X514" s="65" t="s">
        <v>2889</v>
      </c>
      <c r="Y514" s="65" t="s">
        <v>4</v>
      </c>
      <c r="Z514" s="65" t="s">
        <v>4</v>
      </c>
      <c r="AA514" s="65" t="s">
        <v>2889</v>
      </c>
    </row>
    <row r="515" spans="1:27" ht="17.45" customHeight="1">
      <c r="A515" s="131" t="str">
        <f>IF(priority(Main[[#This Row],[Comments]])&lt;&gt;0, priority(Main[[#This Row],[Comments]]),"")</f>
        <v/>
      </c>
      <c r="B515" s="99" t="s">
        <v>1204</v>
      </c>
      <c r="C515" s="65" t="s">
        <v>169</v>
      </c>
      <c r="D515" s="66" t="s">
        <v>260</v>
      </c>
      <c r="E515" s="67"/>
      <c r="F515" s="67">
        <v>40237</v>
      </c>
      <c r="G515" s="64" t="str">
        <f>IF(stdProdLT(Main[[#This Row],[Comments]])=0.1,"N/A",IF(stdProdLT(Main[[#This Row],[Comments]])=0,"",stdProdLT(Main[[#This Row],[Comments]])))</f>
        <v/>
      </c>
      <c r="H515" s="68" t="str">
        <f>IF(AND(Main[[#This Row],[In Stock Date]]&lt;&gt;"",Main[[#This Row],[Revised Due Date]]&lt;&gt;""),Main[[#This Row],[In Stock Date]]-Main[[#This Row],[Revised Due Date]],"")</f>
        <v/>
      </c>
      <c r="I515" s="65" t="s">
        <v>4</v>
      </c>
      <c r="J515" s="65" t="s">
        <v>4</v>
      </c>
      <c r="K515" s="65" t="s">
        <v>4</v>
      </c>
      <c r="L515" s="67"/>
      <c r="M515" s="69" t="str">
        <f>IF(Main[[#This Row],[Tech Start Date]]&lt;1/1/1990,"",IF(Main[[#This Row],[Class]]="C",WORKDAY(Main[[#This Row],[Tech Start Date]],9),IF(Main[[#This Row],[Class]]="B", WORKDAY(Main[[#This Row],[Tech Start Date]],6),IF(Main[[#This Row],[Class]]="A",WORKDAY(Main[[#This Row],[Tech Start Date]],2),""))))</f>
        <v/>
      </c>
      <c r="N515" s="69" t="str">
        <f>IF(Main[[#This Row],[Tech Start Date]]&lt;1/1/1990,"",IF(Main[[#This Row],[Class]]="C",WORKDAY(Main[[#This Row],[Tech Start Date]],19),IF(Main[[#This Row],[Class]]="B", WORKDAY(Main[[#This Row],[Tech Start Date]],12),IF(Main[[#This Row],[Class]]="A",WORKDAY(Main[[#This Row],[Tech Start Date]],4),""))))</f>
        <v/>
      </c>
      <c r="O515" s="69" t="str">
        <f>IF(Main[[#This Row],[Tech Start Date]]&lt;1/1/1990,"",IF(Main[[#This Row],[Class]]="C",WORKDAY(Main[[#This Row],[Tech Start Date]],23),IF(Main[[#This Row],[Class]]="B", WORKDAY(Main[[#This Row],[Tech Start Date]],15),IF(Main[[#This Row],[Class]]="A",WORKDAY(Main[[#This Row],[Tech Start Date]],5),""))))</f>
        <v/>
      </c>
      <c r="P515" s="69" t="str">
        <f>IF(Main[[#This Row],[Tech Start Date]]&lt;1/1/1990,"",IF(Main[[#This Row],[Class]]="C",WORKDAY(Main[[#This Row],[Tech Start Date]],28),IF(Main[[#This Row],[Class]]="B", WORKDAY(Main[[#This Row],[Tech Start Date]],19),IF(Main[[#This Row],[Class]]="A",WORKDAY(Main[[#This Row],[Tech Start Date]],9),""))))</f>
        <v/>
      </c>
      <c r="Q515" s="67">
        <v>40132</v>
      </c>
      <c r="R515" s="67"/>
      <c r="S515" s="65" t="s">
        <v>11</v>
      </c>
      <c r="T515" s="70" t="s">
        <v>4</v>
      </c>
      <c r="U515" s="65" t="s">
        <v>14</v>
      </c>
      <c r="V515" s="65" t="s">
        <v>1918</v>
      </c>
      <c r="W515" s="65" t="s">
        <v>1922</v>
      </c>
      <c r="X515" s="65" t="s">
        <v>2864</v>
      </c>
      <c r="Y515" s="65" t="s">
        <v>4</v>
      </c>
      <c r="Z515" s="65" t="s">
        <v>4</v>
      </c>
      <c r="AA515" s="65" t="s">
        <v>2864</v>
      </c>
    </row>
    <row r="516" spans="1:27" ht="17.45" customHeight="1">
      <c r="A516" s="131" t="str">
        <f>IF(priority(Main[[#This Row],[Comments]])&lt;&gt;0, priority(Main[[#This Row],[Comments]]),"")</f>
        <v/>
      </c>
      <c r="B516" s="99" t="s">
        <v>1227</v>
      </c>
      <c r="C516" s="65" t="s">
        <v>33</v>
      </c>
      <c r="D516" s="66" t="s">
        <v>288</v>
      </c>
      <c r="E516" s="67"/>
      <c r="F516" s="67"/>
      <c r="G516" s="64" t="str">
        <f>IF(stdProdLT(Main[[#This Row],[Comments]])=0.1,"N/A",IF(stdProdLT(Main[[#This Row],[Comments]])=0,"",stdProdLT(Main[[#This Row],[Comments]])))</f>
        <v/>
      </c>
      <c r="H516" s="68" t="str">
        <f>IF(AND(Main[[#This Row],[In Stock Date]]&lt;&gt;"",Main[[#This Row],[Revised Due Date]]&lt;&gt;""),Main[[#This Row],[In Stock Date]]-Main[[#This Row],[Revised Due Date]],"")</f>
        <v/>
      </c>
      <c r="I516" s="65" t="s">
        <v>4</v>
      </c>
      <c r="J516" s="65" t="s">
        <v>4</v>
      </c>
      <c r="K516" s="65" t="s">
        <v>4</v>
      </c>
      <c r="L516" s="67"/>
      <c r="M516" s="69" t="str">
        <f>IF(Main[[#This Row],[Tech Start Date]]&lt;1/1/1990,"",IF(Main[[#This Row],[Class]]="C",WORKDAY(Main[[#This Row],[Tech Start Date]],9),IF(Main[[#This Row],[Class]]="B", WORKDAY(Main[[#This Row],[Tech Start Date]],6),IF(Main[[#This Row],[Class]]="A",WORKDAY(Main[[#This Row],[Tech Start Date]],2),""))))</f>
        <v/>
      </c>
      <c r="N516" s="69" t="str">
        <f>IF(Main[[#This Row],[Tech Start Date]]&lt;1/1/1990,"",IF(Main[[#This Row],[Class]]="C",WORKDAY(Main[[#This Row],[Tech Start Date]],19),IF(Main[[#This Row],[Class]]="B", WORKDAY(Main[[#This Row],[Tech Start Date]],12),IF(Main[[#This Row],[Class]]="A",WORKDAY(Main[[#This Row],[Tech Start Date]],4),""))))</f>
        <v/>
      </c>
      <c r="O516" s="69" t="str">
        <f>IF(Main[[#This Row],[Tech Start Date]]&lt;1/1/1990,"",IF(Main[[#This Row],[Class]]="C",WORKDAY(Main[[#This Row],[Tech Start Date]],23),IF(Main[[#This Row],[Class]]="B", WORKDAY(Main[[#This Row],[Tech Start Date]],15),IF(Main[[#This Row],[Class]]="A",WORKDAY(Main[[#This Row],[Tech Start Date]],5),""))))</f>
        <v/>
      </c>
      <c r="P516" s="69" t="str">
        <f>IF(Main[[#This Row],[Tech Start Date]]&lt;1/1/1990,"",IF(Main[[#This Row],[Class]]="C",WORKDAY(Main[[#This Row],[Tech Start Date]],28),IF(Main[[#This Row],[Class]]="B", WORKDAY(Main[[#This Row],[Tech Start Date]],19),IF(Main[[#This Row],[Class]]="A",WORKDAY(Main[[#This Row],[Tech Start Date]],9),""))))</f>
        <v/>
      </c>
      <c r="Q516" s="67"/>
      <c r="R516" s="67"/>
      <c r="S516" s="65" t="s">
        <v>11</v>
      </c>
      <c r="T516" s="70" t="s">
        <v>4</v>
      </c>
      <c r="U516" s="65" t="s">
        <v>14</v>
      </c>
      <c r="V516" s="65" t="s">
        <v>1918</v>
      </c>
      <c r="W516" s="65" t="s">
        <v>1925</v>
      </c>
      <c r="X516" s="65" t="s">
        <v>2833</v>
      </c>
      <c r="Y516" s="65" t="s">
        <v>2954</v>
      </c>
      <c r="Z516" s="65" t="s">
        <v>4</v>
      </c>
      <c r="AA516" s="65" t="s">
        <v>2833</v>
      </c>
    </row>
    <row r="517" spans="1:27" ht="17.45" customHeight="1">
      <c r="A517" s="131" t="str">
        <f>IF(priority(Main[[#This Row],[Comments]])&lt;&gt;0, priority(Main[[#This Row],[Comments]]),"")</f>
        <v/>
      </c>
      <c r="B517" s="99" t="s">
        <v>1324</v>
      </c>
      <c r="C517" s="65" t="s">
        <v>4</v>
      </c>
      <c r="D517" s="66" t="s">
        <v>404</v>
      </c>
      <c r="E517" s="67">
        <v>40387.702291666668</v>
      </c>
      <c r="F517" s="67"/>
      <c r="G517" s="64" t="str">
        <f>IF(stdProdLT(Main[[#This Row],[Comments]])=0.1,"N/A",IF(stdProdLT(Main[[#This Row],[Comments]])=0,"",stdProdLT(Main[[#This Row],[Comments]])))</f>
        <v/>
      </c>
      <c r="H517" s="68" t="str">
        <f>IF(AND(Main[[#This Row],[In Stock Date]]&lt;&gt;"",Main[[#This Row],[Revised Due Date]]&lt;&gt;""),Main[[#This Row],[In Stock Date]]-Main[[#This Row],[Revised Due Date]],"")</f>
        <v/>
      </c>
      <c r="I517" s="65" t="s">
        <v>4</v>
      </c>
      <c r="J517" s="65" t="s">
        <v>28</v>
      </c>
      <c r="K517" s="71" t="s">
        <v>4</v>
      </c>
      <c r="L517" s="67"/>
      <c r="M517" s="69" t="str">
        <f>IF(Main[[#This Row],[Tech Start Date]]&lt;1/1/1990,"",IF(Main[[#This Row],[Class]]="C",WORKDAY(Main[[#This Row],[Tech Start Date]],9),IF(Main[[#This Row],[Class]]="B", WORKDAY(Main[[#This Row],[Tech Start Date]],6),IF(Main[[#This Row],[Class]]="A",WORKDAY(Main[[#This Row],[Tech Start Date]],2),""))))</f>
        <v/>
      </c>
      <c r="N517" s="69" t="str">
        <f>IF(Main[[#This Row],[Tech Start Date]]&lt;1/1/1990,"",IF(Main[[#This Row],[Class]]="C",WORKDAY(Main[[#This Row],[Tech Start Date]],19),IF(Main[[#This Row],[Class]]="B", WORKDAY(Main[[#This Row],[Tech Start Date]],12),IF(Main[[#This Row],[Class]]="A",WORKDAY(Main[[#This Row],[Tech Start Date]],4),""))))</f>
        <v/>
      </c>
      <c r="O517" s="69" t="str">
        <f>IF(Main[[#This Row],[Tech Start Date]]&lt;1/1/1990,"",IF(Main[[#This Row],[Class]]="C",WORKDAY(Main[[#This Row],[Tech Start Date]],23),IF(Main[[#This Row],[Class]]="B", WORKDAY(Main[[#This Row],[Tech Start Date]],15),IF(Main[[#This Row],[Class]]="A",WORKDAY(Main[[#This Row],[Tech Start Date]],5),""))))</f>
        <v/>
      </c>
      <c r="P517" s="69" t="str">
        <f>IF(Main[[#This Row],[Tech Start Date]]&lt;1/1/1990,"",IF(Main[[#This Row],[Class]]="C",WORKDAY(Main[[#This Row],[Tech Start Date]],28),IF(Main[[#This Row],[Class]]="B", WORKDAY(Main[[#This Row],[Tech Start Date]],19),IF(Main[[#This Row],[Class]]="A",WORKDAY(Main[[#This Row],[Tech Start Date]],9),""))))</f>
        <v/>
      </c>
      <c r="Q517" s="67">
        <v>40400</v>
      </c>
      <c r="R517" s="67"/>
      <c r="S517" s="65" t="s">
        <v>6</v>
      </c>
      <c r="T517" s="70" t="s">
        <v>4</v>
      </c>
      <c r="U517" s="65" t="s">
        <v>7</v>
      </c>
      <c r="V517" s="65" t="s">
        <v>1917</v>
      </c>
      <c r="W517" s="65" t="s">
        <v>1919</v>
      </c>
      <c r="X517" s="65" t="s">
        <v>102</v>
      </c>
      <c r="Y517" s="65" t="s">
        <v>3038</v>
      </c>
      <c r="Z517" s="65" t="s">
        <v>129</v>
      </c>
      <c r="AA517" s="65" t="s">
        <v>3408</v>
      </c>
    </row>
    <row r="518" spans="1:27" ht="17.45" customHeight="1">
      <c r="A518" s="131" t="str">
        <f>IF(priority(Main[[#This Row],[Comments]])&lt;&gt;0, priority(Main[[#This Row],[Comments]]),"")</f>
        <v/>
      </c>
      <c r="B518" s="99" t="s">
        <v>1722</v>
      </c>
      <c r="C518" s="65" t="s">
        <v>277</v>
      </c>
      <c r="D518" s="66" t="s">
        <v>775</v>
      </c>
      <c r="E518" s="67"/>
      <c r="F518" s="67">
        <v>40680</v>
      </c>
      <c r="G518" s="64" t="str">
        <f>IF(stdProdLT(Main[[#This Row],[Comments]])=0.1,"N/A",IF(stdProdLT(Main[[#This Row],[Comments]])=0,"",stdProdLT(Main[[#This Row],[Comments]])))</f>
        <v/>
      </c>
      <c r="H518" s="68" t="str">
        <f>IF(AND(Main[[#This Row],[In Stock Date]]&lt;&gt;"",Main[[#This Row],[Revised Due Date]]&lt;&gt;""),Main[[#This Row],[In Stock Date]]-Main[[#This Row],[Revised Due Date]],"")</f>
        <v/>
      </c>
      <c r="I518" s="65" t="s">
        <v>4</v>
      </c>
      <c r="J518" s="65" t="s">
        <v>28</v>
      </c>
      <c r="K518" s="65" t="s">
        <v>4</v>
      </c>
      <c r="L518" s="67"/>
      <c r="M518" s="69" t="str">
        <f>IF(Main[[#This Row],[Tech Start Date]]&lt;1/1/1990,"",IF(Main[[#This Row],[Class]]="C",WORKDAY(Main[[#This Row],[Tech Start Date]],9),IF(Main[[#This Row],[Class]]="B", WORKDAY(Main[[#This Row],[Tech Start Date]],6),IF(Main[[#This Row],[Class]]="A",WORKDAY(Main[[#This Row],[Tech Start Date]],2),""))))</f>
        <v/>
      </c>
      <c r="N518" s="69" t="str">
        <f>IF(Main[[#This Row],[Tech Start Date]]&lt;1/1/1990,"",IF(Main[[#This Row],[Class]]="C",WORKDAY(Main[[#This Row],[Tech Start Date]],19),IF(Main[[#This Row],[Class]]="B", WORKDAY(Main[[#This Row],[Tech Start Date]],12),IF(Main[[#This Row],[Class]]="A",WORKDAY(Main[[#This Row],[Tech Start Date]],4),""))))</f>
        <v/>
      </c>
      <c r="O518" s="69" t="str">
        <f>IF(Main[[#This Row],[Tech Start Date]]&lt;1/1/1990,"",IF(Main[[#This Row],[Class]]="C",WORKDAY(Main[[#This Row],[Tech Start Date]],23),IF(Main[[#This Row],[Class]]="B", WORKDAY(Main[[#This Row],[Tech Start Date]],15),IF(Main[[#This Row],[Class]]="A",WORKDAY(Main[[#This Row],[Tech Start Date]],5),""))))</f>
        <v/>
      </c>
      <c r="P518" s="69" t="str">
        <f>IF(Main[[#This Row],[Tech Start Date]]&lt;1/1/1990,"",IF(Main[[#This Row],[Class]]="C",WORKDAY(Main[[#This Row],[Tech Start Date]],28),IF(Main[[#This Row],[Class]]="B", WORKDAY(Main[[#This Row],[Tech Start Date]],19),IF(Main[[#This Row],[Class]]="A",WORKDAY(Main[[#This Row],[Tech Start Date]],9),""))))</f>
        <v/>
      </c>
      <c r="Q518" s="67">
        <v>40568</v>
      </c>
      <c r="R518" s="67"/>
      <c r="S518" s="65" t="s">
        <v>11</v>
      </c>
      <c r="T518" s="70" t="s">
        <v>776</v>
      </c>
      <c r="U518" s="65" t="s">
        <v>14</v>
      </c>
      <c r="V518" s="65" t="s">
        <v>1918</v>
      </c>
      <c r="W518" s="65" t="s">
        <v>1922</v>
      </c>
      <c r="X518" s="65" t="s">
        <v>2866</v>
      </c>
      <c r="Y518" s="65" t="s">
        <v>3010</v>
      </c>
      <c r="Z518" s="65" t="s">
        <v>4</v>
      </c>
      <c r="AA518" s="65" t="s">
        <v>2866</v>
      </c>
    </row>
    <row r="519" spans="1:27" ht="17.45" customHeight="1">
      <c r="A519" s="131" t="str">
        <f>IF(priority(Main[[#This Row],[Comments]])&lt;&gt;0, priority(Main[[#This Row],[Comments]]),"")</f>
        <v/>
      </c>
      <c r="B519" s="99" t="s">
        <v>1339</v>
      </c>
      <c r="C519" s="65" t="s">
        <v>33</v>
      </c>
      <c r="D519" s="66" t="s">
        <v>419</v>
      </c>
      <c r="E519" s="67"/>
      <c r="F519" s="67">
        <v>40266</v>
      </c>
      <c r="G519" s="64" t="str">
        <f>IF(stdProdLT(Main[[#This Row],[Comments]])=0.1,"N/A",IF(stdProdLT(Main[[#This Row],[Comments]])=0,"",stdProdLT(Main[[#This Row],[Comments]])))</f>
        <v/>
      </c>
      <c r="H519" s="68" t="str">
        <f>IF(AND(Main[[#This Row],[In Stock Date]]&lt;&gt;"",Main[[#This Row],[Revised Due Date]]&lt;&gt;""),Main[[#This Row],[In Stock Date]]-Main[[#This Row],[Revised Due Date]],"")</f>
        <v/>
      </c>
      <c r="I519" s="65" t="s">
        <v>4</v>
      </c>
      <c r="J519" s="65" t="s">
        <v>4</v>
      </c>
      <c r="K519" s="65" t="s">
        <v>4</v>
      </c>
      <c r="L519" s="67"/>
      <c r="M519" s="69" t="str">
        <f>IF(Main[[#This Row],[Tech Start Date]]&lt;1/1/1990,"",IF(Main[[#This Row],[Class]]="C",WORKDAY(Main[[#This Row],[Tech Start Date]],9),IF(Main[[#This Row],[Class]]="B", WORKDAY(Main[[#This Row],[Tech Start Date]],6),IF(Main[[#This Row],[Class]]="A",WORKDAY(Main[[#This Row],[Tech Start Date]],2),""))))</f>
        <v/>
      </c>
      <c r="N519" s="69" t="str">
        <f>IF(Main[[#This Row],[Tech Start Date]]&lt;1/1/1990,"",IF(Main[[#This Row],[Class]]="C",WORKDAY(Main[[#This Row],[Tech Start Date]],19),IF(Main[[#This Row],[Class]]="B", WORKDAY(Main[[#This Row],[Tech Start Date]],12),IF(Main[[#This Row],[Class]]="A",WORKDAY(Main[[#This Row],[Tech Start Date]],4),""))))</f>
        <v/>
      </c>
      <c r="O519" s="69" t="str">
        <f>IF(Main[[#This Row],[Tech Start Date]]&lt;1/1/1990,"",IF(Main[[#This Row],[Class]]="C",WORKDAY(Main[[#This Row],[Tech Start Date]],23),IF(Main[[#This Row],[Class]]="B", WORKDAY(Main[[#This Row],[Tech Start Date]],15),IF(Main[[#This Row],[Class]]="A",WORKDAY(Main[[#This Row],[Tech Start Date]],5),""))))</f>
        <v/>
      </c>
      <c r="P519" s="69" t="str">
        <f>IF(Main[[#This Row],[Tech Start Date]]&lt;1/1/1990,"",IF(Main[[#This Row],[Class]]="C",WORKDAY(Main[[#This Row],[Tech Start Date]],28),IF(Main[[#This Row],[Class]]="B", WORKDAY(Main[[#This Row],[Tech Start Date]],19),IF(Main[[#This Row],[Class]]="A",WORKDAY(Main[[#This Row],[Tech Start Date]],9),""))))</f>
        <v/>
      </c>
      <c r="Q519" s="67">
        <v>40266</v>
      </c>
      <c r="R519" s="67"/>
      <c r="S519" s="65" t="s">
        <v>11</v>
      </c>
      <c r="T519" s="70" t="s">
        <v>4</v>
      </c>
      <c r="U519" s="65" t="s">
        <v>14</v>
      </c>
      <c r="V519" s="65" t="s">
        <v>1920</v>
      </c>
      <c r="W519" s="65" t="s">
        <v>1922</v>
      </c>
      <c r="X519" s="65" t="s">
        <v>2856</v>
      </c>
      <c r="Y519" s="65" t="s">
        <v>4</v>
      </c>
      <c r="Z519" s="65" t="s">
        <v>4</v>
      </c>
      <c r="AA519" s="65" t="s">
        <v>2856</v>
      </c>
    </row>
    <row r="520" spans="1:27" ht="17.45" customHeight="1">
      <c r="A520" s="131" t="str">
        <f>IF(priority(Main[[#This Row],[Comments]])&lt;&gt;0, priority(Main[[#This Row],[Comments]]),"")</f>
        <v/>
      </c>
      <c r="B520" s="99" t="s">
        <v>1395</v>
      </c>
      <c r="C520" s="65" t="s">
        <v>93</v>
      </c>
      <c r="D520" s="66" t="s">
        <v>420</v>
      </c>
      <c r="E520" s="67"/>
      <c r="F520" s="67">
        <v>40269</v>
      </c>
      <c r="G520" s="64" t="str">
        <f>IF(stdProdLT(Main[[#This Row],[Comments]])=0.1,"N/A",IF(stdProdLT(Main[[#This Row],[Comments]])=0,"",stdProdLT(Main[[#This Row],[Comments]])))</f>
        <v/>
      </c>
      <c r="H520" s="68" t="str">
        <f>IF(AND(Main[[#This Row],[In Stock Date]]&lt;&gt;"",Main[[#This Row],[Revised Due Date]]&lt;&gt;""),Main[[#This Row],[In Stock Date]]-Main[[#This Row],[Revised Due Date]],"")</f>
        <v/>
      </c>
      <c r="I520" s="65" t="s">
        <v>4</v>
      </c>
      <c r="J520" s="65" t="s">
        <v>4</v>
      </c>
      <c r="K520" s="65" t="s">
        <v>4</v>
      </c>
      <c r="L520" s="67"/>
      <c r="M520" s="69" t="str">
        <f>IF(Main[[#This Row],[Tech Start Date]]&lt;1/1/1990,"",IF(Main[[#This Row],[Class]]="C",WORKDAY(Main[[#This Row],[Tech Start Date]],9),IF(Main[[#This Row],[Class]]="B", WORKDAY(Main[[#This Row],[Tech Start Date]],6),IF(Main[[#This Row],[Class]]="A",WORKDAY(Main[[#This Row],[Tech Start Date]],2),""))))</f>
        <v/>
      </c>
      <c r="N520" s="69" t="str">
        <f>IF(Main[[#This Row],[Tech Start Date]]&lt;1/1/1990,"",IF(Main[[#This Row],[Class]]="C",WORKDAY(Main[[#This Row],[Tech Start Date]],19),IF(Main[[#This Row],[Class]]="B", WORKDAY(Main[[#This Row],[Tech Start Date]],12),IF(Main[[#This Row],[Class]]="A",WORKDAY(Main[[#This Row],[Tech Start Date]],4),""))))</f>
        <v/>
      </c>
      <c r="O520" s="69" t="str">
        <f>IF(Main[[#This Row],[Tech Start Date]]&lt;1/1/1990,"",IF(Main[[#This Row],[Class]]="C",WORKDAY(Main[[#This Row],[Tech Start Date]],23),IF(Main[[#This Row],[Class]]="B", WORKDAY(Main[[#This Row],[Tech Start Date]],15),IF(Main[[#This Row],[Class]]="A",WORKDAY(Main[[#This Row],[Tech Start Date]],5),""))))</f>
        <v/>
      </c>
      <c r="P520" s="69" t="str">
        <f>IF(Main[[#This Row],[Tech Start Date]]&lt;1/1/1990,"",IF(Main[[#This Row],[Class]]="C",WORKDAY(Main[[#This Row],[Tech Start Date]],28),IF(Main[[#This Row],[Class]]="B", WORKDAY(Main[[#This Row],[Tech Start Date]],19),IF(Main[[#This Row],[Class]]="A",WORKDAY(Main[[#This Row],[Tech Start Date]],9),""))))</f>
        <v/>
      </c>
      <c r="Q520" s="67">
        <v>40185</v>
      </c>
      <c r="R520" s="67"/>
      <c r="S520" s="65" t="s">
        <v>11</v>
      </c>
      <c r="T520" s="70" t="s">
        <v>4</v>
      </c>
      <c r="U520" s="65" t="s">
        <v>12</v>
      </c>
      <c r="V520" s="65" t="s">
        <v>1927</v>
      </c>
      <c r="W520" s="65" t="s">
        <v>1928</v>
      </c>
      <c r="X520" s="65" t="s">
        <v>2851</v>
      </c>
      <c r="Y520" s="65" t="s">
        <v>4</v>
      </c>
      <c r="Z520" s="65" t="s">
        <v>4</v>
      </c>
      <c r="AA520" s="65" t="s">
        <v>2851</v>
      </c>
    </row>
    <row r="521" spans="1:27" ht="17.45" customHeight="1">
      <c r="A521" s="131" t="str">
        <f>IF(priority(Main[[#This Row],[Comments]])&lt;&gt;0, priority(Main[[#This Row],[Comments]]),"")</f>
        <v/>
      </c>
      <c r="B521" s="99" t="s">
        <v>1396</v>
      </c>
      <c r="C521" s="65" t="s">
        <v>169</v>
      </c>
      <c r="D521" s="66" t="s">
        <v>421</v>
      </c>
      <c r="E521" s="67"/>
      <c r="F521" s="67">
        <v>40237</v>
      </c>
      <c r="G521" s="64" t="str">
        <f>IF(stdProdLT(Main[[#This Row],[Comments]])=0.1,"N/A",IF(stdProdLT(Main[[#This Row],[Comments]])=0,"",stdProdLT(Main[[#This Row],[Comments]])))</f>
        <v/>
      </c>
      <c r="H521" s="68" t="str">
        <f>IF(AND(Main[[#This Row],[In Stock Date]]&lt;&gt;"",Main[[#This Row],[Revised Due Date]]&lt;&gt;""),Main[[#This Row],[In Stock Date]]-Main[[#This Row],[Revised Due Date]],"")</f>
        <v/>
      </c>
      <c r="I521" s="65" t="s">
        <v>4</v>
      </c>
      <c r="J521" s="65" t="s">
        <v>4</v>
      </c>
      <c r="K521" s="71" t="s">
        <v>4</v>
      </c>
      <c r="L521" s="67"/>
      <c r="M521" s="69" t="str">
        <f>IF(Main[[#This Row],[Tech Start Date]]&lt;1/1/1990,"",IF(Main[[#This Row],[Class]]="C",WORKDAY(Main[[#This Row],[Tech Start Date]],9),IF(Main[[#This Row],[Class]]="B", WORKDAY(Main[[#This Row],[Tech Start Date]],6),IF(Main[[#This Row],[Class]]="A",WORKDAY(Main[[#This Row],[Tech Start Date]],2),""))))</f>
        <v/>
      </c>
      <c r="N521" s="69" t="str">
        <f>IF(Main[[#This Row],[Tech Start Date]]&lt;1/1/1990,"",IF(Main[[#This Row],[Class]]="C",WORKDAY(Main[[#This Row],[Tech Start Date]],19),IF(Main[[#This Row],[Class]]="B", WORKDAY(Main[[#This Row],[Tech Start Date]],12),IF(Main[[#This Row],[Class]]="A",WORKDAY(Main[[#This Row],[Tech Start Date]],4),""))))</f>
        <v/>
      </c>
      <c r="O521" s="69" t="str">
        <f>IF(Main[[#This Row],[Tech Start Date]]&lt;1/1/1990,"",IF(Main[[#This Row],[Class]]="C",WORKDAY(Main[[#This Row],[Tech Start Date]],23),IF(Main[[#This Row],[Class]]="B", WORKDAY(Main[[#This Row],[Tech Start Date]],15),IF(Main[[#This Row],[Class]]="A",WORKDAY(Main[[#This Row],[Tech Start Date]],5),""))))</f>
        <v/>
      </c>
      <c r="P521" s="69" t="str">
        <f>IF(Main[[#This Row],[Tech Start Date]]&lt;1/1/1990,"",IF(Main[[#This Row],[Class]]="C",WORKDAY(Main[[#This Row],[Tech Start Date]],28),IF(Main[[#This Row],[Class]]="B", WORKDAY(Main[[#This Row],[Tech Start Date]],19),IF(Main[[#This Row],[Class]]="A",WORKDAY(Main[[#This Row],[Tech Start Date]],9),""))))</f>
        <v/>
      </c>
      <c r="Q521" s="67">
        <v>40132</v>
      </c>
      <c r="R521" s="67"/>
      <c r="S521" s="65" t="s">
        <v>11</v>
      </c>
      <c r="T521" s="70" t="s">
        <v>4</v>
      </c>
      <c r="U521" s="65" t="s">
        <v>14</v>
      </c>
      <c r="V521" s="65" t="s">
        <v>1917</v>
      </c>
      <c r="W521" s="65" t="s">
        <v>1922</v>
      </c>
      <c r="X521" s="65" t="s">
        <v>2864</v>
      </c>
      <c r="Y521" s="65" t="s">
        <v>4</v>
      </c>
      <c r="Z521" s="65" t="s">
        <v>4</v>
      </c>
      <c r="AA521" s="65" t="s">
        <v>2864</v>
      </c>
    </row>
    <row r="522" spans="1:27" ht="17.45" customHeight="1">
      <c r="A522" s="131" t="str">
        <f>IF(priority(Main[[#This Row],[Comments]])&lt;&gt;0, priority(Main[[#This Row],[Comments]]),"")</f>
        <v/>
      </c>
      <c r="B522" s="99" t="s">
        <v>1397</v>
      </c>
      <c r="C522" s="65" t="s">
        <v>93</v>
      </c>
      <c r="D522" s="66" t="s">
        <v>422</v>
      </c>
      <c r="E522" s="67"/>
      <c r="F522" s="67">
        <v>40144</v>
      </c>
      <c r="G522" s="64" t="str">
        <f>IF(stdProdLT(Main[[#This Row],[Comments]])=0.1,"N/A",IF(stdProdLT(Main[[#This Row],[Comments]])=0,"",stdProdLT(Main[[#This Row],[Comments]])))</f>
        <v/>
      </c>
      <c r="H522" s="68" t="str">
        <f>IF(AND(Main[[#This Row],[In Stock Date]]&lt;&gt;"",Main[[#This Row],[Revised Due Date]]&lt;&gt;""),Main[[#This Row],[In Stock Date]]-Main[[#This Row],[Revised Due Date]],"")</f>
        <v/>
      </c>
      <c r="I522" s="65" t="s">
        <v>4</v>
      </c>
      <c r="J522" s="65" t="s">
        <v>4</v>
      </c>
      <c r="K522" s="65" t="s">
        <v>4</v>
      </c>
      <c r="L522" s="67"/>
      <c r="M522" s="69" t="str">
        <f>IF(Main[[#This Row],[Tech Start Date]]&lt;1/1/1990,"",IF(Main[[#This Row],[Class]]="C",WORKDAY(Main[[#This Row],[Tech Start Date]],9),IF(Main[[#This Row],[Class]]="B", WORKDAY(Main[[#This Row],[Tech Start Date]],6),IF(Main[[#This Row],[Class]]="A",WORKDAY(Main[[#This Row],[Tech Start Date]],2),""))))</f>
        <v/>
      </c>
      <c r="N522" s="69" t="str">
        <f>IF(Main[[#This Row],[Tech Start Date]]&lt;1/1/1990,"",IF(Main[[#This Row],[Class]]="C",WORKDAY(Main[[#This Row],[Tech Start Date]],19),IF(Main[[#This Row],[Class]]="B", WORKDAY(Main[[#This Row],[Tech Start Date]],12),IF(Main[[#This Row],[Class]]="A",WORKDAY(Main[[#This Row],[Tech Start Date]],4),""))))</f>
        <v/>
      </c>
      <c r="O522" s="69" t="str">
        <f>IF(Main[[#This Row],[Tech Start Date]]&lt;1/1/1990,"",IF(Main[[#This Row],[Class]]="C",WORKDAY(Main[[#This Row],[Tech Start Date]],23),IF(Main[[#This Row],[Class]]="B", WORKDAY(Main[[#This Row],[Tech Start Date]],15),IF(Main[[#This Row],[Class]]="A",WORKDAY(Main[[#This Row],[Tech Start Date]],5),""))))</f>
        <v/>
      </c>
      <c r="P522" s="69" t="str">
        <f>IF(Main[[#This Row],[Tech Start Date]]&lt;1/1/1990,"",IF(Main[[#This Row],[Class]]="C",WORKDAY(Main[[#This Row],[Tech Start Date]],28),IF(Main[[#This Row],[Class]]="B", WORKDAY(Main[[#This Row],[Tech Start Date]],19),IF(Main[[#This Row],[Class]]="A",WORKDAY(Main[[#This Row],[Tech Start Date]],9),""))))</f>
        <v/>
      </c>
      <c r="Q522" s="67">
        <v>40144</v>
      </c>
      <c r="R522" s="67"/>
      <c r="S522" s="65" t="s">
        <v>11</v>
      </c>
      <c r="T522" s="70" t="s">
        <v>4</v>
      </c>
      <c r="U522" s="65" t="s">
        <v>14</v>
      </c>
      <c r="V522" s="65" t="s">
        <v>1920</v>
      </c>
      <c r="W522" s="65" t="s">
        <v>1928</v>
      </c>
      <c r="X522" s="65" t="s">
        <v>2862</v>
      </c>
      <c r="Y522" s="65" t="s">
        <v>4</v>
      </c>
      <c r="Z522" s="65" t="s">
        <v>4</v>
      </c>
      <c r="AA522" s="65" t="s">
        <v>2862</v>
      </c>
    </row>
    <row r="523" spans="1:27" ht="17.45" customHeight="1">
      <c r="A523" s="131" t="str">
        <f>IF(priority(Main[[#This Row],[Comments]])&lt;&gt;0, priority(Main[[#This Row],[Comments]]),"")</f>
        <v/>
      </c>
      <c r="B523" s="99" t="s">
        <v>1340</v>
      </c>
      <c r="C523" s="65" t="s">
        <v>93</v>
      </c>
      <c r="D523" s="66" t="s">
        <v>423</v>
      </c>
      <c r="E523" s="67"/>
      <c r="F523" s="67">
        <v>40162</v>
      </c>
      <c r="G523" s="64" t="str">
        <f>IF(stdProdLT(Main[[#This Row],[Comments]])=0.1,"N/A",IF(stdProdLT(Main[[#This Row],[Comments]])=0,"",stdProdLT(Main[[#This Row],[Comments]])))</f>
        <v/>
      </c>
      <c r="H523" s="68" t="str">
        <f>IF(AND(Main[[#This Row],[In Stock Date]]&lt;&gt;"",Main[[#This Row],[Revised Due Date]]&lt;&gt;""),Main[[#This Row],[In Stock Date]]-Main[[#This Row],[Revised Due Date]],"")</f>
        <v/>
      </c>
      <c r="I523" s="65" t="s">
        <v>4</v>
      </c>
      <c r="J523" s="65" t="s">
        <v>4</v>
      </c>
      <c r="K523" s="65" t="s">
        <v>4</v>
      </c>
      <c r="L523" s="67"/>
      <c r="M523" s="69" t="str">
        <f>IF(Main[[#This Row],[Tech Start Date]]&lt;1/1/1990,"",IF(Main[[#This Row],[Class]]="C",WORKDAY(Main[[#This Row],[Tech Start Date]],9),IF(Main[[#This Row],[Class]]="B", WORKDAY(Main[[#This Row],[Tech Start Date]],6),IF(Main[[#This Row],[Class]]="A",WORKDAY(Main[[#This Row],[Tech Start Date]],2),""))))</f>
        <v/>
      </c>
      <c r="N523" s="69" t="str">
        <f>IF(Main[[#This Row],[Tech Start Date]]&lt;1/1/1990,"",IF(Main[[#This Row],[Class]]="C",WORKDAY(Main[[#This Row],[Tech Start Date]],19),IF(Main[[#This Row],[Class]]="B", WORKDAY(Main[[#This Row],[Tech Start Date]],12),IF(Main[[#This Row],[Class]]="A",WORKDAY(Main[[#This Row],[Tech Start Date]],4),""))))</f>
        <v/>
      </c>
      <c r="O523" s="69" t="str">
        <f>IF(Main[[#This Row],[Tech Start Date]]&lt;1/1/1990,"",IF(Main[[#This Row],[Class]]="C",WORKDAY(Main[[#This Row],[Tech Start Date]],23),IF(Main[[#This Row],[Class]]="B", WORKDAY(Main[[#This Row],[Tech Start Date]],15),IF(Main[[#This Row],[Class]]="A",WORKDAY(Main[[#This Row],[Tech Start Date]],5),""))))</f>
        <v/>
      </c>
      <c r="P523" s="69" t="str">
        <f>IF(Main[[#This Row],[Tech Start Date]]&lt;1/1/1990,"",IF(Main[[#This Row],[Class]]="C",WORKDAY(Main[[#This Row],[Tech Start Date]],28),IF(Main[[#This Row],[Class]]="B", WORKDAY(Main[[#This Row],[Tech Start Date]],19),IF(Main[[#This Row],[Class]]="A",WORKDAY(Main[[#This Row],[Tech Start Date]],9),""))))</f>
        <v/>
      </c>
      <c r="Q523" s="67">
        <v>40127</v>
      </c>
      <c r="R523" s="67"/>
      <c r="S523" s="65" t="s">
        <v>11</v>
      </c>
      <c r="T523" s="70" t="s">
        <v>4</v>
      </c>
      <c r="U523" s="65" t="s">
        <v>14</v>
      </c>
      <c r="V523" s="65" t="s">
        <v>1927</v>
      </c>
      <c r="W523" s="65" t="s">
        <v>1928</v>
      </c>
      <c r="X523" s="65" t="s">
        <v>2851</v>
      </c>
      <c r="Y523" s="65" t="s">
        <v>4</v>
      </c>
      <c r="Z523" s="65" t="s">
        <v>4</v>
      </c>
      <c r="AA523" s="65" t="s">
        <v>2851</v>
      </c>
    </row>
    <row r="524" spans="1:27" ht="17.45" customHeight="1">
      <c r="A524" s="131" t="str">
        <f>IF(priority(Main[[#This Row],[Comments]])&lt;&gt;0, priority(Main[[#This Row],[Comments]]),"")</f>
        <v/>
      </c>
      <c r="B524" s="99" t="s">
        <v>1341</v>
      </c>
      <c r="C524" s="65" t="s">
        <v>424</v>
      </c>
      <c r="D524" s="66" t="s">
        <v>425</v>
      </c>
      <c r="E524" s="67"/>
      <c r="F524" s="67">
        <v>40179</v>
      </c>
      <c r="G524" s="64" t="str">
        <f>IF(stdProdLT(Main[[#This Row],[Comments]])=0.1,"N/A",IF(stdProdLT(Main[[#This Row],[Comments]])=0,"",stdProdLT(Main[[#This Row],[Comments]])))</f>
        <v/>
      </c>
      <c r="H524" s="68" t="str">
        <f>IF(AND(Main[[#This Row],[In Stock Date]]&lt;&gt;"",Main[[#This Row],[Revised Due Date]]&lt;&gt;""),Main[[#This Row],[In Stock Date]]-Main[[#This Row],[Revised Due Date]],"")</f>
        <v/>
      </c>
      <c r="I524" s="65" t="s">
        <v>4</v>
      </c>
      <c r="J524" s="65" t="s">
        <v>4</v>
      </c>
      <c r="K524" s="65" t="s">
        <v>4</v>
      </c>
      <c r="L524" s="67"/>
      <c r="M524" s="69" t="str">
        <f>IF(Main[[#This Row],[Tech Start Date]]&lt;1/1/1990,"",IF(Main[[#This Row],[Class]]="C",WORKDAY(Main[[#This Row],[Tech Start Date]],9),IF(Main[[#This Row],[Class]]="B", WORKDAY(Main[[#This Row],[Tech Start Date]],6),IF(Main[[#This Row],[Class]]="A",WORKDAY(Main[[#This Row],[Tech Start Date]],2),""))))</f>
        <v/>
      </c>
      <c r="N524" s="69" t="str">
        <f>IF(Main[[#This Row],[Tech Start Date]]&lt;1/1/1990,"",IF(Main[[#This Row],[Class]]="C",WORKDAY(Main[[#This Row],[Tech Start Date]],19),IF(Main[[#This Row],[Class]]="B", WORKDAY(Main[[#This Row],[Tech Start Date]],12),IF(Main[[#This Row],[Class]]="A",WORKDAY(Main[[#This Row],[Tech Start Date]],4),""))))</f>
        <v/>
      </c>
      <c r="O524" s="69" t="str">
        <f>IF(Main[[#This Row],[Tech Start Date]]&lt;1/1/1990,"",IF(Main[[#This Row],[Class]]="C",WORKDAY(Main[[#This Row],[Tech Start Date]],23),IF(Main[[#This Row],[Class]]="B", WORKDAY(Main[[#This Row],[Tech Start Date]],15),IF(Main[[#This Row],[Class]]="A",WORKDAY(Main[[#This Row],[Tech Start Date]],5),""))))</f>
        <v/>
      </c>
      <c r="P524" s="69" t="str">
        <f>IF(Main[[#This Row],[Tech Start Date]]&lt;1/1/1990,"",IF(Main[[#This Row],[Class]]="C",WORKDAY(Main[[#This Row],[Tech Start Date]],28),IF(Main[[#This Row],[Class]]="B", WORKDAY(Main[[#This Row],[Tech Start Date]],19),IF(Main[[#This Row],[Class]]="A",WORKDAY(Main[[#This Row],[Tech Start Date]],9),""))))</f>
        <v/>
      </c>
      <c r="Q524" s="67">
        <v>40179</v>
      </c>
      <c r="R524" s="67"/>
      <c r="S524" s="65" t="s">
        <v>11</v>
      </c>
      <c r="T524" s="70" t="s">
        <v>4</v>
      </c>
      <c r="U524" s="65" t="s">
        <v>14</v>
      </c>
      <c r="V524" s="65" t="s">
        <v>1917</v>
      </c>
      <c r="W524" s="65" t="s">
        <v>1922</v>
      </c>
      <c r="X524" s="65" t="s">
        <v>2860</v>
      </c>
      <c r="Y524" s="65" t="s">
        <v>4</v>
      </c>
      <c r="Z524" s="65" t="s">
        <v>4</v>
      </c>
      <c r="AA524" s="65" t="s">
        <v>2860</v>
      </c>
    </row>
    <row r="525" spans="1:27" ht="17.45" customHeight="1">
      <c r="A525" s="131" t="str">
        <f>IF(priority(Main[[#This Row],[Comments]])&lt;&gt;0, priority(Main[[#This Row],[Comments]]),"")</f>
        <v/>
      </c>
      <c r="B525" s="99" t="s">
        <v>1342</v>
      </c>
      <c r="C525" s="65" t="s">
        <v>197</v>
      </c>
      <c r="D525" s="66" t="s">
        <v>426</v>
      </c>
      <c r="E525" s="67"/>
      <c r="F525" s="67"/>
      <c r="G525" s="64" t="str">
        <f>IF(stdProdLT(Main[[#This Row],[Comments]])=0.1,"N/A",IF(stdProdLT(Main[[#This Row],[Comments]])=0,"",stdProdLT(Main[[#This Row],[Comments]])))</f>
        <v/>
      </c>
      <c r="H525" s="68" t="str">
        <f>IF(AND(Main[[#This Row],[In Stock Date]]&lt;&gt;"",Main[[#This Row],[Revised Due Date]]&lt;&gt;""),Main[[#This Row],[In Stock Date]]-Main[[#This Row],[Revised Due Date]],"")</f>
        <v/>
      </c>
      <c r="I525" s="65" t="s">
        <v>4</v>
      </c>
      <c r="J525" s="65" t="s">
        <v>4</v>
      </c>
      <c r="K525" s="65" t="s">
        <v>4</v>
      </c>
      <c r="L525" s="67"/>
      <c r="M525" s="69" t="str">
        <f>IF(Main[[#This Row],[Tech Start Date]]&lt;1/1/1990,"",IF(Main[[#This Row],[Class]]="C",WORKDAY(Main[[#This Row],[Tech Start Date]],9),IF(Main[[#This Row],[Class]]="B", WORKDAY(Main[[#This Row],[Tech Start Date]],6),IF(Main[[#This Row],[Class]]="A",WORKDAY(Main[[#This Row],[Tech Start Date]],2),""))))</f>
        <v/>
      </c>
      <c r="N525" s="69" t="str">
        <f>IF(Main[[#This Row],[Tech Start Date]]&lt;1/1/1990,"",IF(Main[[#This Row],[Class]]="C",WORKDAY(Main[[#This Row],[Tech Start Date]],19),IF(Main[[#This Row],[Class]]="B", WORKDAY(Main[[#This Row],[Tech Start Date]],12),IF(Main[[#This Row],[Class]]="A",WORKDAY(Main[[#This Row],[Tech Start Date]],4),""))))</f>
        <v/>
      </c>
      <c r="O525" s="69" t="str">
        <f>IF(Main[[#This Row],[Tech Start Date]]&lt;1/1/1990,"",IF(Main[[#This Row],[Class]]="C",WORKDAY(Main[[#This Row],[Tech Start Date]],23),IF(Main[[#This Row],[Class]]="B", WORKDAY(Main[[#This Row],[Tech Start Date]],15),IF(Main[[#This Row],[Class]]="A",WORKDAY(Main[[#This Row],[Tech Start Date]],5),""))))</f>
        <v/>
      </c>
      <c r="P525" s="69" t="str">
        <f>IF(Main[[#This Row],[Tech Start Date]]&lt;1/1/1990,"",IF(Main[[#This Row],[Class]]="C",WORKDAY(Main[[#This Row],[Tech Start Date]],28),IF(Main[[#This Row],[Class]]="B", WORKDAY(Main[[#This Row],[Tech Start Date]],19),IF(Main[[#This Row],[Class]]="A",WORKDAY(Main[[#This Row],[Tech Start Date]],9),""))))</f>
        <v/>
      </c>
      <c r="Q525" s="67">
        <v>40165</v>
      </c>
      <c r="R525" s="67"/>
      <c r="S525" s="65" t="s">
        <v>11</v>
      </c>
      <c r="T525" s="70" t="s">
        <v>4</v>
      </c>
      <c r="U525" s="65" t="s">
        <v>14</v>
      </c>
      <c r="V525" s="65" t="s">
        <v>1927</v>
      </c>
      <c r="W525" s="65" t="s">
        <v>1923</v>
      </c>
      <c r="X525" s="65" t="s">
        <v>885</v>
      </c>
      <c r="Y525" s="65" t="s">
        <v>2969</v>
      </c>
      <c r="Z525" s="65" t="s">
        <v>4</v>
      </c>
      <c r="AA525" s="65" t="s">
        <v>885</v>
      </c>
    </row>
    <row r="526" spans="1:27" ht="17.45" customHeight="1">
      <c r="A526" s="131" t="str">
        <f>IF(priority(Main[[#This Row],[Comments]])&lt;&gt;0, priority(Main[[#This Row],[Comments]]),"")</f>
        <v/>
      </c>
      <c r="B526" s="99" t="s">
        <v>1343</v>
      </c>
      <c r="C526" s="65" t="s">
        <v>4</v>
      </c>
      <c r="D526" s="66" t="s">
        <v>427</v>
      </c>
      <c r="E526" s="67"/>
      <c r="F526" s="67"/>
      <c r="G526" s="64" t="str">
        <f>IF(stdProdLT(Main[[#This Row],[Comments]])=0.1,"N/A",IF(stdProdLT(Main[[#This Row],[Comments]])=0,"",stdProdLT(Main[[#This Row],[Comments]])))</f>
        <v/>
      </c>
      <c r="H526" s="68" t="str">
        <f>IF(AND(Main[[#This Row],[In Stock Date]]&lt;&gt;"",Main[[#This Row],[Revised Due Date]]&lt;&gt;""),Main[[#This Row],[In Stock Date]]-Main[[#This Row],[Revised Due Date]],"")</f>
        <v/>
      </c>
      <c r="I526" s="65" t="s">
        <v>4</v>
      </c>
      <c r="J526" s="65" t="s">
        <v>4</v>
      </c>
      <c r="K526" s="65" t="s">
        <v>4</v>
      </c>
      <c r="L526" s="67"/>
      <c r="M526" s="69" t="str">
        <f>IF(Main[[#This Row],[Tech Start Date]]&lt;1/1/1990,"",IF(Main[[#This Row],[Class]]="C",WORKDAY(Main[[#This Row],[Tech Start Date]],9),IF(Main[[#This Row],[Class]]="B", WORKDAY(Main[[#This Row],[Tech Start Date]],6),IF(Main[[#This Row],[Class]]="A",WORKDAY(Main[[#This Row],[Tech Start Date]],2),""))))</f>
        <v/>
      </c>
      <c r="N526" s="69" t="str">
        <f>IF(Main[[#This Row],[Tech Start Date]]&lt;1/1/1990,"",IF(Main[[#This Row],[Class]]="C",WORKDAY(Main[[#This Row],[Tech Start Date]],19),IF(Main[[#This Row],[Class]]="B", WORKDAY(Main[[#This Row],[Tech Start Date]],12),IF(Main[[#This Row],[Class]]="A",WORKDAY(Main[[#This Row],[Tech Start Date]],4),""))))</f>
        <v/>
      </c>
      <c r="O526" s="69" t="str">
        <f>IF(Main[[#This Row],[Tech Start Date]]&lt;1/1/1990,"",IF(Main[[#This Row],[Class]]="C",WORKDAY(Main[[#This Row],[Tech Start Date]],23),IF(Main[[#This Row],[Class]]="B", WORKDAY(Main[[#This Row],[Tech Start Date]],15),IF(Main[[#This Row],[Class]]="A",WORKDAY(Main[[#This Row],[Tech Start Date]],5),""))))</f>
        <v/>
      </c>
      <c r="P526" s="69" t="str">
        <f>IF(Main[[#This Row],[Tech Start Date]]&lt;1/1/1990,"",IF(Main[[#This Row],[Class]]="C",WORKDAY(Main[[#This Row],[Tech Start Date]],28),IF(Main[[#This Row],[Class]]="B", WORKDAY(Main[[#This Row],[Tech Start Date]],19),IF(Main[[#This Row],[Class]]="A",WORKDAY(Main[[#This Row],[Tech Start Date]],9),""))))</f>
        <v/>
      </c>
      <c r="Q526" s="67"/>
      <c r="R526" s="67"/>
      <c r="S526" s="65" t="s">
        <v>6</v>
      </c>
      <c r="T526" s="70" t="s">
        <v>4</v>
      </c>
      <c r="U526" s="65" t="s">
        <v>12</v>
      </c>
      <c r="V526" s="65" t="s">
        <v>1917</v>
      </c>
      <c r="W526" s="65" t="s">
        <v>4</v>
      </c>
      <c r="X526" s="65" t="s">
        <v>914</v>
      </c>
      <c r="Y526" s="65" t="s">
        <v>4</v>
      </c>
      <c r="Z526" s="65" t="s">
        <v>4</v>
      </c>
      <c r="AA526" s="65" t="s">
        <v>4</v>
      </c>
    </row>
    <row r="527" spans="1:27" ht="17.45" customHeight="1">
      <c r="A527" s="131" t="str">
        <f>IF(priority(Main[[#This Row],[Comments]])&lt;&gt;0, priority(Main[[#This Row],[Comments]]),"")</f>
        <v/>
      </c>
      <c r="B527" s="99" t="s">
        <v>1344</v>
      </c>
      <c r="C527" s="65" t="s">
        <v>4</v>
      </c>
      <c r="D527" s="66" t="s">
        <v>428</v>
      </c>
      <c r="E527" s="67">
        <v>40367.39403935185</v>
      </c>
      <c r="F527" s="67"/>
      <c r="G527" s="64" t="str">
        <f>IF(stdProdLT(Main[[#This Row],[Comments]])=0.1,"N/A",IF(stdProdLT(Main[[#This Row],[Comments]])=0,"",stdProdLT(Main[[#This Row],[Comments]])))</f>
        <v/>
      </c>
      <c r="H527" s="68" t="str">
        <f>IF(AND(Main[[#This Row],[In Stock Date]]&lt;&gt;"",Main[[#This Row],[Revised Due Date]]&lt;&gt;""),Main[[#This Row],[In Stock Date]]-Main[[#This Row],[Revised Due Date]],"")</f>
        <v/>
      </c>
      <c r="I527" s="65" t="s">
        <v>126</v>
      </c>
      <c r="J527" s="65" t="s">
        <v>28</v>
      </c>
      <c r="K527" s="65" t="s">
        <v>1926</v>
      </c>
      <c r="L527" s="67"/>
      <c r="M527" s="69" t="str">
        <f>IF(Main[[#This Row],[Tech Start Date]]&lt;1/1/1990,"",IF(Main[[#This Row],[Class]]="C",WORKDAY(Main[[#This Row],[Tech Start Date]],9),IF(Main[[#This Row],[Class]]="B", WORKDAY(Main[[#This Row],[Tech Start Date]],6),IF(Main[[#This Row],[Class]]="A",WORKDAY(Main[[#This Row],[Tech Start Date]],2),""))))</f>
        <v/>
      </c>
      <c r="N527" s="69" t="str">
        <f>IF(Main[[#This Row],[Tech Start Date]]&lt;1/1/1990,"",IF(Main[[#This Row],[Class]]="C",WORKDAY(Main[[#This Row],[Tech Start Date]],19),IF(Main[[#This Row],[Class]]="B", WORKDAY(Main[[#This Row],[Tech Start Date]],12),IF(Main[[#This Row],[Class]]="A",WORKDAY(Main[[#This Row],[Tech Start Date]],4),""))))</f>
        <v/>
      </c>
      <c r="O527" s="69" t="str">
        <f>IF(Main[[#This Row],[Tech Start Date]]&lt;1/1/1990,"",IF(Main[[#This Row],[Class]]="C",WORKDAY(Main[[#This Row],[Tech Start Date]],23),IF(Main[[#This Row],[Class]]="B", WORKDAY(Main[[#This Row],[Tech Start Date]],15),IF(Main[[#This Row],[Class]]="A",WORKDAY(Main[[#This Row],[Tech Start Date]],5),""))))</f>
        <v/>
      </c>
      <c r="P527" s="69" t="str">
        <f>IF(Main[[#This Row],[Tech Start Date]]&lt;1/1/1990,"",IF(Main[[#This Row],[Class]]="C",WORKDAY(Main[[#This Row],[Tech Start Date]],28),IF(Main[[#This Row],[Class]]="B", WORKDAY(Main[[#This Row],[Tech Start Date]],19),IF(Main[[#This Row],[Class]]="A",WORKDAY(Main[[#This Row],[Tech Start Date]],9),""))))</f>
        <v/>
      </c>
      <c r="Q527" s="67">
        <v>40405</v>
      </c>
      <c r="R527" s="67"/>
      <c r="S527" s="65" t="s">
        <v>6</v>
      </c>
      <c r="T527" s="70" t="s">
        <v>4</v>
      </c>
      <c r="U527" s="65" t="s">
        <v>29</v>
      </c>
      <c r="V527" s="65" t="s">
        <v>1917</v>
      </c>
      <c r="W527" s="65" t="s">
        <v>1925</v>
      </c>
      <c r="X527" s="65" t="s">
        <v>2055</v>
      </c>
      <c r="Y527" s="65" t="s">
        <v>2978</v>
      </c>
      <c r="Z527" s="65" t="s">
        <v>129</v>
      </c>
      <c r="AA527" s="65" t="s">
        <v>2055</v>
      </c>
    </row>
    <row r="528" spans="1:27" ht="17.45" customHeight="1">
      <c r="A528" s="131" t="str">
        <f>IF(priority(Main[[#This Row],[Comments]])&lt;&gt;0, priority(Main[[#This Row],[Comments]]),"")</f>
        <v/>
      </c>
      <c r="B528" s="99" t="s">
        <v>1816</v>
      </c>
      <c r="C528" s="65" t="s">
        <v>95</v>
      </c>
      <c r="D528" s="66" t="s">
        <v>866</v>
      </c>
      <c r="E528" s="67"/>
      <c r="F528" s="67"/>
      <c r="G528" s="64" t="str">
        <f>IF(stdProdLT(Main[[#This Row],[Comments]])=0.1,"N/A",IF(stdProdLT(Main[[#This Row],[Comments]])=0,"",stdProdLT(Main[[#This Row],[Comments]])))</f>
        <v/>
      </c>
      <c r="H528" s="68" t="str">
        <f>IF(AND(Main[[#This Row],[In Stock Date]]&lt;&gt;"",Main[[#This Row],[Revised Due Date]]&lt;&gt;""),Main[[#This Row],[In Stock Date]]-Main[[#This Row],[Revised Due Date]],"")</f>
        <v/>
      </c>
      <c r="I528" s="65" t="s">
        <v>4</v>
      </c>
      <c r="J528" s="65" t="s">
        <v>4</v>
      </c>
      <c r="K528" s="65" t="s">
        <v>4</v>
      </c>
      <c r="L528" s="67"/>
      <c r="M528" s="69" t="str">
        <f>IF(Main[[#This Row],[Tech Start Date]]&lt;1/1/1990,"",IF(Main[[#This Row],[Class]]="C",WORKDAY(Main[[#This Row],[Tech Start Date]],9),IF(Main[[#This Row],[Class]]="B", WORKDAY(Main[[#This Row],[Tech Start Date]],6),IF(Main[[#This Row],[Class]]="A",WORKDAY(Main[[#This Row],[Tech Start Date]],2),""))))</f>
        <v/>
      </c>
      <c r="N528" s="69" t="str">
        <f>IF(Main[[#This Row],[Tech Start Date]]&lt;1/1/1990,"",IF(Main[[#This Row],[Class]]="C",WORKDAY(Main[[#This Row],[Tech Start Date]],19),IF(Main[[#This Row],[Class]]="B", WORKDAY(Main[[#This Row],[Tech Start Date]],12),IF(Main[[#This Row],[Class]]="A",WORKDAY(Main[[#This Row],[Tech Start Date]],4),""))))</f>
        <v/>
      </c>
      <c r="O528" s="69" t="str">
        <f>IF(Main[[#This Row],[Tech Start Date]]&lt;1/1/1990,"",IF(Main[[#This Row],[Class]]="C",WORKDAY(Main[[#This Row],[Tech Start Date]],23),IF(Main[[#This Row],[Class]]="B", WORKDAY(Main[[#This Row],[Tech Start Date]],15),IF(Main[[#This Row],[Class]]="A",WORKDAY(Main[[#This Row],[Tech Start Date]],5),""))))</f>
        <v/>
      </c>
      <c r="P528" s="69" t="str">
        <f>IF(Main[[#This Row],[Tech Start Date]]&lt;1/1/1990,"",IF(Main[[#This Row],[Class]]="C",WORKDAY(Main[[#This Row],[Tech Start Date]],28),IF(Main[[#This Row],[Class]]="B", WORKDAY(Main[[#This Row],[Tech Start Date]],19),IF(Main[[#This Row],[Class]]="A",WORKDAY(Main[[#This Row],[Tech Start Date]],9),""))))</f>
        <v/>
      </c>
      <c r="Q528" s="67">
        <v>40206</v>
      </c>
      <c r="R528" s="67">
        <v>40284</v>
      </c>
      <c r="S528" s="65" t="s">
        <v>11</v>
      </c>
      <c r="T528" s="70" t="s">
        <v>4</v>
      </c>
      <c r="U528" s="65" t="s">
        <v>14</v>
      </c>
      <c r="V528" s="65" t="s">
        <v>1918</v>
      </c>
      <c r="W528" s="65" t="s">
        <v>1919</v>
      </c>
      <c r="X528" s="65" t="s">
        <v>2843</v>
      </c>
      <c r="Y528" s="65" t="s">
        <v>3041</v>
      </c>
      <c r="Z528" s="65" t="s">
        <v>4</v>
      </c>
      <c r="AA528" s="65" t="s">
        <v>3424</v>
      </c>
    </row>
    <row r="529" spans="1:27" ht="17.45" customHeight="1">
      <c r="A529" s="131" t="str">
        <f>IF(priority(Main[[#This Row],[Comments]])&lt;&gt;0, priority(Main[[#This Row],[Comments]]),"")</f>
        <v/>
      </c>
      <c r="B529" s="99" t="s">
        <v>1607</v>
      </c>
      <c r="C529" s="65" t="s">
        <v>4</v>
      </c>
      <c r="D529" s="66" t="s">
        <v>680</v>
      </c>
      <c r="E529" s="67">
        <v>40619.658206018517</v>
      </c>
      <c r="F529" s="67"/>
      <c r="G529" s="64" t="str">
        <f>IF(stdProdLT(Main[[#This Row],[Comments]])=0.1,"N/A",IF(stdProdLT(Main[[#This Row],[Comments]])=0,"",stdProdLT(Main[[#This Row],[Comments]])))</f>
        <v/>
      </c>
      <c r="H529" s="68" t="str">
        <f>IF(AND(Main[[#This Row],[In Stock Date]]&lt;&gt;"",Main[[#This Row],[Revised Due Date]]&lt;&gt;""),Main[[#This Row],[In Stock Date]]-Main[[#This Row],[Revised Due Date]],"")</f>
        <v/>
      </c>
      <c r="I529" s="65" t="s">
        <v>924</v>
      </c>
      <c r="J529" s="65" t="s">
        <v>28</v>
      </c>
      <c r="K529" s="65" t="s">
        <v>1926</v>
      </c>
      <c r="L529" s="67"/>
      <c r="M529" s="69" t="str">
        <f>IF(Main[[#This Row],[Tech Start Date]]&lt;1/1/1990,"",IF(Main[[#This Row],[Class]]="C",WORKDAY(Main[[#This Row],[Tech Start Date]],9),IF(Main[[#This Row],[Class]]="B", WORKDAY(Main[[#This Row],[Tech Start Date]],6),IF(Main[[#This Row],[Class]]="A",WORKDAY(Main[[#This Row],[Tech Start Date]],2),""))))</f>
        <v/>
      </c>
      <c r="N529" s="69" t="str">
        <f>IF(Main[[#This Row],[Tech Start Date]]&lt;1/1/1990,"",IF(Main[[#This Row],[Class]]="C",WORKDAY(Main[[#This Row],[Tech Start Date]],19),IF(Main[[#This Row],[Class]]="B", WORKDAY(Main[[#This Row],[Tech Start Date]],12),IF(Main[[#This Row],[Class]]="A",WORKDAY(Main[[#This Row],[Tech Start Date]],4),""))))</f>
        <v/>
      </c>
      <c r="O529" s="69" t="str">
        <f>IF(Main[[#This Row],[Tech Start Date]]&lt;1/1/1990,"",IF(Main[[#This Row],[Class]]="C",WORKDAY(Main[[#This Row],[Tech Start Date]],23),IF(Main[[#This Row],[Class]]="B", WORKDAY(Main[[#This Row],[Tech Start Date]],15),IF(Main[[#This Row],[Class]]="A",WORKDAY(Main[[#This Row],[Tech Start Date]],5),""))))</f>
        <v/>
      </c>
      <c r="P529" s="69" t="str">
        <f>IF(Main[[#This Row],[Tech Start Date]]&lt;1/1/1990,"",IF(Main[[#This Row],[Class]]="C",WORKDAY(Main[[#This Row],[Tech Start Date]],28),IF(Main[[#This Row],[Class]]="B", WORKDAY(Main[[#This Row],[Tech Start Date]],19),IF(Main[[#This Row],[Class]]="A",WORKDAY(Main[[#This Row],[Tech Start Date]],9),""))))</f>
        <v/>
      </c>
      <c r="Q529" s="67"/>
      <c r="R529" s="67"/>
      <c r="S529" s="65" t="s">
        <v>6</v>
      </c>
      <c r="T529" s="70" t="s">
        <v>4</v>
      </c>
      <c r="U529" s="65" t="s">
        <v>29</v>
      </c>
      <c r="V529" s="65" t="s">
        <v>1932</v>
      </c>
      <c r="W529" s="65" t="s">
        <v>1919</v>
      </c>
      <c r="X529" s="65" t="s">
        <v>924</v>
      </c>
      <c r="Y529" s="65" t="s">
        <v>2988</v>
      </c>
      <c r="Z529" s="65" t="s">
        <v>2214</v>
      </c>
      <c r="AA529" s="65" t="s">
        <v>924</v>
      </c>
    </row>
    <row r="530" spans="1:27" ht="17.45" customHeight="1">
      <c r="A530" s="131" t="str">
        <f>IF(priority(Main[[#This Row],[Comments]])&lt;&gt;0, priority(Main[[#This Row],[Comments]]),"")</f>
        <v/>
      </c>
      <c r="B530" s="99" t="s">
        <v>1346</v>
      </c>
      <c r="C530" s="65" t="s">
        <v>4</v>
      </c>
      <c r="D530" s="66" t="s">
        <v>430</v>
      </c>
      <c r="E530" s="67">
        <v>40585.693101851852</v>
      </c>
      <c r="F530" s="67"/>
      <c r="G530" s="64" t="str">
        <f>IF(stdProdLT(Main[[#This Row],[Comments]])=0.1,"N/A",IF(stdProdLT(Main[[#This Row],[Comments]])=0,"",stdProdLT(Main[[#This Row],[Comments]])))</f>
        <v/>
      </c>
      <c r="H530" s="68" t="str">
        <f>IF(AND(Main[[#This Row],[In Stock Date]]&lt;&gt;"",Main[[#This Row],[Revised Due Date]]&lt;&gt;""),Main[[#This Row],[In Stock Date]]-Main[[#This Row],[Revised Due Date]],"")</f>
        <v/>
      </c>
      <c r="I530" s="65" t="s">
        <v>431</v>
      </c>
      <c r="J530" s="65" t="s">
        <v>21</v>
      </c>
      <c r="K530" s="65" t="s">
        <v>4</v>
      </c>
      <c r="L530" s="67"/>
      <c r="M530" s="69" t="str">
        <f>IF(Main[[#This Row],[Tech Start Date]]&lt;1/1/1990,"",IF(Main[[#This Row],[Class]]="C",WORKDAY(Main[[#This Row],[Tech Start Date]],9),IF(Main[[#This Row],[Class]]="B", WORKDAY(Main[[#This Row],[Tech Start Date]],6),IF(Main[[#This Row],[Class]]="A",WORKDAY(Main[[#This Row],[Tech Start Date]],2),""))))</f>
        <v/>
      </c>
      <c r="N530" s="69" t="str">
        <f>IF(Main[[#This Row],[Tech Start Date]]&lt;1/1/1990,"",IF(Main[[#This Row],[Class]]="C",WORKDAY(Main[[#This Row],[Tech Start Date]],19),IF(Main[[#This Row],[Class]]="B", WORKDAY(Main[[#This Row],[Tech Start Date]],12),IF(Main[[#This Row],[Class]]="A",WORKDAY(Main[[#This Row],[Tech Start Date]],4),""))))</f>
        <v/>
      </c>
      <c r="O530" s="69" t="str">
        <f>IF(Main[[#This Row],[Tech Start Date]]&lt;1/1/1990,"",IF(Main[[#This Row],[Class]]="C",WORKDAY(Main[[#This Row],[Tech Start Date]],23),IF(Main[[#This Row],[Class]]="B", WORKDAY(Main[[#This Row],[Tech Start Date]],15),IF(Main[[#This Row],[Class]]="A",WORKDAY(Main[[#This Row],[Tech Start Date]],5),""))))</f>
        <v/>
      </c>
      <c r="P530" s="69" t="str">
        <f>IF(Main[[#This Row],[Tech Start Date]]&lt;1/1/1990,"",IF(Main[[#This Row],[Class]]="C",WORKDAY(Main[[#This Row],[Tech Start Date]],28),IF(Main[[#This Row],[Class]]="B", WORKDAY(Main[[#This Row],[Tech Start Date]],19),IF(Main[[#This Row],[Class]]="A",WORKDAY(Main[[#This Row],[Tech Start Date]],9),""))))</f>
        <v/>
      </c>
      <c r="Q530" s="67">
        <v>40602</v>
      </c>
      <c r="R530" s="67"/>
      <c r="S530" s="65" t="s">
        <v>6</v>
      </c>
      <c r="T530" s="70" t="s">
        <v>4</v>
      </c>
      <c r="U530" s="65" t="s">
        <v>29</v>
      </c>
      <c r="V530" s="65" t="s">
        <v>1920</v>
      </c>
      <c r="W530" s="65" t="s">
        <v>1921</v>
      </c>
      <c r="X530" s="65" t="s">
        <v>30</v>
      </c>
      <c r="Y530" s="65" t="s">
        <v>2963</v>
      </c>
      <c r="Z530" s="65" t="s">
        <v>415</v>
      </c>
      <c r="AA530" s="65" t="s">
        <v>30</v>
      </c>
    </row>
    <row r="531" spans="1:27" ht="17.45" customHeight="1">
      <c r="A531" s="131" t="str">
        <f>IF(priority(Main[[#This Row],[Comments]])&lt;&gt;0, priority(Main[[#This Row],[Comments]]),"")</f>
        <v/>
      </c>
      <c r="B531" s="99" t="s">
        <v>1347</v>
      </c>
      <c r="C531" s="65" t="s">
        <v>4</v>
      </c>
      <c r="D531" s="66" t="s">
        <v>432</v>
      </c>
      <c r="E531" s="67"/>
      <c r="F531" s="67"/>
      <c r="G531" s="64" t="str">
        <f>IF(stdProdLT(Main[[#This Row],[Comments]])=0.1,"N/A",IF(stdProdLT(Main[[#This Row],[Comments]])=0,"",stdProdLT(Main[[#This Row],[Comments]])))</f>
        <v/>
      </c>
      <c r="H531" s="68" t="str">
        <f>IF(AND(Main[[#This Row],[In Stock Date]]&lt;&gt;"",Main[[#This Row],[Revised Due Date]]&lt;&gt;""),Main[[#This Row],[In Stock Date]]-Main[[#This Row],[Revised Due Date]],"")</f>
        <v/>
      </c>
      <c r="I531" s="65" t="s">
        <v>4</v>
      </c>
      <c r="J531" s="65" t="s">
        <v>4</v>
      </c>
      <c r="K531" s="71" t="s">
        <v>4</v>
      </c>
      <c r="L531" s="67"/>
      <c r="M531" s="69" t="str">
        <f>IF(Main[[#This Row],[Tech Start Date]]&lt;1/1/1990,"",IF(Main[[#This Row],[Class]]="C",WORKDAY(Main[[#This Row],[Tech Start Date]],9),IF(Main[[#This Row],[Class]]="B", WORKDAY(Main[[#This Row],[Tech Start Date]],6),IF(Main[[#This Row],[Class]]="A",WORKDAY(Main[[#This Row],[Tech Start Date]],2),""))))</f>
        <v/>
      </c>
      <c r="N531" s="69" t="str">
        <f>IF(Main[[#This Row],[Tech Start Date]]&lt;1/1/1990,"",IF(Main[[#This Row],[Class]]="C",WORKDAY(Main[[#This Row],[Tech Start Date]],19),IF(Main[[#This Row],[Class]]="B", WORKDAY(Main[[#This Row],[Tech Start Date]],12),IF(Main[[#This Row],[Class]]="A",WORKDAY(Main[[#This Row],[Tech Start Date]],4),""))))</f>
        <v/>
      </c>
      <c r="O531" s="69" t="str">
        <f>IF(Main[[#This Row],[Tech Start Date]]&lt;1/1/1990,"",IF(Main[[#This Row],[Class]]="C",WORKDAY(Main[[#This Row],[Tech Start Date]],23),IF(Main[[#This Row],[Class]]="B", WORKDAY(Main[[#This Row],[Tech Start Date]],15),IF(Main[[#This Row],[Class]]="A",WORKDAY(Main[[#This Row],[Tech Start Date]],5),""))))</f>
        <v/>
      </c>
      <c r="P531" s="69" t="str">
        <f>IF(Main[[#This Row],[Tech Start Date]]&lt;1/1/1990,"",IF(Main[[#This Row],[Class]]="C",WORKDAY(Main[[#This Row],[Tech Start Date]],28),IF(Main[[#This Row],[Class]]="B", WORKDAY(Main[[#This Row],[Tech Start Date]],19),IF(Main[[#This Row],[Class]]="A",WORKDAY(Main[[#This Row],[Tech Start Date]],9),""))))</f>
        <v/>
      </c>
      <c r="Q531" s="67"/>
      <c r="R531" s="67"/>
      <c r="S531" s="65" t="s">
        <v>4</v>
      </c>
      <c r="T531" s="70" t="s">
        <v>4</v>
      </c>
      <c r="U531" s="65" t="s">
        <v>14</v>
      </c>
      <c r="V531" s="65" t="s">
        <v>1917</v>
      </c>
      <c r="W531" s="65" t="s">
        <v>1931</v>
      </c>
      <c r="X531" s="65" t="s">
        <v>924</v>
      </c>
      <c r="Y531" s="65" t="s">
        <v>4</v>
      </c>
      <c r="Z531" s="65" t="s">
        <v>4</v>
      </c>
      <c r="AA531" s="65" t="s">
        <v>4</v>
      </c>
    </row>
    <row r="532" spans="1:27" ht="17.45" customHeight="1">
      <c r="A532" s="131" t="str">
        <f>IF(priority(Main[[#This Row],[Comments]])&lt;&gt;0, priority(Main[[#This Row],[Comments]]),"")</f>
        <v/>
      </c>
      <c r="B532" s="99" t="s">
        <v>1349</v>
      </c>
      <c r="C532" s="65" t="s">
        <v>31</v>
      </c>
      <c r="D532" s="66" t="s">
        <v>435</v>
      </c>
      <c r="E532" s="67"/>
      <c r="F532" s="67"/>
      <c r="G532" s="64" t="str">
        <f>IF(stdProdLT(Main[[#This Row],[Comments]])=0.1,"N/A",IF(stdProdLT(Main[[#This Row],[Comments]])=0,"",stdProdLT(Main[[#This Row],[Comments]])))</f>
        <v/>
      </c>
      <c r="H532" s="68" t="str">
        <f>IF(AND(Main[[#This Row],[In Stock Date]]&lt;&gt;"",Main[[#This Row],[Revised Due Date]]&lt;&gt;""),Main[[#This Row],[In Stock Date]]-Main[[#This Row],[Revised Due Date]],"")</f>
        <v/>
      </c>
      <c r="I532" s="65" t="s">
        <v>4</v>
      </c>
      <c r="J532" s="65" t="s">
        <v>4</v>
      </c>
      <c r="K532" s="65" t="s">
        <v>4</v>
      </c>
      <c r="L532" s="67"/>
      <c r="M532" s="69" t="str">
        <f>IF(Main[[#This Row],[Tech Start Date]]&lt;1/1/1990,"",IF(Main[[#This Row],[Class]]="C",WORKDAY(Main[[#This Row],[Tech Start Date]],9),IF(Main[[#This Row],[Class]]="B", WORKDAY(Main[[#This Row],[Tech Start Date]],6),IF(Main[[#This Row],[Class]]="A",WORKDAY(Main[[#This Row],[Tech Start Date]],2),""))))</f>
        <v/>
      </c>
      <c r="N532" s="69" t="str">
        <f>IF(Main[[#This Row],[Tech Start Date]]&lt;1/1/1990,"",IF(Main[[#This Row],[Class]]="C",WORKDAY(Main[[#This Row],[Tech Start Date]],19),IF(Main[[#This Row],[Class]]="B", WORKDAY(Main[[#This Row],[Tech Start Date]],12),IF(Main[[#This Row],[Class]]="A",WORKDAY(Main[[#This Row],[Tech Start Date]],4),""))))</f>
        <v/>
      </c>
      <c r="O532" s="69" t="str">
        <f>IF(Main[[#This Row],[Tech Start Date]]&lt;1/1/1990,"",IF(Main[[#This Row],[Class]]="C",WORKDAY(Main[[#This Row],[Tech Start Date]],23),IF(Main[[#This Row],[Class]]="B", WORKDAY(Main[[#This Row],[Tech Start Date]],15),IF(Main[[#This Row],[Class]]="A",WORKDAY(Main[[#This Row],[Tech Start Date]],5),""))))</f>
        <v/>
      </c>
      <c r="P532" s="69" t="str">
        <f>IF(Main[[#This Row],[Tech Start Date]]&lt;1/1/1990,"",IF(Main[[#This Row],[Class]]="C",WORKDAY(Main[[#This Row],[Tech Start Date]],28),IF(Main[[#This Row],[Class]]="B", WORKDAY(Main[[#This Row],[Tech Start Date]],19),IF(Main[[#This Row],[Class]]="A",WORKDAY(Main[[#This Row],[Tech Start Date]],9),""))))</f>
        <v/>
      </c>
      <c r="Q532" s="67">
        <v>40318</v>
      </c>
      <c r="R532" s="67"/>
      <c r="S532" s="65" t="s">
        <v>11</v>
      </c>
      <c r="T532" s="70" t="s">
        <v>4</v>
      </c>
      <c r="U532" s="65" t="s">
        <v>14</v>
      </c>
      <c r="V532" s="65" t="s">
        <v>1920</v>
      </c>
      <c r="W532" s="65" t="s">
        <v>1919</v>
      </c>
      <c r="X532" s="65" t="s">
        <v>2836</v>
      </c>
      <c r="Y532" s="65" t="s">
        <v>4</v>
      </c>
      <c r="Z532" s="65" t="s">
        <v>4</v>
      </c>
      <c r="AA532" s="65" t="s">
        <v>2836</v>
      </c>
    </row>
    <row r="533" spans="1:27" ht="17.45" customHeight="1">
      <c r="A533" s="131" t="str">
        <f>IF(priority(Main[[#This Row],[Comments]])&lt;&gt;0, priority(Main[[#This Row],[Comments]]),"")</f>
        <v/>
      </c>
      <c r="B533" s="99" t="s">
        <v>1350</v>
      </c>
      <c r="C533" s="65" t="s">
        <v>436</v>
      </c>
      <c r="D533" s="66" t="s">
        <v>437</v>
      </c>
      <c r="E533" s="67"/>
      <c r="F533" s="67">
        <v>40056</v>
      </c>
      <c r="G533" s="64" t="str">
        <f>IF(stdProdLT(Main[[#This Row],[Comments]])=0.1,"N/A",IF(stdProdLT(Main[[#This Row],[Comments]])=0,"",stdProdLT(Main[[#This Row],[Comments]])))</f>
        <v/>
      </c>
      <c r="H533" s="68" t="str">
        <f>IF(AND(Main[[#This Row],[In Stock Date]]&lt;&gt;"",Main[[#This Row],[Revised Due Date]]&lt;&gt;""),Main[[#This Row],[In Stock Date]]-Main[[#This Row],[Revised Due Date]],"")</f>
        <v/>
      </c>
      <c r="I533" s="65" t="s">
        <v>4</v>
      </c>
      <c r="J533" s="65" t="s">
        <v>4</v>
      </c>
      <c r="K533" s="65" t="s">
        <v>4</v>
      </c>
      <c r="L533" s="67"/>
      <c r="M533" s="69" t="str">
        <f>IF(Main[[#This Row],[Tech Start Date]]&lt;1/1/1990,"",IF(Main[[#This Row],[Class]]="C",WORKDAY(Main[[#This Row],[Tech Start Date]],9),IF(Main[[#This Row],[Class]]="B", WORKDAY(Main[[#This Row],[Tech Start Date]],6),IF(Main[[#This Row],[Class]]="A",WORKDAY(Main[[#This Row],[Tech Start Date]],2),""))))</f>
        <v/>
      </c>
      <c r="N533" s="69" t="str">
        <f>IF(Main[[#This Row],[Tech Start Date]]&lt;1/1/1990,"",IF(Main[[#This Row],[Class]]="C",WORKDAY(Main[[#This Row],[Tech Start Date]],19),IF(Main[[#This Row],[Class]]="B", WORKDAY(Main[[#This Row],[Tech Start Date]],12),IF(Main[[#This Row],[Class]]="A",WORKDAY(Main[[#This Row],[Tech Start Date]],4),""))))</f>
        <v/>
      </c>
      <c r="O533" s="69" t="str">
        <f>IF(Main[[#This Row],[Tech Start Date]]&lt;1/1/1990,"",IF(Main[[#This Row],[Class]]="C",WORKDAY(Main[[#This Row],[Tech Start Date]],23),IF(Main[[#This Row],[Class]]="B", WORKDAY(Main[[#This Row],[Tech Start Date]],15),IF(Main[[#This Row],[Class]]="A",WORKDAY(Main[[#This Row],[Tech Start Date]],5),""))))</f>
        <v/>
      </c>
      <c r="P533" s="69" t="str">
        <f>IF(Main[[#This Row],[Tech Start Date]]&lt;1/1/1990,"",IF(Main[[#This Row],[Class]]="C",WORKDAY(Main[[#This Row],[Tech Start Date]],28),IF(Main[[#This Row],[Class]]="B", WORKDAY(Main[[#This Row],[Tech Start Date]],19),IF(Main[[#This Row],[Class]]="A",WORKDAY(Main[[#This Row],[Tech Start Date]],9),""))))</f>
        <v/>
      </c>
      <c r="Q533" s="67"/>
      <c r="R533" s="67"/>
      <c r="S533" s="65" t="s">
        <v>11</v>
      </c>
      <c r="T533" s="70" t="s">
        <v>4</v>
      </c>
      <c r="U533" s="65" t="s">
        <v>14</v>
      </c>
      <c r="V533" s="65" t="s">
        <v>1917</v>
      </c>
      <c r="W533" s="65" t="s">
        <v>1925</v>
      </c>
      <c r="X533" s="65" t="s">
        <v>2859</v>
      </c>
      <c r="Y533" s="65" t="s">
        <v>2997</v>
      </c>
      <c r="Z533" s="65" t="s">
        <v>4</v>
      </c>
      <c r="AA533" s="65" t="s">
        <v>2859</v>
      </c>
    </row>
    <row r="534" spans="1:27" ht="17.45" customHeight="1">
      <c r="A534" s="131" t="str">
        <f>IF(priority(Main[[#This Row],[Comments]])&lt;&gt;0, priority(Main[[#This Row],[Comments]]),"")</f>
        <v/>
      </c>
      <c r="B534" s="99" t="s">
        <v>1351</v>
      </c>
      <c r="C534" s="65" t="s">
        <v>31</v>
      </c>
      <c r="D534" s="66" t="s">
        <v>438</v>
      </c>
      <c r="E534" s="67"/>
      <c r="F534" s="67"/>
      <c r="G534" s="64" t="str">
        <f>IF(stdProdLT(Main[[#This Row],[Comments]])=0.1,"N/A",IF(stdProdLT(Main[[#This Row],[Comments]])=0,"",stdProdLT(Main[[#This Row],[Comments]])))</f>
        <v/>
      </c>
      <c r="H534" s="68" t="str">
        <f>IF(AND(Main[[#This Row],[In Stock Date]]&lt;&gt;"",Main[[#This Row],[Revised Due Date]]&lt;&gt;""),Main[[#This Row],[In Stock Date]]-Main[[#This Row],[Revised Due Date]],"")</f>
        <v/>
      </c>
      <c r="I534" s="65" t="s">
        <v>4</v>
      </c>
      <c r="J534" s="65" t="s">
        <v>4</v>
      </c>
      <c r="K534" s="65" t="s">
        <v>4</v>
      </c>
      <c r="L534" s="67"/>
      <c r="M534" s="69" t="str">
        <f>IF(Main[[#This Row],[Tech Start Date]]&lt;1/1/1990,"",IF(Main[[#This Row],[Class]]="C",WORKDAY(Main[[#This Row],[Tech Start Date]],9),IF(Main[[#This Row],[Class]]="B", WORKDAY(Main[[#This Row],[Tech Start Date]],6),IF(Main[[#This Row],[Class]]="A",WORKDAY(Main[[#This Row],[Tech Start Date]],2),""))))</f>
        <v/>
      </c>
      <c r="N534" s="69" t="str">
        <f>IF(Main[[#This Row],[Tech Start Date]]&lt;1/1/1990,"",IF(Main[[#This Row],[Class]]="C",WORKDAY(Main[[#This Row],[Tech Start Date]],19),IF(Main[[#This Row],[Class]]="B", WORKDAY(Main[[#This Row],[Tech Start Date]],12),IF(Main[[#This Row],[Class]]="A",WORKDAY(Main[[#This Row],[Tech Start Date]],4),""))))</f>
        <v/>
      </c>
      <c r="O534" s="69" t="str">
        <f>IF(Main[[#This Row],[Tech Start Date]]&lt;1/1/1990,"",IF(Main[[#This Row],[Class]]="C",WORKDAY(Main[[#This Row],[Tech Start Date]],23),IF(Main[[#This Row],[Class]]="B", WORKDAY(Main[[#This Row],[Tech Start Date]],15),IF(Main[[#This Row],[Class]]="A",WORKDAY(Main[[#This Row],[Tech Start Date]],5),""))))</f>
        <v/>
      </c>
      <c r="P534" s="69" t="str">
        <f>IF(Main[[#This Row],[Tech Start Date]]&lt;1/1/1990,"",IF(Main[[#This Row],[Class]]="C",WORKDAY(Main[[#This Row],[Tech Start Date]],28),IF(Main[[#This Row],[Class]]="B", WORKDAY(Main[[#This Row],[Tech Start Date]],19),IF(Main[[#This Row],[Class]]="A",WORKDAY(Main[[#This Row],[Tech Start Date]],9),""))))</f>
        <v/>
      </c>
      <c r="Q534" s="67">
        <v>40318</v>
      </c>
      <c r="R534" s="67"/>
      <c r="S534" s="65" t="s">
        <v>11</v>
      </c>
      <c r="T534" s="70" t="s">
        <v>4</v>
      </c>
      <c r="U534" s="65" t="s">
        <v>14</v>
      </c>
      <c r="V534" s="65" t="s">
        <v>1920</v>
      </c>
      <c r="W534" s="65" t="s">
        <v>1928</v>
      </c>
      <c r="X534" s="65" t="s">
        <v>2836</v>
      </c>
      <c r="Y534" s="65" t="s">
        <v>4</v>
      </c>
      <c r="Z534" s="65" t="s">
        <v>4</v>
      </c>
      <c r="AA534" s="65" t="s">
        <v>2836</v>
      </c>
    </row>
    <row r="535" spans="1:27" ht="17.45" customHeight="1">
      <c r="A535" s="131" t="str">
        <f>IF(priority(Main[[#This Row],[Comments]])&lt;&gt;0, priority(Main[[#This Row],[Comments]]),"")</f>
        <v/>
      </c>
      <c r="B535" s="99" t="s">
        <v>1352</v>
      </c>
      <c r="C535" s="65" t="s">
        <v>31</v>
      </c>
      <c r="D535" s="66" t="s">
        <v>439</v>
      </c>
      <c r="E535" s="67"/>
      <c r="F535" s="67"/>
      <c r="G535" s="64" t="str">
        <f>IF(stdProdLT(Main[[#This Row],[Comments]])=0.1,"N/A",IF(stdProdLT(Main[[#This Row],[Comments]])=0,"",stdProdLT(Main[[#This Row],[Comments]])))</f>
        <v/>
      </c>
      <c r="H535" s="68" t="str">
        <f>IF(AND(Main[[#This Row],[In Stock Date]]&lt;&gt;"",Main[[#This Row],[Revised Due Date]]&lt;&gt;""),Main[[#This Row],[In Stock Date]]-Main[[#This Row],[Revised Due Date]],"")</f>
        <v/>
      </c>
      <c r="I535" s="65" t="s">
        <v>4</v>
      </c>
      <c r="J535" s="65" t="s">
        <v>4</v>
      </c>
      <c r="K535" s="65" t="s">
        <v>4</v>
      </c>
      <c r="L535" s="67"/>
      <c r="M535" s="69" t="str">
        <f>IF(Main[[#This Row],[Tech Start Date]]&lt;1/1/1990,"",IF(Main[[#This Row],[Class]]="C",WORKDAY(Main[[#This Row],[Tech Start Date]],9),IF(Main[[#This Row],[Class]]="B", WORKDAY(Main[[#This Row],[Tech Start Date]],6),IF(Main[[#This Row],[Class]]="A",WORKDAY(Main[[#This Row],[Tech Start Date]],2),""))))</f>
        <v/>
      </c>
      <c r="N535" s="69" t="str">
        <f>IF(Main[[#This Row],[Tech Start Date]]&lt;1/1/1990,"",IF(Main[[#This Row],[Class]]="C",WORKDAY(Main[[#This Row],[Tech Start Date]],19),IF(Main[[#This Row],[Class]]="B", WORKDAY(Main[[#This Row],[Tech Start Date]],12),IF(Main[[#This Row],[Class]]="A",WORKDAY(Main[[#This Row],[Tech Start Date]],4),""))))</f>
        <v/>
      </c>
      <c r="O535" s="69" t="str">
        <f>IF(Main[[#This Row],[Tech Start Date]]&lt;1/1/1990,"",IF(Main[[#This Row],[Class]]="C",WORKDAY(Main[[#This Row],[Tech Start Date]],23),IF(Main[[#This Row],[Class]]="B", WORKDAY(Main[[#This Row],[Tech Start Date]],15),IF(Main[[#This Row],[Class]]="A",WORKDAY(Main[[#This Row],[Tech Start Date]],5),""))))</f>
        <v/>
      </c>
      <c r="P535" s="69" t="str">
        <f>IF(Main[[#This Row],[Tech Start Date]]&lt;1/1/1990,"",IF(Main[[#This Row],[Class]]="C",WORKDAY(Main[[#This Row],[Tech Start Date]],28),IF(Main[[#This Row],[Class]]="B", WORKDAY(Main[[#This Row],[Tech Start Date]],19),IF(Main[[#This Row],[Class]]="A",WORKDAY(Main[[#This Row],[Tech Start Date]],9),""))))</f>
        <v/>
      </c>
      <c r="Q535" s="67">
        <v>40318</v>
      </c>
      <c r="R535" s="67"/>
      <c r="S535" s="65" t="s">
        <v>11</v>
      </c>
      <c r="T535" s="70" t="s">
        <v>4</v>
      </c>
      <c r="U535" s="65" t="s">
        <v>14</v>
      </c>
      <c r="V535" s="65" t="s">
        <v>1920</v>
      </c>
      <c r="W535" s="65" t="s">
        <v>1919</v>
      </c>
      <c r="X535" s="65" t="s">
        <v>2836</v>
      </c>
      <c r="Y535" s="65" t="s">
        <v>4</v>
      </c>
      <c r="Z535" s="65" t="s">
        <v>4</v>
      </c>
      <c r="AA535" s="65" t="s">
        <v>2836</v>
      </c>
    </row>
    <row r="536" spans="1:27" ht="17.45" customHeight="1">
      <c r="A536" s="131" t="str">
        <f>IF(priority(Main[[#This Row],[Comments]])&lt;&gt;0, priority(Main[[#This Row],[Comments]]),"")</f>
        <v/>
      </c>
      <c r="B536" s="99" t="s">
        <v>1354</v>
      </c>
      <c r="C536" s="65" t="s">
        <v>4</v>
      </c>
      <c r="D536" s="66" t="s">
        <v>441</v>
      </c>
      <c r="E536" s="67">
        <v>40371.342870370368</v>
      </c>
      <c r="F536" s="67"/>
      <c r="G536" s="64" t="str">
        <f>IF(stdProdLT(Main[[#This Row],[Comments]])=0.1,"N/A",IF(stdProdLT(Main[[#This Row],[Comments]])=0,"",stdProdLT(Main[[#This Row],[Comments]])))</f>
        <v/>
      </c>
      <c r="H536" s="68" t="str">
        <f>IF(AND(Main[[#This Row],[In Stock Date]]&lt;&gt;"",Main[[#This Row],[Revised Due Date]]&lt;&gt;""),Main[[#This Row],[In Stock Date]]-Main[[#This Row],[Revised Due Date]],"")</f>
        <v/>
      </c>
      <c r="I536" s="65" t="s">
        <v>4</v>
      </c>
      <c r="J536" s="65" t="s">
        <v>4</v>
      </c>
      <c r="K536" s="65" t="s">
        <v>4</v>
      </c>
      <c r="L536" s="67"/>
      <c r="M536" s="69" t="str">
        <f>IF(Main[[#This Row],[Tech Start Date]]&lt;1/1/1990,"",IF(Main[[#This Row],[Class]]="C",WORKDAY(Main[[#This Row],[Tech Start Date]],9),IF(Main[[#This Row],[Class]]="B", WORKDAY(Main[[#This Row],[Tech Start Date]],6),IF(Main[[#This Row],[Class]]="A",WORKDAY(Main[[#This Row],[Tech Start Date]],2),""))))</f>
        <v/>
      </c>
      <c r="N536" s="69" t="str">
        <f>IF(Main[[#This Row],[Tech Start Date]]&lt;1/1/1990,"",IF(Main[[#This Row],[Class]]="C",WORKDAY(Main[[#This Row],[Tech Start Date]],19),IF(Main[[#This Row],[Class]]="B", WORKDAY(Main[[#This Row],[Tech Start Date]],12),IF(Main[[#This Row],[Class]]="A",WORKDAY(Main[[#This Row],[Tech Start Date]],4),""))))</f>
        <v/>
      </c>
      <c r="O536" s="69" t="str">
        <f>IF(Main[[#This Row],[Tech Start Date]]&lt;1/1/1990,"",IF(Main[[#This Row],[Class]]="C",WORKDAY(Main[[#This Row],[Tech Start Date]],23),IF(Main[[#This Row],[Class]]="B", WORKDAY(Main[[#This Row],[Tech Start Date]],15),IF(Main[[#This Row],[Class]]="A",WORKDAY(Main[[#This Row],[Tech Start Date]],5),""))))</f>
        <v/>
      </c>
      <c r="P536" s="69" t="str">
        <f>IF(Main[[#This Row],[Tech Start Date]]&lt;1/1/1990,"",IF(Main[[#This Row],[Class]]="C",WORKDAY(Main[[#This Row],[Tech Start Date]],28),IF(Main[[#This Row],[Class]]="B", WORKDAY(Main[[#This Row],[Tech Start Date]],19),IF(Main[[#This Row],[Class]]="A",WORKDAY(Main[[#This Row],[Tech Start Date]],9),""))))</f>
        <v/>
      </c>
      <c r="Q536" s="67">
        <v>40385</v>
      </c>
      <c r="R536" s="67"/>
      <c r="S536" s="65" t="s">
        <v>6</v>
      </c>
      <c r="T536" s="70" t="s">
        <v>4</v>
      </c>
      <c r="U536" s="65" t="s">
        <v>7</v>
      </c>
      <c r="V536" s="65" t="s">
        <v>1917</v>
      </c>
      <c r="W536" s="65" t="s">
        <v>1919</v>
      </c>
      <c r="X536" s="65" t="s">
        <v>102</v>
      </c>
      <c r="Y536" s="65" t="s">
        <v>3038</v>
      </c>
      <c r="Z536" s="65" t="s">
        <v>4</v>
      </c>
      <c r="AA536" s="65" t="s">
        <v>3408</v>
      </c>
    </row>
    <row r="537" spans="1:27" ht="17.45" customHeight="1">
      <c r="A537" s="131" t="str">
        <f>IF(priority(Main[[#This Row],[Comments]])&lt;&gt;0, priority(Main[[#This Row],[Comments]]),"")</f>
        <v/>
      </c>
      <c r="B537" s="99" t="s">
        <v>1355</v>
      </c>
      <c r="C537" s="65" t="s">
        <v>4</v>
      </c>
      <c r="D537" s="66" t="s">
        <v>442</v>
      </c>
      <c r="E537" s="67">
        <v>40679.250891203701</v>
      </c>
      <c r="F537" s="67"/>
      <c r="G537" s="64" t="str">
        <f>IF(stdProdLT(Main[[#This Row],[Comments]])=0.1,"N/A",IF(stdProdLT(Main[[#This Row],[Comments]])=0,"",stdProdLT(Main[[#This Row],[Comments]])))</f>
        <v/>
      </c>
      <c r="H537" s="68" t="str">
        <f>IF(AND(Main[[#This Row],[In Stock Date]]&lt;&gt;"",Main[[#This Row],[Revised Due Date]]&lt;&gt;""),Main[[#This Row],[In Stock Date]]-Main[[#This Row],[Revised Due Date]],"")</f>
        <v/>
      </c>
      <c r="I537" s="65" t="s">
        <v>4</v>
      </c>
      <c r="J537" s="65" t="s">
        <v>4</v>
      </c>
      <c r="K537" s="71" t="s">
        <v>4</v>
      </c>
      <c r="L537" s="67"/>
      <c r="M537" s="69" t="str">
        <f>IF(Main[[#This Row],[Tech Start Date]]&lt;1/1/1990,"",IF(Main[[#This Row],[Class]]="C",WORKDAY(Main[[#This Row],[Tech Start Date]],9),IF(Main[[#This Row],[Class]]="B", WORKDAY(Main[[#This Row],[Tech Start Date]],6),IF(Main[[#This Row],[Class]]="A",WORKDAY(Main[[#This Row],[Tech Start Date]],2),""))))</f>
        <v/>
      </c>
      <c r="N537" s="69" t="str">
        <f>IF(Main[[#This Row],[Tech Start Date]]&lt;1/1/1990,"",IF(Main[[#This Row],[Class]]="C",WORKDAY(Main[[#This Row],[Tech Start Date]],19),IF(Main[[#This Row],[Class]]="B", WORKDAY(Main[[#This Row],[Tech Start Date]],12),IF(Main[[#This Row],[Class]]="A",WORKDAY(Main[[#This Row],[Tech Start Date]],4),""))))</f>
        <v/>
      </c>
      <c r="O537" s="69" t="str">
        <f>IF(Main[[#This Row],[Tech Start Date]]&lt;1/1/1990,"",IF(Main[[#This Row],[Class]]="C",WORKDAY(Main[[#This Row],[Tech Start Date]],23),IF(Main[[#This Row],[Class]]="B", WORKDAY(Main[[#This Row],[Tech Start Date]],15),IF(Main[[#This Row],[Class]]="A",WORKDAY(Main[[#This Row],[Tech Start Date]],5),""))))</f>
        <v/>
      </c>
      <c r="P537" s="69" t="str">
        <f>IF(Main[[#This Row],[Tech Start Date]]&lt;1/1/1990,"",IF(Main[[#This Row],[Class]]="C",WORKDAY(Main[[#This Row],[Tech Start Date]],28),IF(Main[[#This Row],[Class]]="B", WORKDAY(Main[[#This Row],[Tech Start Date]],19),IF(Main[[#This Row],[Class]]="A",WORKDAY(Main[[#This Row],[Tech Start Date]],9),""))))</f>
        <v/>
      </c>
      <c r="Q537" s="67">
        <v>40724</v>
      </c>
      <c r="R537" s="67"/>
      <c r="S537" s="65" t="s">
        <v>6</v>
      </c>
      <c r="T537" s="70" t="s">
        <v>4</v>
      </c>
      <c r="U537" s="65" t="s">
        <v>7</v>
      </c>
      <c r="V537" s="65" t="s">
        <v>1917</v>
      </c>
      <c r="W537" s="65" t="s">
        <v>4</v>
      </c>
      <c r="X537" s="65" t="s">
        <v>2828</v>
      </c>
      <c r="Y537" s="65" t="s">
        <v>2944</v>
      </c>
      <c r="Z537" s="65" t="s">
        <v>4</v>
      </c>
      <c r="AA537" s="65" t="s">
        <v>2828</v>
      </c>
    </row>
    <row r="538" spans="1:27" ht="17.45" customHeight="1">
      <c r="A538" s="131" t="str">
        <f>IF(priority(Main[[#This Row],[Comments]])&lt;&gt;0, priority(Main[[#This Row],[Comments]]),"")</f>
        <v/>
      </c>
      <c r="B538" s="99" t="s">
        <v>1356</v>
      </c>
      <c r="C538" s="65" t="s">
        <v>4</v>
      </c>
      <c r="D538" s="66" t="s">
        <v>443</v>
      </c>
      <c r="E538" s="67"/>
      <c r="F538" s="67"/>
      <c r="G538" s="64" t="str">
        <f>IF(stdProdLT(Main[[#This Row],[Comments]])=0.1,"N/A",IF(stdProdLT(Main[[#This Row],[Comments]])=0,"",stdProdLT(Main[[#This Row],[Comments]])))</f>
        <v/>
      </c>
      <c r="H538" s="68" t="str">
        <f>IF(AND(Main[[#This Row],[In Stock Date]]&lt;&gt;"",Main[[#This Row],[Revised Due Date]]&lt;&gt;""),Main[[#This Row],[In Stock Date]]-Main[[#This Row],[Revised Due Date]],"")</f>
        <v/>
      </c>
      <c r="I538" s="65" t="s">
        <v>4</v>
      </c>
      <c r="J538" s="65" t="s">
        <v>4</v>
      </c>
      <c r="K538" s="65" t="s">
        <v>4</v>
      </c>
      <c r="L538" s="67"/>
      <c r="M538" s="69" t="str">
        <f>IF(Main[[#This Row],[Tech Start Date]]&lt;1/1/1990,"",IF(Main[[#This Row],[Class]]="C",WORKDAY(Main[[#This Row],[Tech Start Date]],9),IF(Main[[#This Row],[Class]]="B", WORKDAY(Main[[#This Row],[Tech Start Date]],6),IF(Main[[#This Row],[Class]]="A",WORKDAY(Main[[#This Row],[Tech Start Date]],2),""))))</f>
        <v/>
      </c>
      <c r="N538" s="69" t="str">
        <f>IF(Main[[#This Row],[Tech Start Date]]&lt;1/1/1990,"",IF(Main[[#This Row],[Class]]="C",WORKDAY(Main[[#This Row],[Tech Start Date]],19),IF(Main[[#This Row],[Class]]="B", WORKDAY(Main[[#This Row],[Tech Start Date]],12),IF(Main[[#This Row],[Class]]="A",WORKDAY(Main[[#This Row],[Tech Start Date]],4),""))))</f>
        <v/>
      </c>
      <c r="O538" s="69" t="str">
        <f>IF(Main[[#This Row],[Tech Start Date]]&lt;1/1/1990,"",IF(Main[[#This Row],[Class]]="C",WORKDAY(Main[[#This Row],[Tech Start Date]],23),IF(Main[[#This Row],[Class]]="B", WORKDAY(Main[[#This Row],[Tech Start Date]],15),IF(Main[[#This Row],[Class]]="A",WORKDAY(Main[[#This Row],[Tech Start Date]],5),""))))</f>
        <v/>
      </c>
      <c r="P538" s="69" t="str">
        <f>IF(Main[[#This Row],[Tech Start Date]]&lt;1/1/1990,"",IF(Main[[#This Row],[Class]]="C",WORKDAY(Main[[#This Row],[Tech Start Date]],28),IF(Main[[#This Row],[Class]]="B", WORKDAY(Main[[#This Row],[Tech Start Date]],19),IF(Main[[#This Row],[Class]]="A",WORKDAY(Main[[#This Row],[Tech Start Date]],9),""))))</f>
        <v/>
      </c>
      <c r="Q538" s="67"/>
      <c r="R538" s="67"/>
      <c r="S538" s="65" t="s">
        <v>11</v>
      </c>
      <c r="T538" s="70" t="s">
        <v>4</v>
      </c>
      <c r="U538" s="65" t="s">
        <v>14</v>
      </c>
      <c r="V538" s="65" t="s">
        <v>1927</v>
      </c>
      <c r="W538" s="65" t="s">
        <v>1923</v>
      </c>
      <c r="X538" s="65" t="s">
        <v>2874</v>
      </c>
      <c r="Y538" s="65" t="s">
        <v>3042</v>
      </c>
      <c r="Z538" s="65" t="s">
        <v>4</v>
      </c>
      <c r="AA538" s="65" t="s">
        <v>2874</v>
      </c>
    </row>
    <row r="539" spans="1:27" ht="17.45" customHeight="1">
      <c r="A539" s="131" t="str">
        <f>IF(priority(Main[[#This Row],[Comments]])&lt;&gt;0, priority(Main[[#This Row],[Comments]]),"")</f>
        <v/>
      </c>
      <c r="B539" s="99" t="s">
        <v>1357</v>
      </c>
      <c r="C539" s="65" t="s">
        <v>436</v>
      </c>
      <c r="D539" s="66" t="s">
        <v>444</v>
      </c>
      <c r="E539" s="67"/>
      <c r="F539" s="67"/>
      <c r="G539" s="64" t="str">
        <f>IF(stdProdLT(Main[[#This Row],[Comments]])=0.1,"N/A",IF(stdProdLT(Main[[#This Row],[Comments]])=0,"",stdProdLT(Main[[#This Row],[Comments]])))</f>
        <v/>
      </c>
      <c r="H539" s="68" t="str">
        <f>IF(AND(Main[[#This Row],[In Stock Date]]&lt;&gt;"",Main[[#This Row],[Revised Due Date]]&lt;&gt;""),Main[[#This Row],[In Stock Date]]-Main[[#This Row],[Revised Due Date]],"")</f>
        <v/>
      </c>
      <c r="I539" s="65" t="s">
        <v>4</v>
      </c>
      <c r="J539" s="65" t="s">
        <v>4</v>
      </c>
      <c r="K539" s="65" t="s">
        <v>4</v>
      </c>
      <c r="L539" s="67"/>
      <c r="M539" s="69" t="str">
        <f>IF(Main[[#This Row],[Tech Start Date]]&lt;1/1/1990,"",IF(Main[[#This Row],[Class]]="C",WORKDAY(Main[[#This Row],[Tech Start Date]],9),IF(Main[[#This Row],[Class]]="B", WORKDAY(Main[[#This Row],[Tech Start Date]],6),IF(Main[[#This Row],[Class]]="A",WORKDAY(Main[[#This Row],[Tech Start Date]],2),""))))</f>
        <v/>
      </c>
      <c r="N539" s="69" t="str">
        <f>IF(Main[[#This Row],[Tech Start Date]]&lt;1/1/1990,"",IF(Main[[#This Row],[Class]]="C",WORKDAY(Main[[#This Row],[Tech Start Date]],19),IF(Main[[#This Row],[Class]]="B", WORKDAY(Main[[#This Row],[Tech Start Date]],12),IF(Main[[#This Row],[Class]]="A",WORKDAY(Main[[#This Row],[Tech Start Date]],4),""))))</f>
        <v/>
      </c>
      <c r="O539" s="69" t="str">
        <f>IF(Main[[#This Row],[Tech Start Date]]&lt;1/1/1990,"",IF(Main[[#This Row],[Class]]="C",WORKDAY(Main[[#This Row],[Tech Start Date]],23),IF(Main[[#This Row],[Class]]="B", WORKDAY(Main[[#This Row],[Tech Start Date]],15),IF(Main[[#This Row],[Class]]="A",WORKDAY(Main[[#This Row],[Tech Start Date]],5),""))))</f>
        <v/>
      </c>
      <c r="P539" s="69" t="str">
        <f>IF(Main[[#This Row],[Tech Start Date]]&lt;1/1/1990,"",IF(Main[[#This Row],[Class]]="C",WORKDAY(Main[[#This Row],[Tech Start Date]],28),IF(Main[[#This Row],[Class]]="B", WORKDAY(Main[[#This Row],[Tech Start Date]],19),IF(Main[[#This Row],[Class]]="A",WORKDAY(Main[[#This Row],[Tech Start Date]],9),""))))</f>
        <v/>
      </c>
      <c r="Q539" s="67"/>
      <c r="R539" s="67"/>
      <c r="S539" s="65" t="s">
        <v>11</v>
      </c>
      <c r="T539" s="70" t="s">
        <v>4</v>
      </c>
      <c r="U539" s="65" t="s">
        <v>14</v>
      </c>
      <c r="V539" s="65" t="s">
        <v>1918</v>
      </c>
      <c r="W539" s="65" t="s">
        <v>1925</v>
      </c>
      <c r="X539" s="65" t="s">
        <v>2833</v>
      </c>
      <c r="Y539" s="65" t="s">
        <v>2954</v>
      </c>
      <c r="Z539" s="65" t="s">
        <v>4</v>
      </c>
      <c r="AA539" s="65" t="s">
        <v>2833</v>
      </c>
    </row>
    <row r="540" spans="1:27" ht="17.45" customHeight="1">
      <c r="A540" s="131" t="str">
        <f>IF(priority(Main[[#This Row],[Comments]])&lt;&gt;0, priority(Main[[#This Row],[Comments]]),"")</f>
        <v/>
      </c>
      <c r="B540" s="99" t="s">
        <v>1358</v>
      </c>
      <c r="C540" s="65" t="s">
        <v>47</v>
      </c>
      <c r="D540" s="66" t="s">
        <v>445</v>
      </c>
      <c r="E540" s="67"/>
      <c r="F540" s="67"/>
      <c r="G540" s="64" t="str">
        <f>IF(stdProdLT(Main[[#This Row],[Comments]])=0.1,"N/A",IF(stdProdLT(Main[[#This Row],[Comments]])=0,"",stdProdLT(Main[[#This Row],[Comments]])))</f>
        <v/>
      </c>
      <c r="H540" s="68" t="str">
        <f>IF(AND(Main[[#This Row],[In Stock Date]]&lt;&gt;"",Main[[#This Row],[Revised Due Date]]&lt;&gt;""),Main[[#This Row],[In Stock Date]]-Main[[#This Row],[Revised Due Date]],"")</f>
        <v/>
      </c>
      <c r="I540" s="65" t="s">
        <v>4</v>
      </c>
      <c r="J540" s="65" t="s">
        <v>4</v>
      </c>
      <c r="K540" s="65" t="s">
        <v>4</v>
      </c>
      <c r="L540" s="67"/>
      <c r="M540" s="69" t="str">
        <f>IF(Main[[#This Row],[Tech Start Date]]&lt;1/1/1990,"",IF(Main[[#This Row],[Class]]="C",WORKDAY(Main[[#This Row],[Tech Start Date]],9),IF(Main[[#This Row],[Class]]="B", WORKDAY(Main[[#This Row],[Tech Start Date]],6),IF(Main[[#This Row],[Class]]="A",WORKDAY(Main[[#This Row],[Tech Start Date]],2),""))))</f>
        <v/>
      </c>
      <c r="N540" s="69" t="str">
        <f>IF(Main[[#This Row],[Tech Start Date]]&lt;1/1/1990,"",IF(Main[[#This Row],[Class]]="C",WORKDAY(Main[[#This Row],[Tech Start Date]],19),IF(Main[[#This Row],[Class]]="B", WORKDAY(Main[[#This Row],[Tech Start Date]],12),IF(Main[[#This Row],[Class]]="A",WORKDAY(Main[[#This Row],[Tech Start Date]],4),""))))</f>
        <v/>
      </c>
      <c r="O540" s="69" t="str">
        <f>IF(Main[[#This Row],[Tech Start Date]]&lt;1/1/1990,"",IF(Main[[#This Row],[Class]]="C",WORKDAY(Main[[#This Row],[Tech Start Date]],23),IF(Main[[#This Row],[Class]]="B", WORKDAY(Main[[#This Row],[Tech Start Date]],15),IF(Main[[#This Row],[Class]]="A",WORKDAY(Main[[#This Row],[Tech Start Date]],5),""))))</f>
        <v/>
      </c>
      <c r="P540" s="69" t="str">
        <f>IF(Main[[#This Row],[Tech Start Date]]&lt;1/1/1990,"",IF(Main[[#This Row],[Class]]="C",WORKDAY(Main[[#This Row],[Tech Start Date]],28),IF(Main[[#This Row],[Class]]="B", WORKDAY(Main[[#This Row],[Tech Start Date]],19),IF(Main[[#This Row],[Class]]="A",WORKDAY(Main[[#This Row],[Tech Start Date]],9),""))))</f>
        <v/>
      </c>
      <c r="Q540" s="67"/>
      <c r="R540" s="67"/>
      <c r="S540" s="65" t="s">
        <v>49</v>
      </c>
      <c r="T540" s="70" t="s">
        <v>4</v>
      </c>
      <c r="U540" s="65" t="s">
        <v>14</v>
      </c>
      <c r="V540" s="65" t="s">
        <v>1920</v>
      </c>
      <c r="W540" s="65" t="s">
        <v>1921</v>
      </c>
      <c r="X540" s="65" t="s">
        <v>306</v>
      </c>
      <c r="Y540" s="65" t="s">
        <v>2947</v>
      </c>
      <c r="Z540" s="65" t="s">
        <v>4</v>
      </c>
      <c r="AA540" s="65" t="s">
        <v>3388</v>
      </c>
    </row>
    <row r="541" spans="1:27" ht="17.45" customHeight="1">
      <c r="A541" s="131" t="str">
        <f>IF(priority(Main[[#This Row],[Comments]])&lt;&gt;0, priority(Main[[#This Row],[Comments]]),"")</f>
        <v/>
      </c>
      <c r="B541" s="99" t="s">
        <v>1359</v>
      </c>
      <c r="C541" s="65" t="s">
        <v>47</v>
      </c>
      <c r="D541" s="66" t="s">
        <v>446</v>
      </c>
      <c r="E541" s="67">
        <v>40323.347812499997</v>
      </c>
      <c r="F541" s="67"/>
      <c r="G541" s="64" t="str">
        <f>IF(stdProdLT(Main[[#This Row],[Comments]])=0.1,"N/A",IF(stdProdLT(Main[[#This Row],[Comments]])=0,"",stdProdLT(Main[[#This Row],[Comments]])))</f>
        <v/>
      </c>
      <c r="H541" s="68" t="str">
        <f>IF(AND(Main[[#This Row],[In Stock Date]]&lt;&gt;"",Main[[#This Row],[Revised Due Date]]&lt;&gt;""),Main[[#This Row],[In Stock Date]]-Main[[#This Row],[Revised Due Date]],"")</f>
        <v/>
      </c>
      <c r="I541" s="65" t="s">
        <v>129</v>
      </c>
      <c r="J541" s="65" t="s">
        <v>4</v>
      </c>
      <c r="K541" s="65" t="s">
        <v>4</v>
      </c>
      <c r="L541" s="67"/>
      <c r="M541" s="69" t="str">
        <f>IF(Main[[#This Row],[Tech Start Date]]&lt;1/1/1990,"",IF(Main[[#This Row],[Class]]="C",WORKDAY(Main[[#This Row],[Tech Start Date]],9),IF(Main[[#This Row],[Class]]="B", WORKDAY(Main[[#This Row],[Tech Start Date]],6),IF(Main[[#This Row],[Class]]="A",WORKDAY(Main[[#This Row],[Tech Start Date]],2),""))))</f>
        <v/>
      </c>
      <c r="N541" s="69" t="str">
        <f>IF(Main[[#This Row],[Tech Start Date]]&lt;1/1/1990,"",IF(Main[[#This Row],[Class]]="C",WORKDAY(Main[[#This Row],[Tech Start Date]],19),IF(Main[[#This Row],[Class]]="B", WORKDAY(Main[[#This Row],[Tech Start Date]],12),IF(Main[[#This Row],[Class]]="A",WORKDAY(Main[[#This Row],[Tech Start Date]],4),""))))</f>
        <v/>
      </c>
      <c r="O541" s="69" t="str">
        <f>IF(Main[[#This Row],[Tech Start Date]]&lt;1/1/1990,"",IF(Main[[#This Row],[Class]]="C",WORKDAY(Main[[#This Row],[Tech Start Date]],23),IF(Main[[#This Row],[Class]]="B", WORKDAY(Main[[#This Row],[Tech Start Date]],15),IF(Main[[#This Row],[Class]]="A",WORKDAY(Main[[#This Row],[Tech Start Date]],5),""))))</f>
        <v/>
      </c>
      <c r="P541" s="69" t="str">
        <f>IF(Main[[#This Row],[Tech Start Date]]&lt;1/1/1990,"",IF(Main[[#This Row],[Class]]="C",WORKDAY(Main[[#This Row],[Tech Start Date]],28),IF(Main[[#This Row],[Class]]="B", WORKDAY(Main[[#This Row],[Tech Start Date]],19),IF(Main[[#This Row],[Class]]="A",WORKDAY(Main[[#This Row],[Tech Start Date]],9),""))))</f>
        <v/>
      </c>
      <c r="Q541" s="67">
        <v>40340</v>
      </c>
      <c r="R541" s="67"/>
      <c r="S541" s="65" t="s">
        <v>6</v>
      </c>
      <c r="T541" s="70" t="s">
        <v>4</v>
      </c>
      <c r="U541" s="65" t="s">
        <v>29</v>
      </c>
      <c r="V541" s="65" t="s">
        <v>1917</v>
      </c>
      <c r="W541" s="65" t="s">
        <v>1921</v>
      </c>
      <c r="X541" s="65" t="s">
        <v>306</v>
      </c>
      <c r="Y541" s="65" t="s">
        <v>4</v>
      </c>
      <c r="Z541" s="65" t="s">
        <v>129</v>
      </c>
      <c r="AA541" s="65" t="s">
        <v>3422</v>
      </c>
    </row>
    <row r="542" spans="1:27" ht="17.45" customHeight="1">
      <c r="A542" s="131" t="str">
        <f>IF(priority(Main[[#This Row],[Comments]])&lt;&gt;0, priority(Main[[#This Row],[Comments]]),"")</f>
        <v/>
      </c>
      <c r="B542" s="99" t="s">
        <v>1360</v>
      </c>
      <c r="C542" s="65" t="s">
        <v>31</v>
      </c>
      <c r="D542" s="66" t="s">
        <v>447</v>
      </c>
      <c r="E542" s="67"/>
      <c r="F542" s="67"/>
      <c r="G542" s="64" t="str">
        <f>IF(stdProdLT(Main[[#This Row],[Comments]])=0.1,"N/A",IF(stdProdLT(Main[[#This Row],[Comments]])=0,"",stdProdLT(Main[[#This Row],[Comments]])))</f>
        <v/>
      </c>
      <c r="H542" s="68" t="str">
        <f>IF(AND(Main[[#This Row],[In Stock Date]]&lt;&gt;"",Main[[#This Row],[Revised Due Date]]&lt;&gt;""),Main[[#This Row],[In Stock Date]]-Main[[#This Row],[Revised Due Date]],"")</f>
        <v/>
      </c>
      <c r="I542" s="65" t="s">
        <v>4</v>
      </c>
      <c r="J542" s="65" t="s">
        <v>4</v>
      </c>
      <c r="K542" s="65" t="s">
        <v>4</v>
      </c>
      <c r="L542" s="67"/>
      <c r="M542" s="69" t="str">
        <f>IF(Main[[#This Row],[Tech Start Date]]&lt;1/1/1990,"",IF(Main[[#This Row],[Class]]="C",WORKDAY(Main[[#This Row],[Tech Start Date]],9),IF(Main[[#This Row],[Class]]="B", WORKDAY(Main[[#This Row],[Tech Start Date]],6),IF(Main[[#This Row],[Class]]="A",WORKDAY(Main[[#This Row],[Tech Start Date]],2),""))))</f>
        <v/>
      </c>
      <c r="N542" s="69" t="str">
        <f>IF(Main[[#This Row],[Tech Start Date]]&lt;1/1/1990,"",IF(Main[[#This Row],[Class]]="C",WORKDAY(Main[[#This Row],[Tech Start Date]],19),IF(Main[[#This Row],[Class]]="B", WORKDAY(Main[[#This Row],[Tech Start Date]],12),IF(Main[[#This Row],[Class]]="A",WORKDAY(Main[[#This Row],[Tech Start Date]],4),""))))</f>
        <v/>
      </c>
      <c r="O542" s="69" t="str">
        <f>IF(Main[[#This Row],[Tech Start Date]]&lt;1/1/1990,"",IF(Main[[#This Row],[Class]]="C",WORKDAY(Main[[#This Row],[Tech Start Date]],23),IF(Main[[#This Row],[Class]]="B", WORKDAY(Main[[#This Row],[Tech Start Date]],15),IF(Main[[#This Row],[Class]]="A",WORKDAY(Main[[#This Row],[Tech Start Date]],5),""))))</f>
        <v/>
      </c>
      <c r="P542" s="69" t="str">
        <f>IF(Main[[#This Row],[Tech Start Date]]&lt;1/1/1990,"",IF(Main[[#This Row],[Class]]="C",WORKDAY(Main[[#This Row],[Tech Start Date]],28),IF(Main[[#This Row],[Class]]="B", WORKDAY(Main[[#This Row],[Tech Start Date]],19),IF(Main[[#This Row],[Class]]="A",WORKDAY(Main[[#This Row],[Tech Start Date]],9),""))))</f>
        <v/>
      </c>
      <c r="Q542" s="67">
        <v>40318</v>
      </c>
      <c r="R542" s="67"/>
      <c r="S542" s="65" t="s">
        <v>11</v>
      </c>
      <c r="T542" s="70" t="s">
        <v>4</v>
      </c>
      <c r="U542" s="65" t="s">
        <v>14</v>
      </c>
      <c r="V542" s="65" t="s">
        <v>1920</v>
      </c>
      <c r="W542" s="65" t="s">
        <v>1928</v>
      </c>
      <c r="X542" s="65" t="s">
        <v>2836</v>
      </c>
      <c r="Y542" s="65" t="s">
        <v>4</v>
      </c>
      <c r="Z542" s="65" t="s">
        <v>4</v>
      </c>
      <c r="AA542" s="65" t="s">
        <v>2836</v>
      </c>
    </row>
    <row r="543" spans="1:27" ht="17.45" customHeight="1">
      <c r="A543" s="131" t="str">
        <f>IF(priority(Main[[#This Row],[Comments]])&lt;&gt;0, priority(Main[[#This Row],[Comments]]),"")</f>
        <v/>
      </c>
      <c r="B543" s="99" t="s">
        <v>1361</v>
      </c>
      <c r="C543" s="65" t="s">
        <v>31</v>
      </c>
      <c r="D543" s="66" t="s">
        <v>448</v>
      </c>
      <c r="E543" s="67"/>
      <c r="F543" s="67"/>
      <c r="G543" s="64" t="str">
        <f>IF(stdProdLT(Main[[#This Row],[Comments]])=0.1,"N/A",IF(stdProdLT(Main[[#This Row],[Comments]])=0,"",stdProdLT(Main[[#This Row],[Comments]])))</f>
        <v/>
      </c>
      <c r="H543" s="68" t="str">
        <f>IF(AND(Main[[#This Row],[In Stock Date]]&lt;&gt;"",Main[[#This Row],[Revised Due Date]]&lt;&gt;""),Main[[#This Row],[In Stock Date]]-Main[[#This Row],[Revised Due Date]],"")</f>
        <v/>
      </c>
      <c r="I543" s="65" t="s">
        <v>4</v>
      </c>
      <c r="J543" s="65" t="s">
        <v>4</v>
      </c>
      <c r="K543" s="65" t="s">
        <v>4</v>
      </c>
      <c r="L543" s="67"/>
      <c r="M543" s="69" t="str">
        <f>IF(Main[[#This Row],[Tech Start Date]]&lt;1/1/1990,"",IF(Main[[#This Row],[Class]]="C",WORKDAY(Main[[#This Row],[Tech Start Date]],9),IF(Main[[#This Row],[Class]]="B", WORKDAY(Main[[#This Row],[Tech Start Date]],6),IF(Main[[#This Row],[Class]]="A",WORKDAY(Main[[#This Row],[Tech Start Date]],2),""))))</f>
        <v/>
      </c>
      <c r="N543" s="69" t="str">
        <f>IF(Main[[#This Row],[Tech Start Date]]&lt;1/1/1990,"",IF(Main[[#This Row],[Class]]="C",WORKDAY(Main[[#This Row],[Tech Start Date]],19),IF(Main[[#This Row],[Class]]="B", WORKDAY(Main[[#This Row],[Tech Start Date]],12),IF(Main[[#This Row],[Class]]="A",WORKDAY(Main[[#This Row],[Tech Start Date]],4),""))))</f>
        <v/>
      </c>
      <c r="O543" s="69" t="str">
        <f>IF(Main[[#This Row],[Tech Start Date]]&lt;1/1/1990,"",IF(Main[[#This Row],[Class]]="C",WORKDAY(Main[[#This Row],[Tech Start Date]],23),IF(Main[[#This Row],[Class]]="B", WORKDAY(Main[[#This Row],[Tech Start Date]],15),IF(Main[[#This Row],[Class]]="A",WORKDAY(Main[[#This Row],[Tech Start Date]],5),""))))</f>
        <v/>
      </c>
      <c r="P543" s="69" t="str">
        <f>IF(Main[[#This Row],[Tech Start Date]]&lt;1/1/1990,"",IF(Main[[#This Row],[Class]]="C",WORKDAY(Main[[#This Row],[Tech Start Date]],28),IF(Main[[#This Row],[Class]]="B", WORKDAY(Main[[#This Row],[Tech Start Date]],19),IF(Main[[#This Row],[Class]]="A",WORKDAY(Main[[#This Row],[Tech Start Date]],9),""))))</f>
        <v/>
      </c>
      <c r="Q543" s="67">
        <v>40318</v>
      </c>
      <c r="R543" s="67"/>
      <c r="S543" s="65" t="s">
        <v>11</v>
      </c>
      <c r="T543" s="70" t="s">
        <v>4</v>
      </c>
      <c r="U543" s="65" t="s">
        <v>14</v>
      </c>
      <c r="V543" s="65" t="s">
        <v>1920</v>
      </c>
      <c r="W543" s="65" t="s">
        <v>1928</v>
      </c>
      <c r="X543" s="65" t="s">
        <v>2836</v>
      </c>
      <c r="Y543" s="65" t="s">
        <v>4</v>
      </c>
      <c r="Z543" s="65" t="s">
        <v>4</v>
      </c>
      <c r="AA543" s="65" t="s">
        <v>2836</v>
      </c>
    </row>
    <row r="544" spans="1:27" ht="17.45" customHeight="1">
      <c r="A544" s="131" t="str">
        <f>IF(priority(Main[[#This Row],[Comments]])&lt;&gt;0, priority(Main[[#This Row],[Comments]]),"")</f>
        <v/>
      </c>
      <c r="B544" s="99" t="s">
        <v>1362</v>
      </c>
      <c r="C544" s="65" t="s">
        <v>275</v>
      </c>
      <c r="D544" s="66" t="s">
        <v>449</v>
      </c>
      <c r="E544" s="67"/>
      <c r="F544" s="67">
        <v>40444</v>
      </c>
      <c r="G544" s="64" t="str">
        <f>IF(stdProdLT(Main[[#This Row],[Comments]])=0.1,"N/A",IF(stdProdLT(Main[[#This Row],[Comments]])=0,"",stdProdLT(Main[[#This Row],[Comments]])))</f>
        <v/>
      </c>
      <c r="H544" s="68" t="str">
        <f>IF(AND(Main[[#This Row],[In Stock Date]]&lt;&gt;"",Main[[#This Row],[Revised Due Date]]&lt;&gt;""),Main[[#This Row],[In Stock Date]]-Main[[#This Row],[Revised Due Date]],"")</f>
        <v/>
      </c>
      <c r="I544" s="65" t="s">
        <v>4</v>
      </c>
      <c r="J544" s="65" t="s">
        <v>4</v>
      </c>
      <c r="K544" s="65" t="s">
        <v>4</v>
      </c>
      <c r="L544" s="67"/>
      <c r="M544" s="69" t="str">
        <f>IF(Main[[#This Row],[Tech Start Date]]&lt;1/1/1990,"",IF(Main[[#This Row],[Class]]="C",WORKDAY(Main[[#This Row],[Tech Start Date]],9),IF(Main[[#This Row],[Class]]="B", WORKDAY(Main[[#This Row],[Tech Start Date]],6),IF(Main[[#This Row],[Class]]="A",WORKDAY(Main[[#This Row],[Tech Start Date]],2),""))))</f>
        <v/>
      </c>
      <c r="N544" s="69" t="str">
        <f>IF(Main[[#This Row],[Tech Start Date]]&lt;1/1/1990,"",IF(Main[[#This Row],[Class]]="C",WORKDAY(Main[[#This Row],[Tech Start Date]],19),IF(Main[[#This Row],[Class]]="B", WORKDAY(Main[[#This Row],[Tech Start Date]],12),IF(Main[[#This Row],[Class]]="A",WORKDAY(Main[[#This Row],[Tech Start Date]],4),""))))</f>
        <v/>
      </c>
      <c r="O544" s="69" t="str">
        <f>IF(Main[[#This Row],[Tech Start Date]]&lt;1/1/1990,"",IF(Main[[#This Row],[Class]]="C",WORKDAY(Main[[#This Row],[Tech Start Date]],23),IF(Main[[#This Row],[Class]]="B", WORKDAY(Main[[#This Row],[Tech Start Date]],15),IF(Main[[#This Row],[Class]]="A",WORKDAY(Main[[#This Row],[Tech Start Date]],5),""))))</f>
        <v/>
      </c>
      <c r="P544" s="69" t="str">
        <f>IF(Main[[#This Row],[Tech Start Date]]&lt;1/1/1990,"",IF(Main[[#This Row],[Class]]="C",WORKDAY(Main[[#This Row],[Tech Start Date]],28),IF(Main[[#This Row],[Class]]="B", WORKDAY(Main[[#This Row],[Tech Start Date]],19),IF(Main[[#This Row],[Class]]="A",WORKDAY(Main[[#This Row],[Tech Start Date]],9),""))))</f>
        <v/>
      </c>
      <c r="Q544" s="67">
        <v>40262</v>
      </c>
      <c r="R544" s="67"/>
      <c r="S544" s="65" t="s">
        <v>17</v>
      </c>
      <c r="T544" s="70" t="s">
        <v>4</v>
      </c>
      <c r="U544" s="65" t="s">
        <v>14</v>
      </c>
      <c r="V544" s="65" t="s">
        <v>1920</v>
      </c>
      <c r="W544" s="65" t="s">
        <v>1922</v>
      </c>
      <c r="X544" s="65" t="s">
        <v>306</v>
      </c>
      <c r="Y544" s="65" t="s">
        <v>4</v>
      </c>
      <c r="Z544" s="65" t="s">
        <v>4</v>
      </c>
      <c r="AA544" s="65" t="s">
        <v>65</v>
      </c>
    </row>
    <row r="545" spans="1:27" ht="17.45" customHeight="1">
      <c r="A545" s="131" t="str">
        <f>IF(priority(Main[[#This Row],[Comments]])&lt;&gt;0, priority(Main[[#This Row],[Comments]]),"")</f>
        <v/>
      </c>
      <c r="B545" s="99" t="s">
        <v>1363</v>
      </c>
      <c r="C545" s="65" t="s">
        <v>67</v>
      </c>
      <c r="D545" s="66" t="s">
        <v>450</v>
      </c>
      <c r="E545" s="67"/>
      <c r="F545" s="67"/>
      <c r="G545" s="64" t="str">
        <f>IF(stdProdLT(Main[[#This Row],[Comments]])=0.1,"N/A",IF(stdProdLT(Main[[#This Row],[Comments]])=0,"",stdProdLT(Main[[#This Row],[Comments]])))</f>
        <v/>
      </c>
      <c r="H545" s="68" t="str">
        <f>IF(AND(Main[[#This Row],[In Stock Date]]&lt;&gt;"",Main[[#This Row],[Revised Due Date]]&lt;&gt;""),Main[[#This Row],[In Stock Date]]-Main[[#This Row],[Revised Due Date]],"")</f>
        <v/>
      </c>
      <c r="I545" s="65" t="s">
        <v>4</v>
      </c>
      <c r="J545" s="65" t="s">
        <v>4</v>
      </c>
      <c r="K545" s="65" t="s">
        <v>4</v>
      </c>
      <c r="L545" s="67"/>
      <c r="M545" s="69" t="str">
        <f>IF(Main[[#This Row],[Tech Start Date]]&lt;1/1/1990,"",IF(Main[[#This Row],[Class]]="C",WORKDAY(Main[[#This Row],[Tech Start Date]],9),IF(Main[[#This Row],[Class]]="B", WORKDAY(Main[[#This Row],[Tech Start Date]],6),IF(Main[[#This Row],[Class]]="A",WORKDAY(Main[[#This Row],[Tech Start Date]],2),""))))</f>
        <v/>
      </c>
      <c r="N545" s="69" t="str">
        <f>IF(Main[[#This Row],[Tech Start Date]]&lt;1/1/1990,"",IF(Main[[#This Row],[Class]]="C",WORKDAY(Main[[#This Row],[Tech Start Date]],19),IF(Main[[#This Row],[Class]]="B", WORKDAY(Main[[#This Row],[Tech Start Date]],12),IF(Main[[#This Row],[Class]]="A",WORKDAY(Main[[#This Row],[Tech Start Date]],4),""))))</f>
        <v/>
      </c>
      <c r="O545" s="69" t="str">
        <f>IF(Main[[#This Row],[Tech Start Date]]&lt;1/1/1990,"",IF(Main[[#This Row],[Class]]="C",WORKDAY(Main[[#This Row],[Tech Start Date]],23),IF(Main[[#This Row],[Class]]="B", WORKDAY(Main[[#This Row],[Tech Start Date]],15),IF(Main[[#This Row],[Class]]="A",WORKDAY(Main[[#This Row],[Tech Start Date]],5),""))))</f>
        <v/>
      </c>
      <c r="P545" s="69" t="str">
        <f>IF(Main[[#This Row],[Tech Start Date]]&lt;1/1/1990,"",IF(Main[[#This Row],[Class]]="C",WORKDAY(Main[[#This Row],[Tech Start Date]],28),IF(Main[[#This Row],[Class]]="B", WORKDAY(Main[[#This Row],[Tech Start Date]],19),IF(Main[[#This Row],[Class]]="A",WORKDAY(Main[[#This Row],[Tech Start Date]],9),""))))</f>
        <v/>
      </c>
      <c r="Q545" s="67"/>
      <c r="R545" s="67"/>
      <c r="S545" s="65" t="s">
        <v>11</v>
      </c>
      <c r="T545" s="70" t="s">
        <v>4</v>
      </c>
      <c r="U545" s="65" t="s">
        <v>12</v>
      </c>
      <c r="V545" s="65" t="s">
        <v>1918</v>
      </c>
      <c r="W545" s="65" t="s">
        <v>1925</v>
      </c>
      <c r="X545" s="65" t="s">
        <v>2868</v>
      </c>
      <c r="Y545" s="65" t="s">
        <v>3012</v>
      </c>
      <c r="Z545" s="65" t="s">
        <v>4</v>
      </c>
      <c r="AA545" s="65" t="s">
        <v>2868</v>
      </c>
    </row>
    <row r="546" spans="1:27" ht="17.45" customHeight="1">
      <c r="A546" s="131" t="str">
        <f>IF(priority(Main[[#This Row],[Comments]])&lt;&gt;0, priority(Main[[#This Row],[Comments]]),"")</f>
        <v/>
      </c>
      <c r="B546" s="99" t="s">
        <v>1364</v>
      </c>
      <c r="C546" s="65" t="s">
        <v>83</v>
      </c>
      <c r="D546" s="66" t="s">
        <v>451</v>
      </c>
      <c r="E546" s="67"/>
      <c r="F546" s="67"/>
      <c r="G546" s="64" t="str">
        <f>IF(stdProdLT(Main[[#This Row],[Comments]])=0.1,"N/A",IF(stdProdLT(Main[[#This Row],[Comments]])=0,"",stdProdLT(Main[[#This Row],[Comments]])))</f>
        <v/>
      </c>
      <c r="H546" s="68" t="str">
        <f>IF(AND(Main[[#This Row],[In Stock Date]]&lt;&gt;"",Main[[#This Row],[Revised Due Date]]&lt;&gt;""),Main[[#This Row],[In Stock Date]]-Main[[#This Row],[Revised Due Date]],"")</f>
        <v/>
      </c>
      <c r="I546" s="65" t="s">
        <v>4</v>
      </c>
      <c r="J546" s="65" t="s">
        <v>4</v>
      </c>
      <c r="K546" s="65" t="s">
        <v>4</v>
      </c>
      <c r="L546" s="67"/>
      <c r="M546" s="69" t="str">
        <f>IF(Main[[#This Row],[Tech Start Date]]&lt;1/1/1990,"",IF(Main[[#This Row],[Class]]="C",WORKDAY(Main[[#This Row],[Tech Start Date]],9),IF(Main[[#This Row],[Class]]="B", WORKDAY(Main[[#This Row],[Tech Start Date]],6),IF(Main[[#This Row],[Class]]="A",WORKDAY(Main[[#This Row],[Tech Start Date]],2),""))))</f>
        <v/>
      </c>
      <c r="N546" s="69" t="str">
        <f>IF(Main[[#This Row],[Tech Start Date]]&lt;1/1/1990,"",IF(Main[[#This Row],[Class]]="C",WORKDAY(Main[[#This Row],[Tech Start Date]],19),IF(Main[[#This Row],[Class]]="B", WORKDAY(Main[[#This Row],[Tech Start Date]],12),IF(Main[[#This Row],[Class]]="A",WORKDAY(Main[[#This Row],[Tech Start Date]],4),""))))</f>
        <v/>
      </c>
      <c r="O546" s="69" t="str">
        <f>IF(Main[[#This Row],[Tech Start Date]]&lt;1/1/1990,"",IF(Main[[#This Row],[Class]]="C",WORKDAY(Main[[#This Row],[Tech Start Date]],23),IF(Main[[#This Row],[Class]]="B", WORKDAY(Main[[#This Row],[Tech Start Date]],15),IF(Main[[#This Row],[Class]]="A",WORKDAY(Main[[#This Row],[Tech Start Date]],5),""))))</f>
        <v/>
      </c>
      <c r="P546" s="69" t="str">
        <f>IF(Main[[#This Row],[Tech Start Date]]&lt;1/1/1990,"",IF(Main[[#This Row],[Class]]="C",WORKDAY(Main[[#This Row],[Tech Start Date]],28),IF(Main[[#This Row],[Class]]="B", WORKDAY(Main[[#This Row],[Tech Start Date]],19),IF(Main[[#This Row],[Class]]="A",WORKDAY(Main[[#This Row],[Tech Start Date]],9),""))))</f>
        <v/>
      </c>
      <c r="Q546" s="67">
        <v>40252</v>
      </c>
      <c r="R546" s="67"/>
      <c r="S546" s="65" t="s">
        <v>11</v>
      </c>
      <c r="T546" s="70" t="s">
        <v>4</v>
      </c>
      <c r="U546" s="65" t="s">
        <v>14</v>
      </c>
      <c r="V546" s="65" t="s">
        <v>1917</v>
      </c>
      <c r="W546" s="65" t="s">
        <v>1928</v>
      </c>
      <c r="X546" s="65" t="s">
        <v>2823</v>
      </c>
      <c r="Y546" s="65" t="s">
        <v>4</v>
      </c>
      <c r="Z546" s="65" t="s">
        <v>4</v>
      </c>
      <c r="AA546" s="65" t="s">
        <v>2823</v>
      </c>
    </row>
    <row r="547" spans="1:27" ht="17.45" customHeight="1">
      <c r="A547" s="131" t="str">
        <f>IF(priority(Main[[#This Row],[Comments]])&lt;&gt;0, priority(Main[[#This Row],[Comments]]),"")</f>
        <v/>
      </c>
      <c r="B547" s="99" t="s">
        <v>1365</v>
      </c>
      <c r="C547" s="65" t="s">
        <v>42</v>
      </c>
      <c r="D547" s="66" t="s">
        <v>452</v>
      </c>
      <c r="E547" s="67">
        <v>39932.393530092595</v>
      </c>
      <c r="F547" s="67"/>
      <c r="G547" s="64" t="str">
        <f>IF(stdProdLT(Main[[#This Row],[Comments]])=0.1,"N/A",IF(stdProdLT(Main[[#This Row],[Comments]])=0,"",stdProdLT(Main[[#This Row],[Comments]])))</f>
        <v/>
      </c>
      <c r="H547" s="68" t="str">
        <f>IF(AND(Main[[#This Row],[In Stock Date]]&lt;&gt;"",Main[[#This Row],[Revised Due Date]]&lt;&gt;""),Main[[#This Row],[In Stock Date]]-Main[[#This Row],[Revised Due Date]],"")</f>
        <v/>
      </c>
      <c r="I547" s="65" t="s">
        <v>4</v>
      </c>
      <c r="J547" s="65" t="s">
        <v>4</v>
      </c>
      <c r="K547" s="65" t="s">
        <v>4</v>
      </c>
      <c r="L547" s="67"/>
      <c r="M547" s="69" t="str">
        <f>IF(Main[[#This Row],[Tech Start Date]]&lt;1/1/1990,"",IF(Main[[#This Row],[Class]]="C",WORKDAY(Main[[#This Row],[Tech Start Date]],9),IF(Main[[#This Row],[Class]]="B", WORKDAY(Main[[#This Row],[Tech Start Date]],6),IF(Main[[#This Row],[Class]]="A",WORKDAY(Main[[#This Row],[Tech Start Date]],2),""))))</f>
        <v/>
      </c>
      <c r="N547" s="69" t="str">
        <f>IF(Main[[#This Row],[Tech Start Date]]&lt;1/1/1990,"",IF(Main[[#This Row],[Class]]="C",WORKDAY(Main[[#This Row],[Tech Start Date]],19),IF(Main[[#This Row],[Class]]="B", WORKDAY(Main[[#This Row],[Tech Start Date]],12),IF(Main[[#This Row],[Class]]="A",WORKDAY(Main[[#This Row],[Tech Start Date]],4),""))))</f>
        <v/>
      </c>
      <c r="O547" s="69" t="str">
        <f>IF(Main[[#This Row],[Tech Start Date]]&lt;1/1/1990,"",IF(Main[[#This Row],[Class]]="C",WORKDAY(Main[[#This Row],[Tech Start Date]],23),IF(Main[[#This Row],[Class]]="B", WORKDAY(Main[[#This Row],[Tech Start Date]],15),IF(Main[[#This Row],[Class]]="A",WORKDAY(Main[[#This Row],[Tech Start Date]],5),""))))</f>
        <v/>
      </c>
      <c r="P547" s="69" t="str">
        <f>IF(Main[[#This Row],[Tech Start Date]]&lt;1/1/1990,"",IF(Main[[#This Row],[Class]]="C",WORKDAY(Main[[#This Row],[Tech Start Date]],28),IF(Main[[#This Row],[Class]]="B", WORKDAY(Main[[#This Row],[Tech Start Date]],19),IF(Main[[#This Row],[Class]]="A",WORKDAY(Main[[#This Row],[Tech Start Date]],9),""))))</f>
        <v/>
      </c>
      <c r="Q547" s="67"/>
      <c r="R547" s="67"/>
      <c r="S547" s="65" t="s">
        <v>17</v>
      </c>
      <c r="T547" s="70" t="s">
        <v>4</v>
      </c>
      <c r="U547" s="65" t="s">
        <v>7</v>
      </c>
      <c r="V547" s="65" t="s">
        <v>1920</v>
      </c>
      <c r="W547" s="65" t="s">
        <v>4</v>
      </c>
      <c r="X547" s="65" t="s">
        <v>399</v>
      </c>
      <c r="Y547" s="65" t="s">
        <v>4</v>
      </c>
      <c r="Z547" s="65" t="s">
        <v>4</v>
      </c>
      <c r="AA547" s="65" t="s">
        <v>4</v>
      </c>
    </row>
    <row r="548" spans="1:27" ht="17.45" customHeight="1">
      <c r="A548" s="131" t="str">
        <f>IF(priority(Main[[#This Row],[Comments]])&lt;&gt;0, priority(Main[[#This Row],[Comments]]),"")</f>
        <v/>
      </c>
      <c r="B548" s="99" t="s">
        <v>1366</v>
      </c>
      <c r="C548" s="65" t="s">
        <v>453</v>
      </c>
      <c r="D548" s="66" t="s">
        <v>454</v>
      </c>
      <c r="E548" s="67"/>
      <c r="F548" s="67"/>
      <c r="G548" s="64" t="str">
        <f>IF(stdProdLT(Main[[#This Row],[Comments]])=0.1,"N/A",IF(stdProdLT(Main[[#This Row],[Comments]])=0,"",stdProdLT(Main[[#This Row],[Comments]])))</f>
        <v/>
      </c>
      <c r="H548" s="68" t="str">
        <f>IF(AND(Main[[#This Row],[In Stock Date]]&lt;&gt;"",Main[[#This Row],[Revised Due Date]]&lt;&gt;""),Main[[#This Row],[In Stock Date]]-Main[[#This Row],[Revised Due Date]],"")</f>
        <v/>
      </c>
      <c r="I548" s="65" t="s">
        <v>4</v>
      </c>
      <c r="J548" s="65" t="s">
        <v>4</v>
      </c>
      <c r="K548" s="65" t="s">
        <v>4</v>
      </c>
      <c r="L548" s="67"/>
      <c r="M548" s="69" t="str">
        <f>IF(Main[[#This Row],[Tech Start Date]]&lt;1/1/1990,"",IF(Main[[#This Row],[Class]]="C",WORKDAY(Main[[#This Row],[Tech Start Date]],9),IF(Main[[#This Row],[Class]]="B", WORKDAY(Main[[#This Row],[Tech Start Date]],6),IF(Main[[#This Row],[Class]]="A",WORKDAY(Main[[#This Row],[Tech Start Date]],2),""))))</f>
        <v/>
      </c>
      <c r="N548" s="69" t="str">
        <f>IF(Main[[#This Row],[Tech Start Date]]&lt;1/1/1990,"",IF(Main[[#This Row],[Class]]="C",WORKDAY(Main[[#This Row],[Tech Start Date]],19),IF(Main[[#This Row],[Class]]="B", WORKDAY(Main[[#This Row],[Tech Start Date]],12),IF(Main[[#This Row],[Class]]="A",WORKDAY(Main[[#This Row],[Tech Start Date]],4),""))))</f>
        <v/>
      </c>
      <c r="O548" s="69" t="str">
        <f>IF(Main[[#This Row],[Tech Start Date]]&lt;1/1/1990,"",IF(Main[[#This Row],[Class]]="C",WORKDAY(Main[[#This Row],[Tech Start Date]],23),IF(Main[[#This Row],[Class]]="B", WORKDAY(Main[[#This Row],[Tech Start Date]],15),IF(Main[[#This Row],[Class]]="A",WORKDAY(Main[[#This Row],[Tech Start Date]],5),""))))</f>
        <v/>
      </c>
      <c r="P548" s="69" t="str">
        <f>IF(Main[[#This Row],[Tech Start Date]]&lt;1/1/1990,"",IF(Main[[#This Row],[Class]]="C",WORKDAY(Main[[#This Row],[Tech Start Date]],28),IF(Main[[#This Row],[Class]]="B", WORKDAY(Main[[#This Row],[Tech Start Date]],19),IF(Main[[#This Row],[Class]]="A",WORKDAY(Main[[#This Row],[Tech Start Date]],9),""))))</f>
        <v/>
      </c>
      <c r="Q548" s="67"/>
      <c r="R548" s="67"/>
      <c r="S548" s="65" t="s">
        <v>11</v>
      </c>
      <c r="T548" s="70" t="s">
        <v>4</v>
      </c>
      <c r="U548" s="65" t="s">
        <v>14</v>
      </c>
      <c r="V548" s="65" t="s">
        <v>1918</v>
      </c>
      <c r="W548" s="65" t="s">
        <v>1925</v>
      </c>
      <c r="X548" s="65" t="s">
        <v>399</v>
      </c>
      <c r="Y548" s="65" t="s">
        <v>4</v>
      </c>
      <c r="Z548" s="65" t="s">
        <v>4</v>
      </c>
      <c r="AA548" s="65" t="s">
        <v>4</v>
      </c>
    </row>
    <row r="549" spans="1:27" ht="17.45" customHeight="1">
      <c r="A549" s="131" t="str">
        <f>IF(priority(Main[[#This Row],[Comments]])&lt;&gt;0, priority(Main[[#This Row],[Comments]]),"")</f>
        <v/>
      </c>
      <c r="B549" s="99" t="s">
        <v>1367</v>
      </c>
      <c r="C549" s="65" t="s">
        <v>455</v>
      </c>
      <c r="D549" s="66" t="s">
        <v>456</v>
      </c>
      <c r="E549" s="67"/>
      <c r="F549" s="67"/>
      <c r="G549" s="64" t="str">
        <f>IF(stdProdLT(Main[[#This Row],[Comments]])=0.1,"N/A",IF(stdProdLT(Main[[#This Row],[Comments]])=0,"",stdProdLT(Main[[#This Row],[Comments]])))</f>
        <v/>
      </c>
      <c r="H549" s="68" t="str">
        <f>IF(AND(Main[[#This Row],[In Stock Date]]&lt;&gt;"",Main[[#This Row],[Revised Due Date]]&lt;&gt;""),Main[[#This Row],[In Stock Date]]-Main[[#This Row],[Revised Due Date]],"")</f>
        <v/>
      </c>
      <c r="I549" s="65" t="s">
        <v>4</v>
      </c>
      <c r="J549" s="65" t="s">
        <v>4</v>
      </c>
      <c r="K549" s="71" t="s">
        <v>4</v>
      </c>
      <c r="L549" s="67"/>
      <c r="M549" s="69" t="str">
        <f>IF(Main[[#This Row],[Tech Start Date]]&lt;1/1/1990,"",IF(Main[[#This Row],[Class]]="C",WORKDAY(Main[[#This Row],[Tech Start Date]],9),IF(Main[[#This Row],[Class]]="B", WORKDAY(Main[[#This Row],[Tech Start Date]],6),IF(Main[[#This Row],[Class]]="A",WORKDAY(Main[[#This Row],[Tech Start Date]],2),""))))</f>
        <v/>
      </c>
      <c r="N549" s="69" t="str">
        <f>IF(Main[[#This Row],[Tech Start Date]]&lt;1/1/1990,"",IF(Main[[#This Row],[Class]]="C",WORKDAY(Main[[#This Row],[Tech Start Date]],19),IF(Main[[#This Row],[Class]]="B", WORKDAY(Main[[#This Row],[Tech Start Date]],12),IF(Main[[#This Row],[Class]]="A",WORKDAY(Main[[#This Row],[Tech Start Date]],4),""))))</f>
        <v/>
      </c>
      <c r="O549" s="69" t="str">
        <f>IF(Main[[#This Row],[Tech Start Date]]&lt;1/1/1990,"",IF(Main[[#This Row],[Class]]="C",WORKDAY(Main[[#This Row],[Tech Start Date]],23),IF(Main[[#This Row],[Class]]="B", WORKDAY(Main[[#This Row],[Tech Start Date]],15),IF(Main[[#This Row],[Class]]="A",WORKDAY(Main[[#This Row],[Tech Start Date]],5),""))))</f>
        <v/>
      </c>
      <c r="P549" s="69" t="str">
        <f>IF(Main[[#This Row],[Tech Start Date]]&lt;1/1/1990,"",IF(Main[[#This Row],[Class]]="C",WORKDAY(Main[[#This Row],[Tech Start Date]],28),IF(Main[[#This Row],[Class]]="B", WORKDAY(Main[[#This Row],[Tech Start Date]],19),IF(Main[[#This Row],[Class]]="A",WORKDAY(Main[[#This Row],[Tech Start Date]],9),""))))</f>
        <v/>
      </c>
      <c r="Q549" s="67"/>
      <c r="R549" s="67"/>
      <c r="S549" s="65" t="s">
        <v>11</v>
      </c>
      <c r="T549" s="70" t="s">
        <v>4</v>
      </c>
      <c r="U549" s="65" t="s">
        <v>14</v>
      </c>
      <c r="V549" s="65" t="s">
        <v>1918</v>
      </c>
      <c r="W549" s="65" t="s">
        <v>1925</v>
      </c>
      <c r="X549" s="65" t="s">
        <v>399</v>
      </c>
      <c r="Y549" s="65" t="s">
        <v>4</v>
      </c>
      <c r="Z549" s="65" t="s">
        <v>4</v>
      </c>
      <c r="AA549" s="65" t="s">
        <v>3423</v>
      </c>
    </row>
    <row r="550" spans="1:27" ht="17.45" customHeight="1">
      <c r="A550" s="131" t="str">
        <f>IF(priority(Main[[#This Row],[Comments]])&lt;&gt;0, priority(Main[[#This Row],[Comments]]),"")</f>
        <v/>
      </c>
      <c r="B550" s="99" t="s">
        <v>1368</v>
      </c>
      <c r="C550" s="65" t="s">
        <v>457</v>
      </c>
      <c r="D550" s="66" t="s">
        <v>458</v>
      </c>
      <c r="E550" s="67"/>
      <c r="F550" s="67">
        <v>40214</v>
      </c>
      <c r="G550" s="64" t="str">
        <f>IF(stdProdLT(Main[[#This Row],[Comments]])=0.1,"N/A",IF(stdProdLT(Main[[#This Row],[Comments]])=0,"",stdProdLT(Main[[#This Row],[Comments]])))</f>
        <v/>
      </c>
      <c r="H550" s="68" t="str">
        <f>IF(AND(Main[[#This Row],[In Stock Date]]&lt;&gt;"",Main[[#This Row],[Revised Due Date]]&lt;&gt;""),Main[[#This Row],[In Stock Date]]-Main[[#This Row],[Revised Due Date]],"")</f>
        <v/>
      </c>
      <c r="I550" s="65" t="s">
        <v>4</v>
      </c>
      <c r="J550" s="65" t="s">
        <v>4</v>
      </c>
      <c r="K550" s="65" t="s">
        <v>4</v>
      </c>
      <c r="L550" s="67"/>
      <c r="M550" s="69" t="str">
        <f>IF(Main[[#This Row],[Tech Start Date]]&lt;1/1/1990,"",IF(Main[[#This Row],[Class]]="C",WORKDAY(Main[[#This Row],[Tech Start Date]],9),IF(Main[[#This Row],[Class]]="B", WORKDAY(Main[[#This Row],[Tech Start Date]],6),IF(Main[[#This Row],[Class]]="A",WORKDAY(Main[[#This Row],[Tech Start Date]],2),""))))</f>
        <v/>
      </c>
      <c r="N550" s="69" t="str">
        <f>IF(Main[[#This Row],[Tech Start Date]]&lt;1/1/1990,"",IF(Main[[#This Row],[Class]]="C",WORKDAY(Main[[#This Row],[Tech Start Date]],19),IF(Main[[#This Row],[Class]]="B", WORKDAY(Main[[#This Row],[Tech Start Date]],12),IF(Main[[#This Row],[Class]]="A",WORKDAY(Main[[#This Row],[Tech Start Date]],4),""))))</f>
        <v/>
      </c>
      <c r="O550" s="69" t="str">
        <f>IF(Main[[#This Row],[Tech Start Date]]&lt;1/1/1990,"",IF(Main[[#This Row],[Class]]="C",WORKDAY(Main[[#This Row],[Tech Start Date]],23),IF(Main[[#This Row],[Class]]="B", WORKDAY(Main[[#This Row],[Tech Start Date]],15),IF(Main[[#This Row],[Class]]="A",WORKDAY(Main[[#This Row],[Tech Start Date]],5),""))))</f>
        <v/>
      </c>
      <c r="P550" s="69" t="str">
        <f>IF(Main[[#This Row],[Tech Start Date]]&lt;1/1/1990,"",IF(Main[[#This Row],[Class]]="C",WORKDAY(Main[[#This Row],[Tech Start Date]],28),IF(Main[[#This Row],[Class]]="B", WORKDAY(Main[[#This Row],[Tech Start Date]],19),IF(Main[[#This Row],[Class]]="A",WORKDAY(Main[[#This Row],[Tech Start Date]],9),""))))</f>
        <v/>
      </c>
      <c r="Q550" s="67">
        <v>40149</v>
      </c>
      <c r="R550" s="67"/>
      <c r="S550" s="65" t="s">
        <v>11</v>
      </c>
      <c r="T550" s="70" t="s">
        <v>4</v>
      </c>
      <c r="U550" s="65" t="s">
        <v>14</v>
      </c>
      <c r="V550" s="65" t="s">
        <v>1920</v>
      </c>
      <c r="W550" s="65" t="s">
        <v>1923</v>
      </c>
      <c r="X550" s="65" t="s">
        <v>2869</v>
      </c>
      <c r="Y550" s="65" t="s">
        <v>4</v>
      </c>
      <c r="Z550" s="65" t="s">
        <v>4</v>
      </c>
      <c r="AA550" s="65" t="s">
        <v>2869</v>
      </c>
    </row>
    <row r="551" spans="1:27" ht="17.45" customHeight="1">
      <c r="A551" s="131" t="str">
        <f>IF(priority(Main[[#This Row],[Comments]])&lt;&gt;0, priority(Main[[#This Row],[Comments]]),"")</f>
        <v/>
      </c>
      <c r="B551" s="99" t="s">
        <v>1369</v>
      </c>
      <c r="C551" s="65" t="s">
        <v>93</v>
      </c>
      <c r="D551" s="66" t="s">
        <v>459</v>
      </c>
      <c r="E551" s="67"/>
      <c r="F551" s="67">
        <v>40210</v>
      </c>
      <c r="G551" s="64" t="str">
        <f>IF(stdProdLT(Main[[#This Row],[Comments]])=0.1,"N/A",IF(stdProdLT(Main[[#This Row],[Comments]])=0,"",stdProdLT(Main[[#This Row],[Comments]])))</f>
        <v/>
      </c>
      <c r="H551" s="68" t="str">
        <f>IF(AND(Main[[#This Row],[In Stock Date]]&lt;&gt;"",Main[[#This Row],[Revised Due Date]]&lt;&gt;""),Main[[#This Row],[In Stock Date]]-Main[[#This Row],[Revised Due Date]],"")</f>
        <v/>
      </c>
      <c r="I551" s="65" t="s">
        <v>4</v>
      </c>
      <c r="J551" s="65" t="s">
        <v>4</v>
      </c>
      <c r="K551" s="65" t="s">
        <v>4</v>
      </c>
      <c r="L551" s="67"/>
      <c r="M551" s="69" t="str">
        <f>IF(Main[[#This Row],[Tech Start Date]]&lt;1/1/1990,"",IF(Main[[#This Row],[Class]]="C",WORKDAY(Main[[#This Row],[Tech Start Date]],9),IF(Main[[#This Row],[Class]]="B", WORKDAY(Main[[#This Row],[Tech Start Date]],6),IF(Main[[#This Row],[Class]]="A",WORKDAY(Main[[#This Row],[Tech Start Date]],2),""))))</f>
        <v/>
      </c>
      <c r="N551" s="69" t="str">
        <f>IF(Main[[#This Row],[Tech Start Date]]&lt;1/1/1990,"",IF(Main[[#This Row],[Class]]="C",WORKDAY(Main[[#This Row],[Tech Start Date]],19),IF(Main[[#This Row],[Class]]="B", WORKDAY(Main[[#This Row],[Tech Start Date]],12),IF(Main[[#This Row],[Class]]="A",WORKDAY(Main[[#This Row],[Tech Start Date]],4),""))))</f>
        <v/>
      </c>
      <c r="O551" s="69" t="str">
        <f>IF(Main[[#This Row],[Tech Start Date]]&lt;1/1/1990,"",IF(Main[[#This Row],[Class]]="C",WORKDAY(Main[[#This Row],[Tech Start Date]],23),IF(Main[[#This Row],[Class]]="B", WORKDAY(Main[[#This Row],[Tech Start Date]],15),IF(Main[[#This Row],[Class]]="A",WORKDAY(Main[[#This Row],[Tech Start Date]],5),""))))</f>
        <v/>
      </c>
      <c r="P551" s="69" t="str">
        <f>IF(Main[[#This Row],[Tech Start Date]]&lt;1/1/1990,"",IF(Main[[#This Row],[Class]]="C",WORKDAY(Main[[#This Row],[Tech Start Date]],28),IF(Main[[#This Row],[Class]]="B", WORKDAY(Main[[#This Row],[Tech Start Date]],19),IF(Main[[#This Row],[Class]]="A",WORKDAY(Main[[#This Row],[Tech Start Date]],9),""))))</f>
        <v/>
      </c>
      <c r="Q551" s="67">
        <v>40195</v>
      </c>
      <c r="R551" s="67"/>
      <c r="S551" s="65" t="s">
        <v>11</v>
      </c>
      <c r="T551" s="70" t="s">
        <v>4</v>
      </c>
      <c r="U551" s="65" t="s">
        <v>12</v>
      </c>
      <c r="V551" s="65" t="s">
        <v>1927</v>
      </c>
      <c r="W551" s="65" t="s">
        <v>1928</v>
      </c>
      <c r="X551" s="65" t="s">
        <v>2851</v>
      </c>
      <c r="Y551" s="65" t="s">
        <v>4</v>
      </c>
      <c r="Z551" s="65" t="s">
        <v>4</v>
      </c>
      <c r="AA551" s="65" t="s">
        <v>2851</v>
      </c>
    </row>
    <row r="552" spans="1:27" ht="17.45" customHeight="1">
      <c r="A552" s="131" t="str">
        <f>IF(priority(Main[[#This Row],[Comments]])&lt;&gt;0, priority(Main[[#This Row],[Comments]]),"")</f>
        <v/>
      </c>
      <c r="B552" s="99" t="s">
        <v>1370</v>
      </c>
      <c r="C552" s="65" t="s">
        <v>457</v>
      </c>
      <c r="D552" s="66" t="s">
        <v>460</v>
      </c>
      <c r="E552" s="67"/>
      <c r="F552" s="67">
        <v>40214</v>
      </c>
      <c r="G552" s="64" t="str">
        <f>IF(stdProdLT(Main[[#This Row],[Comments]])=0.1,"N/A",IF(stdProdLT(Main[[#This Row],[Comments]])=0,"",stdProdLT(Main[[#This Row],[Comments]])))</f>
        <v/>
      </c>
      <c r="H552" s="68" t="str">
        <f>IF(AND(Main[[#This Row],[In Stock Date]]&lt;&gt;"",Main[[#This Row],[Revised Due Date]]&lt;&gt;""),Main[[#This Row],[In Stock Date]]-Main[[#This Row],[Revised Due Date]],"")</f>
        <v/>
      </c>
      <c r="I552" s="65" t="s">
        <v>4</v>
      </c>
      <c r="J552" s="65" t="s">
        <v>4</v>
      </c>
      <c r="K552" s="65" t="s">
        <v>4</v>
      </c>
      <c r="L552" s="67"/>
      <c r="M552" s="69" t="str">
        <f>IF(Main[[#This Row],[Tech Start Date]]&lt;1/1/1990,"",IF(Main[[#This Row],[Class]]="C",WORKDAY(Main[[#This Row],[Tech Start Date]],9),IF(Main[[#This Row],[Class]]="B", WORKDAY(Main[[#This Row],[Tech Start Date]],6),IF(Main[[#This Row],[Class]]="A",WORKDAY(Main[[#This Row],[Tech Start Date]],2),""))))</f>
        <v/>
      </c>
      <c r="N552" s="69" t="str">
        <f>IF(Main[[#This Row],[Tech Start Date]]&lt;1/1/1990,"",IF(Main[[#This Row],[Class]]="C",WORKDAY(Main[[#This Row],[Tech Start Date]],19),IF(Main[[#This Row],[Class]]="B", WORKDAY(Main[[#This Row],[Tech Start Date]],12),IF(Main[[#This Row],[Class]]="A",WORKDAY(Main[[#This Row],[Tech Start Date]],4),""))))</f>
        <v/>
      </c>
      <c r="O552" s="69" t="str">
        <f>IF(Main[[#This Row],[Tech Start Date]]&lt;1/1/1990,"",IF(Main[[#This Row],[Class]]="C",WORKDAY(Main[[#This Row],[Tech Start Date]],23),IF(Main[[#This Row],[Class]]="B", WORKDAY(Main[[#This Row],[Tech Start Date]],15),IF(Main[[#This Row],[Class]]="A",WORKDAY(Main[[#This Row],[Tech Start Date]],5),""))))</f>
        <v/>
      </c>
      <c r="P552" s="69" t="str">
        <f>IF(Main[[#This Row],[Tech Start Date]]&lt;1/1/1990,"",IF(Main[[#This Row],[Class]]="C",WORKDAY(Main[[#This Row],[Tech Start Date]],28),IF(Main[[#This Row],[Class]]="B", WORKDAY(Main[[#This Row],[Tech Start Date]],19),IF(Main[[#This Row],[Class]]="A",WORKDAY(Main[[#This Row],[Tech Start Date]],9),""))))</f>
        <v/>
      </c>
      <c r="Q552" s="67">
        <v>40149</v>
      </c>
      <c r="R552" s="67"/>
      <c r="S552" s="65" t="s">
        <v>11</v>
      </c>
      <c r="T552" s="70" t="s">
        <v>4</v>
      </c>
      <c r="U552" s="65" t="s">
        <v>14</v>
      </c>
      <c r="V552" s="65" t="s">
        <v>1920</v>
      </c>
      <c r="W552" s="65" t="s">
        <v>1923</v>
      </c>
      <c r="X552" s="65" t="s">
        <v>2869</v>
      </c>
      <c r="Y552" s="65" t="s">
        <v>4</v>
      </c>
      <c r="Z552" s="65" t="s">
        <v>4</v>
      </c>
      <c r="AA552" s="65" t="s">
        <v>2869</v>
      </c>
    </row>
    <row r="553" spans="1:27" ht="17.45" customHeight="1">
      <c r="A553" s="131" t="str">
        <f>IF(priority(Main[[#This Row],[Comments]])&lt;&gt;0, priority(Main[[#This Row],[Comments]]),"")</f>
        <v/>
      </c>
      <c r="B553" s="99" t="s">
        <v>1371</v>
      </c>
      <c r="C553" s="65" t="s">
        <v>31</v>
      </c>
      <c r="D553" s="66" t="s">
        <v>461</v>
      </c>
      <c r="E553" s="67"/>
      <c r="F553" s="67"/>
      <c r="G553" s="64" t="str">
        <f>IF(stdProdLT(Main[[#This Row],[Comments]])=0.1,"N/A",IF(stdProdLT(Main[[#This Row],[Comments]])=0,"",stdProdLT(Main[[#This Row],[Comments]])))</f>
        <v/>
      </c>
      <c r="H553" s="68" t="str">
        <f>IF(AND(Main[[#This Row],[In Stock Date]]&lt;&gt;"",Main[[#This Row],[Revised Due Date]]&lt;&gt;""),Main[[#This Row],[In Stock Date]]-Main[[#This Row],[Revised Due Date]],"")</f>
        <v/>
      </c>
      <c r="I553" s="65" t="s">
        <v>4</v>
      </c>
      <c r="J553" s="65" t="s">
        <v>4</v>
      </c>
      <c r="K553" s="71" t="s">
        <v>4</v>
      </c>
      <c r="L553" s="67"/>
      <c r="M553" s="69" t="str">
        <f>IF(Main[[#This Row],[Tech Start Date]]&lt;1/1/1990,"",IF(Main[[#This Row],[Class]]="C",WORKDAY(Main[[#This Row],[Tech Start Date]],9),IF(Main[[#This Row],[Class]]="B", WORKDAY(Main[[#This Row],[Tech Start Date]],6),IF(Main[[#This Row],[Class]]="A",WORKDAY(Main[[#This Row],[Tech Start Date]],2),""))))</f>
        <v/>
      </c>
      <c r="N553" s="69" t="str">
        <f>IF(Main[[#This Row],[Tech Start Date]]&lt;1/1/1990,"",IF(Main[[#This Row],[Class]]="C",WORKDAY(Main[[#This Row],[Tech Start Date]],19),IF(Main[[#This Row],[Class]]="B", WORKDAY(Main[[#This Row],[Tech Start Date]],12),IF(Main[[#This Row],[Class]]="A",WORKDAY(Main[[#This Row],[Tech Start Date]],4),""))))</f>
        <v/>
      </c>
      <c r="O553" s="69" t="str">
        <f>IF(Main[[#This Row],[Tech Start Date]]&lt;1/1/1990,"",IF(Main[[#This Row],[Class]]="C",WORKDAY(Main[[#This Row],[Tech Start Date]],23),IF(Main[[#This Row],[Class]]="B", WORKDAY(Main[[#This Row],[Tech Start Date]],15),IF(Main[[#This Row],[Class]]="A",WORKDAY(Main[[#This Row],[Tech Start Date]],5),""))))</f>
        <v/>
      </c>
      <c r="P553" s="69" t="str">
        <f>IF(Main[[#This Row],[Tech Start Date]]&lt;1/1/1990,"",IF(Main[[#This Row],[Class]]="C",WORKDAY(Main[[#This Row],[Tech Start Date]],28),IF(Main[[#This Row],[Class]]="B", WORKDAY(Main[[#This Row],[Tech Start Date]],19),IF(Main[[#This Row],[Class]]="A",WORKDAY(Main[[#This Row],[Tech Start Date]],9),""))))</f>
        <v/>
      </c>
      <c r="Q553" s="67">
        <v>40318</v>
      </c>
      <c r="R553" s="67"/>
      <c r="S553" s="65" t="s">
        <v>11</v>
      </c>
      <c r="T553" s="70" t="s">
        <v>4</v>
      </c>
      <c r="U553" s="65" t="s">
        <v>14</v>
      </c>
      <c r="V553" s="65" t="s">
        <v>1920</v>
      </c>
      <c r="W553" s="65" t="s">
        <v>1919</v>
      </c>
      <c r="X553" s="65" t="s">
        <v>2836</v>
      </c>
      <c r="Y553" s="65" t="s">
        <v>4</v>
      </c>
      <c r="Z553" s="65" t="s">
        <v>4</v>
      </c>
      <c r="AA553" s="65" t="s">
        <v>2836</v>
      </c>
    </row>
    <row r="554" spans="1:27" ht="17.45" customHeight="1">
      <c r="A554" s="131" t="str">
        <f>IF(priority(Main[[#This Row],[Comments]])&lt;&gt;0, priority(Main[[#This Row],[Comments]]),"")</f>
        <v/>
      </c>
      <c r="B554" s="99" t="s">
        <v>1372</v>
      </c>
      <c r="C554" s="65" t="s">
        <v>31</v>
      </c>
      <c r="D554" s="66" t="s">
        <v>462</v>
      </c>
      <c r="E554" s="67">
        <v>40494.184537037036</v>
      </c>
      <c r="F554" s="67">
        <v>40546</v>
      </c>
      <c r="G554" s="64" t="str">
        <f>IF(stdProdLT(Main[[#This Row],[Comments]])=0.1,"N/A",IF(stdProdLT(Main[[#This Row],[Comments]])=0,"",stdProdLT(Main[[#This Row],[Comments]])))</f>
        <v/>
      </c>
      <c r="H554" s="68" t="str">
        <f>IF(AND(Main[[#This Row],[In Stock Date]]&lt;&gt;"",Main[[#This Row],[Revised Due Date]]&lt;&gt;""),Main[[#This Row],[In Stock Date]]-Main[[#This Row],[Revised Due Date]],"")</f>
        <v/>
      </c>
      <c r="I554" s="65" t="s">
        <v>4</v>
      </c>
      <c r="J554" s="65" t="s">
        <v>4</v>
      </c>
      <c r="K554" s="65" t="s">
        <v>4</v>
      </c>
      <c r="L554" s="67"/>
      <c r="M554" s="69" t="str">
        <f>IF(Main[[#This Row],[Tech Start Date]]&lt;1/1/1990,"",IF(Main[[#This Row],[Class]]="C",WORKDAY(Main[[#This Row],[Tech Start Date]],9),IF(Main[[#This Row],[Class]]="B", WORKDAY(Main[[#This Row],[Tech Start Date]],6),IF(Main[[#This Row],[Class]]="A",WORKDAY(Main[[#This Row],[Tech Start Date]],2),""))))</f>
        <v/>
      </c>
      <c r="N554" s="69" t="str">
        <f>IF(Main[[#This Row],[Tech Start Date]]&lt;1/1/1990,"",IF(Main[[#This Row],[Class]]="C",WORKDAY(Main[[#This Row],[Tech Start Date]],19),IF(Main[[#This Row],[Class]]="B", WORKDAY(Main[[#This Row],[Tech Start Date]],12),IF(Main[[#This Row],[Class]]="A",WORKDAY(Main[[#This Row],[Tech Start Date]],4),""))))</f>
        <v/>
      </c>
      <c r="O554" s="69" t="str">
        <f>IF(Main[[#This Row],[Tech Start Date]]&lt;1/1/1990,"",IF(Main[[#This Row],[Class]]="C",WORKDAY(Main[[#This Row],[Tech Start Date]],23),IF(Main[[#This Row],[Class]]="B", WORKDAY(Main[[#This Row],[Tech Start Date]],15),IF(Main[[#This Row],[Class]]="A",WORKDAY(Main[[#This Row],[Tech Start Date]],5),""))))</f>
        <v/>
      </c>
      <c r="P554" s="69" t="str">
        <f>IF(Main[[#This Row],[Tech Start Date]]&lt;1/1/1990,"",IF(Main[[#This Row],[Class]]="C",WORKDAY(Main[[#This Row],[Tech Start Date]],28),IF(Main[[#This Row],[Class]]="B", WORKDAY(Main[[#This Row],[Tech Start Date]],19),IF(Main[[#This Row],[Class]]="A",WORKDAY(Main[[#This Row],[Tech Start Date]],9),""))))</f>
        <v/>
      </c>
      <c r="Q554" s="67">
        <v>40527</v>
      </c>
      <c r="R554" s="67"/>
      <c r="S554" s="65" t="s">
        <v>17</v>
      </c>
      <c r="T554" s="70" t="s">
        <v>4</v>
      </c>
      <c r="U554" s="65" t="s">
        <v>7</v>
      </c>
      <c r="V554" s="65" t="s">
        <v>1920</v>
      </c>
      <c r="W554" s="65" t="s">
        <v>4</v>
      </c>
      <c r="X554" s="65" t="s">
        <v>2862</v>
      </c>
      <c r="Y554" s="65" t="s">
        <v>3003</v>
      </c>
      <c r="Z554" s="65" t="s">
        <v>4</v>
      </c>
      <c r="AA554" s="65" t="s">
        <v>2862</v>
      </c>
    </row>
    <row r="555" spans="1:27" ht="17.45" customHeight="1">
      <c r="A555" s="131" t="str">
        <f>IF(priority(Main[[#This Row],[Comments]])&lt;&gt;0, priority(Main[[#This Row],[Comments]]),"")</f>
        <v/>
      </c>
      <c r="B555" s="99" t="s">
        <v>1373</v>
      </c>
      <c r="C555" s="65" t="s">
        <v>4</v>
      </c>
      <c r="D555" s="66" t="s">
        <v>463</v>
      </c>
      <c r="E555" s="67"/>
      <c r="F555" s="67">
        <v>40374</v>
      </c>
      <c r="G555" s="64" t="str">
        <f>IF(stdProdLT(Main[[#This Row],[Comments]])=0.1,"N/A",IF(stdProdLT(Main[[#This Row],[Comments]])=0,"",stdProdLT(Main[[#This Row],[Comments]])))</f>
        <v/>
      </c>
      <c r="H555" s="68" t="str">
        <f>IF(AND(Main[[#This Row],[In Stock Date]]&lt;&gt;"",Main[[#This Row],[Revised Due Date]]&lt;&gt;""),Main[[#This Row],[In Stock Date]]-Main[[#This Row],[Revised Due Date]],"")</f>
        <v/>
      </c>
      <c r="I555" s="65" t="s">
        <v>4</v>
      </c>
      <c r="J555" s="65" t="s">
        <v>4</v>
      </c>
      <c r="K555" s="65" t="s">
        <v>4</v>
      </c>
      <c r="L555" s="67"/>
      <c r="M555" s="69" t="str">
        <f>IF(Main[[#This Row],[Tech Start Date]]&lt;1/1/1990,"",IF(Main[[#This Row],[Class]]="C",WORKDAY(Main[[#This Row],[Tech Start Date]],9),IF(Main[[#This Row],[Class]]="B", WORKDAY(Main[[#This Row],[Tech Start Date]],6),IF(Main[[#This Row],[Class]]="A",WORKDAY(Main[[#This Row],[Tech Start Date]],2),""))))</f>
        <v/>
      </c>
      <c r="N555" s="69" t="str">
        <f>IF(Main[[#This Row],[Tech Start Date]]&lt;1/1/1990,"",IF(Main[[#This Row],[Class]]="C",WORKDAY(Main[[#This Row],[Tech Start Date]],19),IF(Main[[#This Row],[Class]]="B", WORKDAY(Main[[#This Row],[Tech Start Date]],12),IF(Main[[#This Row],[Class]]="A",WORKDAY(Main[[#This Row],[Tech Start Date]],4),""))))</f>
        <v/>
      </c>
      <c r="O555" s="69" t="str">
        <f>IF(Main[[#This Row],[Tech Start Date]]&lt;1/1/1990,"",IF(Main[[#This Row],[Class]]="C",WORKDAY(Main[[#This Row],[Tech Start Date]],23),IF(Main[[#This Row],[Class]]="B", WORKDAY(Main[[#This Row],[Tech Start Date]],15),IF(Main[[#This Row],[Class]]="A",WORKDAY(Main[[#This Row],[Tech Start Date]],5),""))))</f>
        <v/>
      </c>
      <c r="P555" s="69" t="str">
        <f>IF(Main[[#This Row],[Tech Start Date]]&lt;1/1/1990,"",IF(Main[[#This Row],[Class]]="C",WORKDAY(Main[[#This Row],[Tech Start Date]],28),IF(Main[[#This Row],[Class]]="B", WORKDAY(Main[[#This Row],[Tech Start Date]],19),IF(Main[[#This Row],[Class]]="A",WORKDAY(Main[[#This Row],[Tech Start Date]],9),""))))</f>
        <v/>
      </c>
      <c r="Q555" s="67">
        <v>40297</v>
      </c>
      <c r="R555" s="67"/>
      <c r="S555" s="65" t="s">
        <v>11</v>
      </c>
      <c r="T555" s="70" t="s">
        <v>4</v>
      </c>
      <c r="U555" s="65" t="s">
        <v>12</v>
      </c>
      <c r="V555" s="65" t="s">
        <v>1917</v>
      </c>
      <c r="W555" s="65" t="s">
        <v>1925</v>
      </c>
      <c r="X555" s="65" t="s">
        <v>2830</v>
      </c>
      <c r="Y555" s="65" t="s">
        <v>2949</v>
      </c>
      <c r="Z555" s="65" t="s">
        <v>4</v>
      </c>
      <c r="AA555" s="65" t="s">
        <v>2830</v>
      </c>
    </row>
    <row r="556" spans="1:27" ht="17.45" customHeight="1">
      <c r="A556" s="131" t="str">
        <f>IF(priority(Main[[#This Row],[Comments]])&lt;&gt;0, priority(Main[[#This Row],[Comments]]),"")</f>
        <v/>
      </c>
      <c r="B556" s="99" t="s">
        <v>1374</v>
      </c>
      <c r="C556" s="65" t="s">
        <v>31</v>
      </c>
      <c r="D556" s="66" t="s">
        <v>464</v>
      </c>
      <c r="E556" s="67"/>
      <c r="F556" s="67">
        <v>40568</v>
      </c>
      <c r="G556" s="64" t="str">
        <f>IF(stdProdLT(Main[[#This Row],[Comments]])=0.1,"N/A",IF(stdProdLT(Main[[#This Row],[Comments]])=0,"",stdProdLT(Main[[#This Row],[Comments]])))</f>
        <v/>
      </c>
      <c r="H556" s="68" t="str">
        <f>IF(AND(Main[[#This Row],[In Stock Date]]&lt;&gt;"",Main[[#This Row],[Revised Due Date]]&lt;&gt;""),Main[[#This Row],[In Stock Date]]-Main[[#This Row],[Revised Due Date]],"")</f>
        <v/>
      </c>
      <c r="I556" s="65" t="s">
        <v>4</v>
      </c>
      <c r="J556" s="65" t="s">
        <v>51</v>
      </c>
      <c r="K556" s="65" t="s">
        <v>4</v>
      </c>
      <c r="L556" s="67"/>
      <c r="M556" s="69" t="str">
        <f>IF(Main[[#This Row],[Tech Start Date]]&lt;1/1/1990,"",IF(Main[[#This Row],[Class]]="C",WORKDAY(Main[[#This Row],[Tech Start Date]],9),IF(Main[[#This Row],[Class]]="B", WORKDAY(Main[[#This Row],[Tech Start Date]],6),IF(Main[[#This Row],[Class]]="A",WORKDAY(Main[[#This Row],[Tech Start Date]],2),""))))</f>
        <v/>
      </c>
      <c r="N556" s="69" t="str">
        <f>IF(Main[[#This Row],[Tech Start Date]]&lt;1/1/1990,"",IF(Main[[#This Row],[Class]]="C",WORKDAY(Main[[#This Row],[Tech Start Date]],19),IF(Main[[#This Row],[Class]]="B", WORKDAY(Main[[#This Row],[Tech Start Date]],12),IF(Main[[#This Row],[Class]]="A",WORKDAY(Main[[#This Row],[Tech Start Date]],4),""))))</f>
        <v/>
      </c>
      <c r="O556" s="69" t="str">
        <f>IF(Main[[#This Row],[Tech Start Date]]&lt;1/1/1990,"",IF(Main[[#This Row],[Class]]="C",WORKDAY(Main[[#This Row],[Tech Start Date]],23),IF(Main[[#This Row],[Class]]="B", WORKDAY(Main[[#This Row],[Tech Start Date]],15),IF(Main[[#This Row],[Class]]="A",WORKDAY(Main[[#This Row],[Tech Start Date]],5),""))))</f>
        <v/>
      </c>
      <c r="P556" s="69" t="str">
        <f>IF(Main[[#This Row],[Tech Start Date]]&lt;1/1/1990,"",IF(Main[[#This Row],[Class]]="C",WORKDAY(Main[[#This Row],[Tech Start Date]],28),IF(Main[[#This Row],[Class]]="B", WORKDAY(Main[[#This Row],[Tech Start Date]],19),IF(Main[[#This Row],[Class]]="A",WORKDAY(Main[[#This Row],[Tech Start Date]],9),""))))</f>
        <v/>
      </c>
      <c r="Q556" s="67">
        <v>40396</v>
      </c>
      <c r="R556" s="67"/>
      <c r="S556" s="65" t="s">
        <v>11</v>
      </c>
      <c r="T556" s="70" t="s">
        <v>4</v>
      </c>
      <c r="U556" s="65" t="s">
        <v>14</v>
      </c>
      <c r="V556" s="65" t="s">
        <v>1927</v>
      </c>
      <c r="W556" s="65" t="s">
        <v>1923</v>
      </c>
      <c r="X556" s="65" t="s">
        <v>2890</v>
      </c>
      <c r="Y556" s="65" t="s">
        <v>3043</v>
      </c>
      <c r="Z556" s="65" t="s">
        <v>885</v>
      </c>
      <c r="AA556" s="65" t="s">
        <v>2890</v>
      </c>
    </row>
    <row r="557" spans="1:27" ht="17.45" customHeight="1">
      <c r="A557" s="131" t="str">
        <f>IF(priority(Main[[#This Row],[Comments]])&lt;&gt;0, priority(Main[[#This Row],[Comments]]),"")</f>
        <v/>
      </c>
      <c r="B557" s="99" t="s">
        <v>1375</v>
      </c>
      <c r="C557" s="65" t="s">
        <v>465</v>
      </c>
      <c r="D557" s="66" t="s">
        <v>466</v>
      </c>
      <c r="E557" s="67"/>
      <c r="F557" s="67">
        <v>40179</v>
      </c>
      <c r="G557" s="64" t="str">
        <f>IF(stdProdLT(Main[[#This Row],[Comments]])=0.1,"N/A",IF(stdProdLT(Main[[#This Row],[Comments]])=0,"",stdProdLT(Main[[#This Row],[Comments]])))</f>
        <v/>
      </c>
      <c r="H557" s="68" t="str">
        <f>IF(AND(Main[[#This Row],[In Stock Date]]&lt;&gt;"",Main[[#This Row],[Revised Due Date]]&lt;&gt;""),Main[[#This Row],[In Stock Date]]-Main[[#This Row],[Revised Due Date]],"")</f>
        <v/>
      </c>
      <c r="I557" s="65" t="s">
        <v>4</v>
      </c>
      <c r="J557" s="65" t="s">
        <v>4</v>
      </c>
      <c r="K557" s="71" t="s">
        <v>4</v>
      </c>
      <c r="L557" s="67"/>
      <c r="M557" s="69" t="str">
        <f>IF(Main[[#This Row],[Tech Start Date]]&lt;1/1/1990,"",IF(Main[[#This Row],[Class]]="C",WORKDAY(Main[[#This Row],[Tech Start Date]],9),IF(Main[[#This Row],[Class]]="B", WORKDAY(Main[[#This Row],[Tech Start Date]],6),IF(Main[[#This Row],[Class]]="A",WORKDAY(Main[[#This Row],[Tech Start Date]],2),""))))</f>
        <v/>
      </c>
      <c r="N557" s="69" t="str">
        <f>IF(Main[[#This Row],[Tech Start Date]]&lt;1/1/1990,"",IF(Main[[#This Row],[Class]]="C",WORKDAY(Main[[#This Row],[Tech Start Date]],19),IF(Main[[#This Row],[Class]]="B", WORKDAY(Main[[#This Row],[Tech Start Date]],12),IF(Main[[#This Row],[Class]]="A",WORKDAY(Main[[#This Row],[Tech Start Date]],4),""))))</f>
        <v/>
      </c>
      <c r="O557" s="69" t="str">
        <f>IF(Main[[#This Row],[Tech Start Date]]&lt;1/1/1990,"",IF(Main[[#This Row],[Class]]="C",WORKDAY(Main[[#This Row],[Tech Start Date]],23),IF(Main[[#This Row],[Class]]="B", WORKDAY(Main[[#This Row],[Tech Start Date]],15),IF(Main[[#This Row],[Class]]="A",WORKDAY(Main[[#This Row],[Tech Start Date]],5),""))))</f>
        <v/>
      </c>
      <c r="P557" s="69" t="str">
        <f>IF(Main[[#This Row],[Tech Start Date]]&lt;1/1/1990,"",IF(Main[[#This Row],[Class]]="C",WORKDAY(Main[[#This Row],[Tech Start Date]],28),IF(Main[[#This Row],[Class]]="B", WORKDAY(Main[[#This Row],[Tech Start Date]],19),IF(Main[[#This Row],[Class]]="A",WORKDAY(Main[[#This Row],[Tech Start Date]],9),""))))</f>
        <v/>
      </c>
      <c r="Q557" s="67">
        <v>40154</v>
      </c>
      <c r="R557" s="67"/>
      <c r="S557" s="65" t="s">
        <v>11</v>
      </c>
      <c r="T557" s="70" t="s">
        <v>4</v>
      </c>
      <c r="U557" s="65" t="s">
        <v>14</v>
      </c>
      <c r="V557" s="65" t="s">
        <v>1920</v>
      </c>
      <c r="W557" s="65" t="s">
        <v>1923</v>
      </c>
      <c r="X557" s="65" t="s">
        <v>2869</v>
      </c>
      <c r="Y557" s="65" t="s">
        <v>4</v>
      </c>
      <c r="Z557" s="65" t="s">
        <v>4</v>
      </c>
      <c r="AA557" s="65" t="s">
        <v>2869</v>
      </c>
    </row>
    <row r="558" spans="1:27" ht="17.45" customHeight="1">
      <c r="A558" s="131" t="str">
        <f>IF(priority(Main[[#This Row],[Comments]])&lt;&gt;0, priority(Main[[#This Row],[Comments]]),"")</f>
        <v/>
      </c>
      <c r="B558" s="99" t="s">
        <v>1376</v>
      </c>
      <c r="C558" s="65" t="s">
        <v>4</v>
      </c>
      <c r="D558" s="66" t="s">
        <v>467</v>
      </c>
      <c r="E558" s="67">
        <v>40701.70579861111</v>
      </c>
      <c r="F558" s="67"/>
      <c r="G558" s="64" t="str">
        <f>IF(stdProdLT(Main[[#This Row],[Comments]])=0.1,"N/A",IF(stdProdLT(Main[[#This Row],[Comments]])=0,"",stdProdLT(Main[[#This Row],[Comments]])))</f>
        <v/>
      </c>
      <c r="H558" s="68" t="str">
        <f>IF(AND(Main[[#This Row],[In Stock Date]]&lt;&gt;"",Main[[#This Row],[Revised Due Date]]&lt;&gt;""),Main[[#This Row],[In Stock Date]]-Main[[#This Row],[Revised Due Date]],"")</f>
        <v/>
      </c>
      <c r="I558" s="65" t="s">
        <v>4</v>
      </c>
      <c r="J558" s="65" t="s">
        <v>4</v>
      </c>
      <c r="K558" s="65" t="s">
        <v>4</v>
      </c>
      <c r="L558" s="67"/>
      <c r="M558" s="69" t="str">
        <f>IF(Main[[#This Row],[Tech Start Date]]&lt;1/1/1990,"",IF(Main[[#This Row],[Class]]="C",WORKDAY(Main[[#This Row],[Tech Start Date]],9),IF(Main[[#This Row],[Class]]="B", WORKDAY(Main[[#This Row],[Tech Start Date]],6),IF(Main[[#This Row],[Class]]="A",WORKDAY(Main[[#This Row],[Tech Start Date]],2),""))))</f>
        <v/>
      </c>
      <c r="N558" s="69" t="str">
        <f>IF(Main[[#This Row],[Tech Start Date]]&lt;1/1/1990,"",IF(Main[[#This Row],[Class]]="C",WORKDAY(Main[[#This Row],[Tech Start Date]],19),IF(Main[[#This Row],[Class]]="B", WORKDAY(Main[[#This Row],[Tech Start Date]],12),IF(Main[[#This Row],[Class]]="A",WORKDAY(Main[[#This Row],[Tech Start Date]],4),""))))</f>
        <v/>
      </c>
      <c r="O558" s="69" t="str">
        <f>IF(Main[[#This Row],[Tech Start Date]]&lt;1/1/1990,"",IF(Main[[#This Row],[Class]]="C",WORKDAY(Main[[#This Row],[Tech Start Date]],23),IF(Main[[#This Row],[Class]]="B", WORKDAY(Main[[#This Row],[Tech Start Date]],15),IF(Main[[#This Row],[Class]]="A",WORKDAY(Main[[#This Row],[Tech Start Date]],5),""))))</f>
        <v/>
      </c>
      <c r="P558" s="69" t="str">
        <f>IF(Main[[#This Row],[Tech Start Date]]&lt;1/1/1990,"",IF(Main[[#This Row],[Class]]="C",WORKDAY(Main[[#This Row],[Tech Start Date]],28),IF(Main[[#This Row],[Class]]="B", WORKDAY(Main[[#This Row],[Tech Start Date]],19),IF(Main[[#This Row],[Class]]="A",WORKDAY(Main[[#This Row],[Tech Start Date]],9),""))))</f>
        <v/>
      </c>
      <c r="Q558" s="67">
        <v>40732</v>
      </c>
      <c r="R558" s="67"/>
      <c r="S558" s="65" t="s">
        <v>6</v>
      </c>
      <c r="T558" s="70" t="s">
        <v>4</v>
      </c>
      <c r="U558" s="65" t="s">
        <v>7</v>
      </c>
      <c r="V558" s="65" t="s">
        <v>1917</v>
      </c>
      <c r="W558" s="65" t="s">
        <v>4</v>
      </c>
      <c r="X558" s="65" t="s">
        <v>2825</v>
      </c>
      <c r="Y558" s="65" t="s">
        <v>2938</v>
      </c>
      <c r="Z558" s="65" t="s">
        <v>4</v>
      </c>
      <c r="AA558" s="65" t="s">
        <v>2825</v>
      </c>
    </row>
    <row r="559" spans="1:27" ht="17.45" customHeight="1">
      <c r="A559" s="131" t="str">
        <f>IF(priority(Main[[#This Row],[Comments]])&lt;&gt;0, priority(Main[[#This Row],[Comments]]),"")</f>
        <v/>
      </c>
      <c r="B559" s="99" t="s">
        <v>1783</v>
      </c>
      <c r="C559" s="65" t="s">
        <v>4</v>
      </c>
      <c r="D559" s="66" t="s">
        <v>850</v>
      </c>
      <c r="E559" s="67">
        <v>40611.493495370371</v>
      </c>
      <c r="F559" s="67"/>
      <c r="G559" s="64" t="str">
        <f>IF(stdProdLT(Main[[#This Row],[Comments]])=0.1,"N/A",IF(stdProdLT(Main[[#This Row],[Comments]])=0,"",stdProdLT(Main[[#This Row],[Comments]])))</f>
        <v/>
      </c>
      <c r="H559" s="68" t="str">
        <f>IF(AND(Main[[#This Row],[In Stock Date]]&lt;&gt;"",Main[[#This Row],[Revised Due Date]]&lt;&gt;""),Main[[#This Row],[In Stock Date]]-Main[[#This Row],[Revised Due Date]],"")</f>
        <v/>
      </c>
      <c r="I559" s="65" t="s">
        <v>4</v>
      </c>
      <c r="J559" s="65" t="s">
        <v>4</v>
      </c>
      <c r="K559" s="65" t="s">
        <v>4</v>
      </c>
      <c r="L559" s="67"/>
      <c r="M559" s="69" t="str">
        <f>IF(Main[[#This Row],[Tech Start Date]]&lt;1/1/1990,"",IF(Main[[#This Row],[Class]]="C",WORKDAY(Main[[#This Row],[Tech Start Date]],9),IF(Main[[#This Row],[Class]]="B", WORKDAY(Main[[#This Row],[Tech Start Date]],6),IF(Main[[#This Row],[Class]]="A",WORKDAY(Main[[#This Row],[Tech Start Date]],2),""))))</f>
        <v/>
      </c>
      <c r="N559" s="69" t="str">
        <f>IF(Main[[#This Row],[Tech Start Date]]&lt;1/1/1990,"",IF(Main[[#This Row],[Class]]="C",WORKDAY(Main[[#This Row],[Tech Start Date]],19),IF(Main[[#This Row],[Class]]="B", WORKDAY(Main[[#This Row],[Tech Start Date]],12),IF(Main[[#This Row],[Class]]="A",WORKDAY(Main[[#This Row],[Tech Start Date]],4),""))))</f>
        <v/>
      </c>
      <c r="O559" s="69" t="str">
        <f>IF(Main[[#This Row],[Tech Start Date]]&lt;1/1/1990,"",IF(Main[[#This Row],[Class]]="C",WORKDAY(Main[[#This Row],[Tech Start Date]],23),IF(Main[[#This Row],[Class]]="B", WORKDAY(Main[[#This Row],[Tech Start Date]],15),IF(Main[[#This Row],[Class]]="A",WORKDAY(Main[[#This Row],[Tech Start Date]],5),""))))</f>
        <v/>
      </c>
      <c r="P559" s="69" t="str">
        <f>IF(Main[[#This Row],[Tech Start Date]]&lt;1/1/1990,"",IF(Main[[#This Row],[Class]]="C",WORKDAY(Main[[#This Row],[Tech Start Date]],28),IF(Main[[#This Row],[Class]]="B", WORKDAY(Main[[#This Row],[Tech Start Date]],19),IF(Main[[#This Row],[Class]]="A",WORKDAY(Main[[#This Row],[Tech Start Date]],9),""))))</f>
        <v/>
      </c>
      <c r="Q559" s="67">
        <v>40725</v>
      </c>
      <c r="R559" s="67"/>
      <c r="S559" s="65" t="s">
        <v>17</v>
      </c>
      <c r="T559" s="70" t="s">
        <v>4</v>
      </c>
      <c r="U559" s="65" t="s">
        <v>7</v>
      </c>
      <c r="V559" s="65" t="s">
        <v>1920</v>
      </c>
      <c r="W559" s="65" t="s">
        <v>1922</v>
      </c>
      <c r="X559" s="65" t="s">
        <v>554</v>
      </c>
      <c r="Y559" s="65" t="s">
        <v>2958</v>
      </c>
      <c r="Z559" s="65" t="s">
        <v>4</v>
      </c>
      <c r="AA559" s="65" t="s">
        <v>554</v>
      </c>
    </row>
    <row r="560" spans="1:27" ht="17.45" customHeight="1">
      <c r="A560" s="131" t="str">
        <f>IF(priority(Main[[#This Row],[Comments]])&lt;&gt;0, priority(Main[[#This Row],[Comments]]),"")</f>
        <v/>
      </c>
      <c r="B560" s="99" t="s">
        <v>1780</v>
      </c>
      <c r="C560" s="65" t="s">
        <v>4</v>
      </c>
      <c r="D560" s="66" t="s">
        <v>847</v>
      </c>
      <c r="E560" s="67"/>
      <c r="F560" s="67"/>
      <c r="G560" s="64" t="str">
        <f>IF(stdProdLT(Main[[#This Row],[Comments]])=0.1,"N/A",IF(stdProdLT(Main[[#This Row],[Comments]])=0,"",stdProdLT(Main[[#This Row],[Comments]])))</f>
        <v/>
      </c>
      <c r="H560" s="68" t="str">
        <f>IF(AND(Main[[#This Row],[In Stock Date]]&lt;&gt;"",Main[[#This Row],[Revised Due Date]]&lt;&gt;""),Main[[#This Row],[In Stock Date]]-Main[[#This Row],[Revised Due Date]],"")</f>
        <v/>
      </c>
      <c r="I560" s="65" t="s">
        <v>2047</v>
      </c>
      <c r="J560" s="65" t="s">
        <v>28</v>
      </c>
      <c r="K560" s="65" t="s">
        <v>1926</v>
      </c>
      <c r="L560" s="67"/>
      <c r="M560" s="69" t="str">
        <f>IF(Main[[#This Row],[Tech Start Date]]&lt;1/1/1990,"",IF(Main[[#This Row],[Class]]="C",WORKDAY(Main[[#This Row],[Tech Start Date]],9),IF(Main[[#This Row],[Class]]="B", WORKDAY(Main[[#This Row],[Tech Start Date]],6),IF(Main[[#This Row],[Class]]="A",WORKDAY(Main[[#This Row],[Tech Start Date]],2),""))))</f>
        <v/>
      </c>
      <c r="N560" s="69" t="str">
        <f>IF(Main[[#This Row],[Tech Start Date]]&lt;1/1/1990,"",IF(Main[[#This Row],[Class]]="C",WORKDAY(Main[[#This Row],[Tech Start Date]],19),IF(Main[[#This Row],[Class]]="B", WORKDAY(Main[[#This Row],[Tech Start Date]],12),IF(Main[[#This Row],[Class]]="A",WORKDAY(Main[[#This Row],[Tech Start Date]],4),""))))</f>
        <v/>
      </c>
      <c r="O560" s="69" t="str">
        <f>IF(Main[[#This Row],[Tech Start Date]]&lt;1/1/1990,"",IF(Main[[#This Row],[Class]]="C",WORKDAY(Main[[#This Row],[Tech Start Date]],23),IF(Main[[#This Row],[Class]]="B", WORKDAY(Main[[#This Row],[Tech Start Date]],15),IF(Main[[#This Row],[Class]]="A",WORKDAY(Main[[#This Row],[Tech Start Date]],5),""))))</f>
        <v/>
      </c>
      <c r="P560" s="69" t="str">
        <f>IF(Main[[#This Row],[Tech Start Date]]&lt;1/1/1990,"",IF(Main[[#This Row],[Class]]="C",WORKDAY(Main[[#This Row],[Tech Start Date]],28),IF(Main[[#This Row],[Class]]="B", WORKDAY(Main[[#This Row],[Tech Start Date]],19),IF(Main[[#This Row],[Class]]="A",WORKDAY(Main[[#This Row],[Tech Start Date]],9),""))))</f>
        <v/>
      </c>
      <c r="Q560" s="67">
        <v>40694</v>
      </c>
      <c r="R560" s="67"/>
      <c r="S560" s="65" t="s">
        <v>6</v>
      </c>
      <c r="T560" s="70" t="s">
        <v>4</v>
      </c>
      <c r="U560" s="65" t="s">
        <v>14</v>
      </c>
      <c r="V560" s="65" t="s">
        <v>1920</v>
      </c>
      <c r="W560" s="65" t="s">
        <v>1921</v>
      </c>
      <c r="X560" s="65" t="s">
        <v>2825</v>
      </c>
      <c r="Y560" s="65" t="s">
        <v>2938</v>
      </c>
      <c r="Z560" s="65" t="s">
        <v>30</v>
      </c>
      <c r="AA560" s="65" t="s">
        <v>2825</v>
      </c>
    </row>
    <row r="561" spans="1:27" ht="17.45" customHeight="1">
      <c r="A561" s="131" t="str">
        <f>IF(priority(Main[[#This Row],[Comments]])&lt;&gt;0, priority(Main[[#This Row],[Comments]]),"")</f>
        <v/>
      </c>
      <c r="B561" s="99" t="s">
        <v>1377</v>
      </c>
      <c r="C561" s="65" t="s">
        <v>99</v>
      </c>
      <c r="D561" s="66" t="s">
        <v>100</v>
      </c>
      <c r="E561" s="67"/>
      <c r="F561" s="67"/>
      <c r="G561" s="64" t="str">
        <f>IF(stdProdLT(Main[[#This Row],[Comments]])=0.1,"N/A",IF(stdProdLT(Main[[#This Row],[Comments]])=0,"",stdProdLT(Main[[#This Row],[Comments]])))</f>
        <v/>
      </c>
      <c r="H561" s="68" t="str">
        <f>IF(AND(Main[[#This Row],[In Stock Date]]&lt;&gt;"",Main[[#This Row],[Revised Due Date]]&lt;&gt;""),Main[[#This Row],[In Stock Date]]-Main[[#This Row],[Revised Due Date]],"")</f>
        <v/>
      </c>
      <c r="I561" s="65" t="s">
        <v>4</v>
      </c>
      <c r="J561" s="65" t="s">
        <v>4</v>
      </c>
      <c r="K561" s="65" t="s">
        <v>4</v>
      </c>
      <c r="L561" s="67"/>
      <c r="M561" s="69" t="str">
        <f>IF(Main[[#This Row],[Tech Start Date]]&lt;1/1/1990,"",IF(Main[[#This Row],[Class]]="C",WORKDAY(Main[[#This Row],[Tech Start Date]],9),IF(Main[[#This Row],[Class]]="B", WORKDAY(Main[[#This Row],[Tech Start Date]],6),IF(Main[[#This Row],[Class]]="A",WORKDAY(Main[[#This Row],[Tech Start Date]],2),""))))</f>
        <v/>
      </c>
      <c r="N561" s="69" t="str">
        <f>IF(Main[[#This Row],[Tech Start Date]]&lt;1/1/1990,"",IF(Main[[#This Row],[Class]]="C",WORKDAY(Main[[#This Row],[Tech Start Date]],19),IF(Main[[#This Row],[Class]]="B", WORKDAY(Main[[#This Row],[Tech Start Date]],12),IF(Main[[#This Row],[Class]]="A",WORKDAY(Main[[#This Row],[Tech Start Date]],4),""))))</f>
        <v/>
      </c>
      <c r="O561" s="69" t="str">
        <f>IF(Main[[#This Row],[Tech Start Date]]&lt;1/1/1990,"",IF(Main[[#This Row],[Class]]="C",WORKDAY(Main[[#This Row],[Tech Start Date]],23),IF(Main[[#This Row],[Class]]="B", WORKDAY(Main[[#This Row],[Tech Start Date]],15),IF(Main[[#This Row],[Class]]="A",WORKDAY(Main[[#This Row],[Tech Start Date]],5),""))))</f>
        <v/>
      </c>
      <c r="P561" s="69" t="str">
        <f>IF(Main[[#This Row],[Tech Start Date]]&lt;1/1/1990,"",IF(Main[[#This Row],[Class]]="C",WORKDAY(Main[[#This Row],[Tech Start Date]],28),IF(Main[[#This Row],[Class]]="B", WORKDAY(Main[[#This Row],[Tech Start Date]],19),IF(Main[[#This Row],[Class]]="A",WORKDAY(Main[[#This Row],[Tech Start Date]],9),""))))</f>
        <v/>
      </c>
      <c r="Q561" s="67"/>
      <c r="R561" s="67"/>
      <c r="S561" s="65" t="s">
        <v>11</v>
      </c>
      <c r="T561" s="70" t="s">
        <v>4</v>
      </c>
      <c r="U561" s="65" t="s">
        <v>14</v>
      </c>
      <c r="V561" s="65" t="s">
        <v>1918</v>
      </c>
      <c r="W561" s="65" t="s">
        <v>1919</v>
      </c>
      <c r="X561" s="65" t="s">
        <v>2840</v>
      </c>
      <c r="Y561" s="65" t="s">
        <v>2966</v>
      </c>
      <c r="Z561" s="65" t="s">
        <v>4</v>
      </c>
      <c r="AA561" s="65" t="s">
        <v>3396</v>
      </c>
    </row>
    <row r="562" spans="1:27" ht="17.45" customHeight="1">
      <c r="A562" s="131" t="str">
        <f>IF(priority(Main[[#This Row],[Comments]])&lt;&gt;0, priority(Main[[#This Row],[Comments]]),"")</f>
        <v/>
      </c>
      <c r="B562" s="99" t="s">
        <v>1378</v>
      </c>
      <c r="C562" s="65" t="s">
        <v>4</v>
      </c>
      <c r="D562" s="66" t="s">
        <v>295</v>
      </c>
      <c r="E562" s="67"/>
      <c r="F562" s="67"/>
      <c r="G562" s="64" t="str">
        <f>IF(stdProdLT(Main[[#This Row],[Comments]])=0.1,"N/A",IF(stdProdLT(Main[[#This Row],[Comments]])=0,"",stdProdLT(Main[[#This Row],[Comments]])))</f>
        <v/>
      </c>
      <c r="H562" s="68" t="str">
        <f>IF(AND(Main[[#This Row],[In Stock Date]]&lt;&gt;"",Main[[#This Row],[Revised Due Date]]&lt;&gt;""),Main[[#This Row],[In Stock Date]]-Main[[#This Row],[Revised Due Date]],"")</f>
        <v/>
      </c>
      <c r="I562" s="65" t="s">
        <v>4</v>
      </c>
      <c r="J562" s="65" t="s">
        <v>4</v>
      </c>
      <c r="K562" s="65" t="s">
        <v>4</v>
      </c>
      <c r="L562" s="67"/>
      <c r="M562" s="69" t="str">
        <f>IF(Main[[#This Row],[Tech Start Date]]&lt;1/1/1990,"",IF(Main[[#This Row],[Class]]="C",WORKDAY(Main[[#This Row],[Tech Start Date]],9),IF(Main[[#This Row],[Class]]="B", WORKDAY(Main[[#This Row],[Tech Start Date]],6),IF(Main[[#This Row],[Class]]="A",WORKDAY(Main[[#This Row],[Tech Start Date]],2),""))))</f>
        <v/>
      </c>
      <c r="N562" s="69" t="str">
        <f>IF(Main[[#This Row],[Tech Start Date]]&lt;1/1/1990,"",IF(Main[[#This Row],[Class]]="C",WORKDAY(Main[[#This Row],[Tech Start Date]],19),IF(Main[[#This Row],[Class]]="B", WORKDAY(Main[[#This Row],[Tech Start Date]],12),IF(Main[[#This Row],[Class]]="A",WORKDAY(Main[[#This Row],[Tech Start Date]],4),""))))</f>
        <v/>
      </c>
      <c r="O562" s="69" t="str">
        <f>IF(Main[[#This Row],[Tech Start Date]]&lt;1/1/1990,"",IF(Main[[#This Row],[Class]]="C",WORKDAY(Main[[#This Row],[Tech Start Date]],23),IF(Main[[#This Row],[Class]]="B", WORKDAY(Main[[#This Row],[Tech Start Date]],15),IF(Main[[#This Row],[Class]]="A",WORKDAY(Main[[#This Row],[Tech Start Date]],5),""))))</f>
        <v/>
      </c>
      <c r="P562" s="69" t="str">
        <f>IF(Main[[#This Row],[Tech Start Date]]&lt;1/1/1990,"",IF(Main[[#This Row],[Class]]="C",WORKDAY(Main[[#This Row],[Tech Start Date]],28),IF(Main[[#This Row],[Class]]="B", WORKDAY(Main[[#This Row],[Tech Start Date]],19),IF(Main[[#This Row],[Class]]="A",WORKDAY(Main[[#This Row],[Tech Start Date]],9),""))))</f>
        <v/>
      </c>
      <c r="Q562" s="67">
        <v>40471</v>
      </c>
      <c r="R562" s="67"/>
      <c r="S562" s="65" t="s">
        <v>296</v>
      </c>
      <c r="T562" s="70" t="s">
        <v>4</v>
      </c>
      <c r="U562" s="65" t="s">
        <v>14</v>
      </c>
      <c r="V562" s="65" t="s">
        <v>1927</v>
      </c>
      <c r="W562" s="65" t="s">
        <v>1919</v>
      </c>
      <c r="X562" s="65" t="s">
        <v>2853</v>
      </c>
      <c r="Y562" s="65" t="s">
        <v>2984</v>
      </c>
      <c r="Z562" s="65" t="s">
        <v>4</v>
      </c>
      <c r="AA562" s="65" t="s">
        <v>2853</v>
      </c>
    </row>
    <row r="563" spans="1:27" ht="17.45" customHeight="1">
      <c r="A563" s="131" t="str">
        <f>IF(priority(Main[[#This Row],[Comments]])&lt;&gt;0, priority(Main[[#This Row],[Comments]]),"")</f>
        <v/>
      </c>
      <c r="B563" s="99" t="s">
        <v>1379</v>
      </c>
      <c r="C563" s="65" t="s">
        <v>4</v>
      </c>
      <c r="D563" s="66" t="s">
        <v>468</v>
      </c>
      <c r="E563" s="67">
        <v>40422.514918981484</v>
      </c>
      <c r="F563" s="67"/>
      <c r="G563" s="64" t="str">
        <f>IF(stdProdLT(Main[[#This Row],[Comments]])=0.1,"N/A",IF(stdProdLT(Main[[#This Row],[Comments]])=0,"",stdProdLT(Main[[#This Row],[Comments]])))</f>
        <v/>
      </c>
      <c r="H563" s="68" t="str">
        <f>IF(AND(Main[[#This Row],[In Stock Date]]&lt;&gt;"",Main[[#This Row],[Revised Due Date]]&lt;&gt;""),Main[[#This Row],[In Stock Date]]-Main[[#This Row],[Revised Due Date]],"")</f>
        <v/>
      </c>
      <c r="I563" s="65" t="s">
        <v>4</v>
      </c>
      <c r="J563" s="65" t="s">
        <v>28</v>
      </c>
      <c r="K563" s="65" t="s">
        <v>4</v>
      </c>
      <c r="L563" s="67"/>
      <c r="M563" s="69" t="str">
        <f>IF(Main[[#This Row],[Tech Start Date]]&lt;1/1/1990,"",IF(Main[[#This Row],[Class]]="C",WORKDAY(Main[[#This Row],[Tech Start Date]],9),IF(Main[[#This Row],[Class]]="B", WORKDAY(Main[[#This Row],[Tech Start Date]],6),IF(Main[[#This Row],[Class]]="A",WORKDAY(Main[[#This Row],[Tech Start Date]],2),""))))</f>
        <v/>
      </c>
      <c r="N563" s="69" t="str">
        <f>IF(Main[[#This Row],[Tech Start Date]]&lt;1/1/1990,"",IF(Main[[#This Row],[Class]]="C",WORKDAY(Main[[#This Row],[Tech Start Date]],19),IF(Main[[#This Row],[Class]]="B", WORKDAY(Main[[#This Row],[Tech Start Date]],12),IF(Main[[#This Row],[Class]]="A",WORKDAY(Main[[#This Row],[Tech Start Date]],4),""))))</f>
        <v/>
      </c>
      <c r="O563" s="69" t="str">
        <f>IF(Main[[#This Row],[Tech Start Date]]&lt;1/1/1990,"",IF(Main[[#This Row],[Class]]="C",WORKDAY(Main[[#This Row],[Tech Start Date]],23),IF(Main[[#This Row],[Class]]="B", WORKDAY(Main[[#This Row],[Tech Start Date]],15),IF(Main[[#This Row],[Class]]="A",WORKDAY(Main[[#This Row],[Tech Start Date]],5),""))))</f>
        <v/>
      </c>
      <c r="P563" s="69" t="str">
        <f>IF(Main[[#This Row],[Tech Start Date]]&lt;1/1/1990,"",IF(Main[[#This Row],[Class]]="C",WORKDAY(Main[[#This Row],[Tech Start Date]],28),IF(Main[[#This Row],[Class]]="B", WORKDAY(Main[[#This Row],[Tech Start Date]],19),IF(Main[[#This Row],[Class]]="A",WORKDAY(Main[[#This Row],[Tech Start Date]],9),""))))</f>
        <v/>
      </c>
      <c r="Q563" s="67">
        <v>40455</v>
      </c>
      <c r="R563" s="67"/>
      <c r="S563" s="65" t="s">
        <v>6</v>
      </c>
      <c r="T563" s="70" t="s">
        <v>4</v>
      </c>
      <c r="U563" s="65" t="s">
        <v>7</v>
      </c>
      <c r="V563" s="65" t="s">
        <v>1917</v>
      </c>
      <c r="W563" s="65" t="s">
        <v>1921</v>
      </c>
      <c r="X563" s="65" t="s">
        <v>2824</v>
      </c>
      <c r="Y563" s="65" t="s">
        <v>2935</v>
      </c>
      <c r="Z563" s="65" t="s">
        <v>129</v>
      </c>
      <c r="AA563" s="65" t="s">
        <v>2824</v>
      </c>
    </row>
    <row r="564" spans="1:27" ht="17.45" customHeight="1">
      <c r="A564" s="131" t="str">
        <f>IF(priority(Main[[#This Row],[Comments]])&lt;&gt;0, priority(Main[[#This Row],[Comments]]),"")</f>
        <v/>
      </c>
      <c r="B564" s="99" t="s">
        <v>1380</v>
      </c>
      <c r="C564" s="65" t="s">
        <v>137</v>
      </c>
      <c r="D564" s="66" t="s">
        <v>136</v>
      </c>
      <c r="E564" s="67"/>
      <c r="F564" s="67">
        <v>40787</v>
      </c>
      <c r="G564" s="64" t="str">
        <f>IF(stdProdLT(Main[[#This Row],[Comments]])=0.1,"N/A",IF(stdProdLT(Main[[#This Row],[Comments]])=0,"",stdProdLT(Main[[#This Row],[Comments]])))</f>
        <v/>
      </c>
      <c r="H564" s="68" t="str">
        <f>IF(AND(Main[[#This Row],[In Stock Date]]&lt;&gt;"",Main[[#This Row],[Revised Due Date]]&lt;&gt;""),Main[[#This Row],[In Stock Date]]-Main[[#This Row],[Revised Due Date]],"")</f>
        <v/>
      </c>
      <c r="I564" s="65" t="s">
        <v>4</v>
      </c>
      <c r="J564" s="65" t="s">
        <v>4</v>
      </c>
      <c r="K564" s="71" t="s">
        <v>4</v>
      </c>
      <c r="L564" s="67"/>
      <c r="M564" s="69" t="str">
        <f>IF(Main[[#This Row],[Tech Start Date]]&lt;1/1/1990,"",IF(Main[[#This Row],[Class]]="C",WORKDAY(Main[[#This Row],[Tech Start Date]],9),IF(Main[[#This Row],[Class]]="B", WORKDAY(Main[[#This Row],[Tech Start Date]],6),IF(Main[[#This Row],[Class]]="A",WORKDAY(Main[[#This Row],[Tech Start Date]],2),""))))</f>
        <v/>
      </c>
      <c r="N564" s="69" t="str">
        <f>IF(Main[[#This Row],[Tech Start Date]]&lt;1/1/1990,"",IF(Main[[#This Row],[Class]]="C",WORKDAY(Main[[#This Row],[Tech Start Date]],19),IF(Main[[#This Row],[Class]]="B", WORKDAY(Main[[#This Row],[Tech Start Date]],12),IF(Main[[#This Row],[Class]]="A",WORKDAY(Main[[#This Row],[Tech Start Date]],4),""))))</f>
        <v/>
      </c>
      <c r="O564" s="69" t="str">
        <f>IF(Main[[#This Row],[Tech Start Date]]&lt;1/1/1990,"",IF(Main[[#This Row],[Class]]="C",WORKDAY(Main[[#This Row],[Tech Start Date]],23),IF(Main[[#This Row],[Class]]="B", WORKDAY(Main[[#This Row],[Tech Start Date]],15),IF(Main[[#This Row],[Class]]="A",WORKDAY(Main[[#This Row],[Tech Start Date]],5),""))))</f>
        <v/>
      </c>
      <c r="P564" s="69" t="str">
        <f>IF(Main[[#This Row],[Tech Start Date]]&lt;1/1/1990,"",IF(Main[[#This Row],[Class]]="C",WORKDAY(Main[[#This Row],[Tech Start Date]],28),IF(Main[[#This Row],[Class]]="B", WORKDAY(Main[[#This Row],[Tech Start Date]],19),IF(Main[[#This Row],[Class]]="A",WORKDAY(Main[[#This Row],[Tech Start Date]],9),""))))</f>
        <v/>
      </c>
      <c r="Q564" s="67"/>
      <c r="R564" s="67"/>
      <c r="S564" s="65" t="s">
        <v>11</v>
      </c>
      <c r="T564" s="70" t="s">
        <v>4</v>
      </c>
      <c r="U564" s="65" t="s">
        <v>14</v>
      </c>
      <c r="V564" s="65" t="s">
        <v>1917</v>
      </c>
      <c r="W564" s="65" t="s">
        <v>1923</v>
      </c>
      <c r="X564" s="65" t="s">
        <v>50</v>
      </c>
      <c r="Y564" s="65" t="s">
        <v>3044</v>
      </c>
      <c r="Z564" s="65" t="s">
        <v>4</v>
      </c>
      <c r="AA564" s="65" t="s">
        <v>2845</v>
      </c>
    </row>
    <row r="565" spans="1:27" ht="17.45" customHeight="1">
      <c r="A565" s="131" t="str">
        <f>IF(priority(Main[[#This Row],[Comments]])&lt;&gt;0, priority(Main[[#This Row],[Comments]]),"")</f>
        <v/>
      </c>
      <c r="B565" s="99" t="s">
        <v>1381</v>
      </c>
      <c r="C565" s="65" t="s">
        <v>4</v>
      </c>
      <c r="D565" s="66" t="s">
        <v>469</v>
      </c>
      <c r="E565" s="67">
        <v>40704.209918981483</v>
      </c>
      <c r="F565" s="67"/>
      <c r="G565" s="64" t="str">
        <f>IF(stdProdLT(Main[[#This Row],[Comments]])=0.1,"N/A",IF(stdProdLT(Main[[#This Row],[Comments]])=0,"",stdProdLT(Main[[#This Row],[Comments]])))</f>
        <v/>
      </c>
      <c r="H565" s="68" t="str">
        <f>IF(AND(Main[[#This Row],[In Stock Date]]&lt;&gt;"",Main[[#This Row],[Revised Due Date]]&lt;&gt;""),Main[[#This Row],[In Stock Date]]-Main[[#This Row],[Revised Due Date]],"")</f>
        <v/>
      </c>
      <c r="I565" s="65" t="s">
        <v>4</v>
      </c>
      <c r="J565" s="65" t="s">
        <v>4</v>
      </c>
      <c r="K565" s="65" t="s">
        <v>4</v>
      </c>
      <c r="L565" s="67"/>
      <c r="M565" s="69" t="str">
        <f>IF(Main[[#This Row],[Tech Start Date]]&lt;1/1/1990,"",IF(Main[[#This Row],[Class]]="C",WORKDAY(Main[[#This Row],[Tech Start Date]],9),IF(Main[[#This Row],[Class]]="B", WORKDAY(Main[[#This Row],[Tech Start Date]],6),IF(Main[[#This Row],[Class]]="A",WORKDAY(Main[[#This Row],[Tech Start Date]],2),""))))</f>
        <v/>
      </c>
      <c r="N565" s="69" t="str">
        <f>IF(Main[[#This Row],[Tech Start Date]]&lt;1/1/1990,"",IF(Main[[#This Row],[Class]]="C",WORKDAY(Main[[#This Row],[Tech Start Date]],19),IF(Main[[#This Row],[Class]]="B", WORKDAY(Main[[#This Row],[Tech Start Date]],12),IF(Main[[#This Row],[Class]]="A",WORKDAY(Main[[#This Row],[Tech Start Date]],4),""))))</f>
        <v/>
      </c>
      <c r="O565" s="69" t="str">
        <f>IF(Main[[#This Row],[Tech Start Date]]&lt;1/1/1990,"",IF(Main[[#This Row],[Class]]="C",WORKDAY(Main[[#This Row],[Tech Start Date]],23),IF(Main[[#This Row],[Class]]="B", WORKDAY(Main[[#This Row],[Tech Start Date]],15),IF(Main[[#This Row],[Class]]="A",WORKDAY(Main[[#This Row],[Tech Start Date]],5),""))))</f>
        <v/>
      </c>
      <c r="P565" s="69" t="str">
        <f>IF(Main[[#This Row],[Tech Start Date]]&lt;1/1/1990,"",IF(Main[[#This Row],[Class]]="C",WORKDAY(Main[[#This Row],[Tech Start Date]],28),IF(Main[[#This Row],[Class]]="B", WORKDAY(Main[[#This Row],[Tech Start Date]],19),IF(Main[[#This Row],[Class]]="A",WORKDAY(Main[[#This Row],[Tech Start Date]],9),""))))</f>
        <v/>
      </c>
      <c r="Q565" s="67">
        <v>40725</v>
      </c>
      <c r="R565" s="67"/>
      <c r="S565" s="65" t="s">
        <v>6</v>
      </c>
      <c r="T565" s="70" t="s">
        <v>4</v>
      </c>
      <c r="U565" s="65" t="s">
        <v>7</v>
      </c>
      <c r="V565" s="65" t="s">
        <v>1917</v>
      </c>
      <c r="W565" s="65" t="s">
        <v>4</v>
      </c>
      <c r="X565" s="65" t="s">
        <v>2857</v>
      </c>
      <c r="Y565" s="65" t="s">
        <v>2992</v>
      </c>
      <c r="Z565" s="65" t="s">
        <v>4</v>
      </c>
      <c r="AA565" s="65" t="s">
        <v>2857</v>
      </c>
    </row>
    <row r="566" spans="1:27" ht="17.45" customHeight="1">
      <c r="A566" s="131" t="str">
        <f>IF(priority(Main[[#This Row],[Comments]])&lt;&gt;0, priority(Main[[#This Row],[Comments]]),"")</f>
        <v/>
      </c>
      <c r="B566" s="99" t="s">
        <v>1382</v>
      </c>
      <c r="C566" s="65" t="s">
        <v>31</v>
      </c>
      <c r="D566" s="66" t="s">
        <v>470</v>
      </c>
      <c r="E566" s="67"/>
      <c r="F566" s="67">
        <v>40230</v>
      </c>
      <c r="G566" s="64" t="str">
        <f>IF(stdProdLT(Main[[#This Row],[Comments]])=0.1,"N/A",IF(stdProdLT(Main[[#This Row],[Comments]])=0,"",stdProdLT(Main[[#This Row],[Comments]])))</f>
        <v/>
      </c>
      <c r="H566" s="68" t="str">
        <f>IF(AND(Main[[#This Row],[In Stock Date]]&lt;&gt;"",Main[[#This Row],[Revised Due Date]]&lt;&gt;""),Main[[#This Row],[In Stock Date]]-Main[[#This Row],[Revised Due Date]],"")</f>
        <v/>
      </c>
      <c r="I566" s="65" t="s">
        <v>4</v>
      </c>
      <c r="J566" s="65" t="s">
        <v>4</v>
      </c>
      <c r="K566" s="65" t="s">
        <v>4</v>
      </c>
      <c r="L566" s="67"/>
      <c r="M566" s="69" t="str">
        <f>IF(Main[[#This Row],[Tech Start Date]]&lt;1/1/1990,"",IF(Main[[#This Row],[Class]]="C",WORKDAY(Main[[#This Row],[Tech Start Date]],9),IF(Main[[#This Row],[Class]]="B", WORKDAY(Main[[#This Row],[Tech Start Date]],6),IF(Main[[#This Row],[Class]]="A",WORKDAY(Main[[#This Row],[Tech Start Date]],2),""))))</f>
        <v/>
      </c>
      <c r="N566" s="69" t="str">
        <f>IF(Main[[#This Row],[Tech Start Date]]&lt;1/1/1990,"",IF(Main[[#This Row],[Class]]="C",WORKDAY(Main[[#This Row],[Tech Start Date]],19),IF(Main[[#This Row],[Class]]="B", WORKDAY(Main[[#This Row],[Tech Start Date]],12),IF(Main[[#This Row],[Class]]="A",WORKDAY(Main[[#This Row],[Tech Start Date]],4),""))))</f>
        <v/>
      </c>
      <c r="O566" s="69" t="str">
        <f>IF(Main[[#This Row],[Tech Start Date]]&lt;1/1/1990,"",IF(Main[[#This Row],[Class]]="C",WORKDAY(Main[[#This Row],[Tech Start Date]],23),IF(Main[[#This Row],[Class]]="B", WORKDAY(Main[[#This Row],[Tech Start Date]],15),IF(Main[[#This Row],[Class]]="A",WORKDAY(Main[[#This Row],[Tech Start Date]],5),""))))</f>
        <v/>
      </c>
      <c r="P566" s="69" t="str">
        <f>IF(Main[[#This Row],[Tech Start Date]]&lt;1/1/1990,"",IF(Main[[#This Row],[Class]]="C",WORKDAY(Main[[#This Row],[Tech Start Date]],28),IF(Main[[#This Row],[Class]]="B", WORKDAY(Main[[#This Row],[Tech Start Date]],19),IF(Main[[#This Row],[Class]]="A",WORKDAY(Main[[#This Row],[Tech Start Date]],9),""))))</f>
        <v/>
      </c>
      <c r="Q566" s="67">
        <v>40235</v>
      </c>
      <c r="R566" s="67"/>
      <c r="S566" s="65" t="s">
        <v>11</v>
      </c>
      <c r="T566" s="70" t="s">
        <v>4</v>
      </c>
      <c r="U566" s="65" t="s">
        <v>14</v>
      </c>
      <c r="V566" s="65" t="s">
        <v>1918</v>
      </c>
      <c r="W566" s="65" t="s">
        <v>1925</v>
      </c>
      <c r="X566" s="65" t="s">
        <v>2841</v>
      </c>
      <c r="Y566" s="65" t="s">
        <v>4</v>
      </c>
      <c r="Z566" s="65" t="s">
        <v>4</v>
      </c>
      <c r="AA566" s="65" t="s">
        <v>2841</v>
      </c>
    </row>
    <row r="567" spans="1:27" ht="17.45" customHeight="1">
      <c r="A567" s="131" t="str">
        <f>IF(priority(Main[[#This Row],[Comments]])&lt;&gt;0, priority(Main[[#This Row],[Comments]]),"")</f>
        <v/>
      </c>
      <c r="B567" s="99" t="s">
        <v>1384</v>
      </c>
      <c r="C567" s="65" t="s">
        <v>471</v>
      </c>
      <c r="D567" s="66" t="s">
        <v>472</v>
      </c>
      <c r="E567" s="67"/>
      <c r="F567" s="67">
        <v>40450</v>
      </c>
      <c r="G567" s="64" t="str">
        <f>IF(stdProdLT(Main[[#This Row],[Comments]])=0.1,"N/A",IF(stdProdLT(Main[[#This Row],[Comments]])=0,"",stdProdLT(Main[[#This Row],[Comments]])))</f>
        <v/>
      </c>
      <c r="H567" s="68" t="str">
        <f>IF(AND(Main[[#This Row],[In Stock Date]]&lt;&gt;"",Main[[#This Row],[Revised Due Date]]&lt;&gt;""),Main[[#This Row],[In Stock Date]]-Main[[#This Row],[Revised Due Date]],"")</f>
        <v/>
      </c>
      <c r="I567" s="65" t="s">
        <v>4</v>
      </c>
      <c r="J567" s="65" t="s">
        <v>4</v>
      </c>
      <c r="K567" s="71" t="s">
        <v>4</v>
      </c>
      <c r="L567" s="67"/>
      <c r="M567" s="69" t="str">
        <f>IF(Main[[#This Row],[Tech Start Date]]&lt;1/1/1990,"",IF(Main[[#This Row],[Class]]="C",WORKDAY(Main[[#This Row],[Tech Start Date]],9),IF(Main[[#This Row],[Class]]="B", WORKDAY(Main[[#This Row],[Tech Start Date]],6),IF(Main[[#This Row],[Class]]="A",WORKDAY(Main[[#This Row],[Tech Start Date]],2),""))))</f>
        <v/>
      </c>
      <c r="N567" s="69" t="str">
        <f>IF(Main[[#This Row],[Tech Start Date]]&lt;1/1/1990,"",IF(Main[[#This Row],[Class]]="C",WORKDAY(Main[[#This Row],[Tech Start Date]],19),IF(Main[[#This Row],[Class]]="B", WORKDAY(Main[[#This Row],[Tech Start Date]],12),IF(Main[[#This Row],[Class]]="A",WORKDAY(Main[[#This Row],[Tech Start Date]],4),""))))</f>
        <v/>
      </c>
      <c r="O567" s="69" t="str">
        <f>IF(Main[[#This Row],[Tech Start Date]]&lt;1/1/1990,"",IF(Main[[#This Row],[Class]]="C",WORKDAY(Main[[#This Row],[Tech Start Date]],23),IF(Main[[#This Row],[Class]]="B", WORKDAY(Main[[#This Row],[Tech Start Date]],15),IF(Main[[#This Row],[Class]]="A",WORKDAY(Main[[#This Row],[Tech Start Date]],5),""))))</f>
        <v/>
      </c>
      <c r="P567" s="69" t="str">
        <f>IF(Main[[#This Row],[Tech Start Date]]&lt;1/1/1990,"",IF(Main[[#This Row],[Class]]="C",WORKDAY(Main[[#This Row],[Tech Start Date]],28),IF(Main[[#This Row],[Class]]="B", WORKDAY(Main[[#This Row],[Tech Start Date]],19),IF(Main[[#This Row],[Class]]="A",WORKDAY(Main[[#This Row],[Tech Start Date]],9),""))))</f>
        <v/>
      </c>
      <c r="Q567" s="67">
        <v>40421</v>
      </c>
      <c r="R567" s="67"/>
      <c r="S567" s="65" t="s">
        <v>11</v>
      </c>
      <c r="T567" s="70" t="s">
        <v>4</v>
      </c>
      <c r="U567" s="65" t="s">
        <v>14</v>
      </c>
      <c r="V567" s="65" t="s">
        <v>1920</v>
      </c>
      <c r="W567" s="65" t="s">
        <v>1922</v>
      </c>
      <c r="X567" s="65" t="s">
        <v>2862</v>
      </c>
      <c r="Y567" s="65" t="s">
        <v>3003</v>
      </c>
      <c r="Z567" s="65" t="s">
        <v>4</v>
      </c>
      <c r="AA567" s="65" t="s">
        <v>2862</v>
      </c>
    </row>
    <row r="568" spans="1:27" ht="17.45" customHeight="1">
      <c r="A568" s="131" t="str">
        <f>IF(priority(Main[[#This Row],[Comments]])&lt;&gt;0, priority(Main[[#This Row],[Comments]]),"")</f>
        <v/>
      </c>
      <c r="B568" s="99" t="s">
        <v>3334</v>
      </c>
      <c r="C568" s="65" t="s">
        <v>4</v>
      </c>
      <c r="D568" s="66" t="s">
        <v>3335</v>
      </c>
      <c r="E568" s="67">
        <v>40939.633171296293</v>
      </c>
      <c r="F568" s="67"/>
      <c r="G568" s="64" t="str">
        <f>IF(stdProdLT(Main[[#This Row],[Comments]])=0.1,"N/A",IF(stdProdLT(Main[[#This Row],[Comments]])=0,"",stdProdLT(Main[[#This Row],[Comments]])))</f>
        <v/>
      </c>
      <c r="H568" s="68" t="str">
        <f>IF(AND(Main[[#This Row],[In Stock Date]]&lt;&gt;"",Main[[#This Row],[Revised Due Date]]&lt;&gt;""),Main[[#This Row],[In Stock Date]]-Main[[#This Row],[Revised Due Date]],"")</f>
        <v/>
      </c>
      <c r="I568" s="65" t="s">
        <v>4</v>
      </c>
      <c r="J568" s="65" t="s">
        <v>4</v>
      </c>
      <c r="K568" s="71" t="s">
        <v>4</v>
      </c>
      <c r="L568" s="67"/>
      <c r="M568" s="69" t="str">
        <f>IF(Main[[#This Row],[Tech Start Date]]&lt;1/1/1990,"",IF(Main[[#This Row],[Class]]="C",WORKDAY(Main[[#This Row],[Tech Start Date]],9),IF(Main[[#This Row],[Class]]="B", WORKDAY(Main[[#This Row],[Tech Start Date]],6),IF(Main[[#This Row],[Class]]="A",WORKDAY(Main[[#This Row],[Tech Start Date]],2),""))))</f>
        <v/>
      </c>
      <c r="N568" s="69" t="str">
        <f>IF(Main[[#This Row],[Tech Start Date]]&lt;1/1/1990,"",IF(Main[[#This Row],[Class]]="C",WORKDAY(Main[[#This Row],[Tech Start Date]],19),IF(Main[[#This Row],[Class]]="B", WORKDAY(Main[[#This Row],[Tech Start Date]],12),IF(Main[[#This Row],[Class]]="A",WORKDAY(Main[[#This Row],[Tech Start Date]],4),""))))</f>
        <v/>
      </c>
      <c r="O568" s="69" t="str">
        <f>IF(Main[[#This Row],[Tech Start Date]]&lt;1/1/1990,"",IF(Main[[#This Row],[Class]]="C",WORKDAY(Main[[#This Row],[Tech Start Date]],23),IF(Main[[#This Row],[Class]]="B", WORKDAY(Main[[#This Row],[Tech Start Date]],15),IF(Main[[#This Row],[Class]]="A",WORKDAY(Main[[#This Row],[Tech Start Date]],5),""))))</f>
        <v/>
      </c>
      <c r="P568" s="69" t="str">
        <f>IF(Main[[#This Row],[Tech Start Date]]&lt;1/1/1990,"",IF(Main[[#This Row],[Class]]="C",WORKDAY(Main[[#This Row],[Tech Start Date]],28),IF(Main[[#This Row],[Class]]="B", WORKDAY(Main[[#This Row],[Tech Start Date]],19),IF(Main[[#This Row],[Class]]="A",WORKDAY(Main[[#This Row],[Tech Start Date]],9),""))))</f>
        <v/>
      </c>
      <c r="Q568" s="67"/>
      <c r="R568" s="67"/>
      <c r="S568" s="65" t="s">
        <v>6</v>
      </c>
      <c r="T568" s="70" t="s">
        <v>4</v>
      </c>
      <c r="U568" s="65" t="s">
        <v>7</v>
      </c>
      <c r="V568" s="65" t="s">
        <v>1917</v>
      </c>
      <c r="W568" s="65" t="s">
        <v>1921</v>
      </c>
      <c r="X568" s="65" t="s">
        <v>306</v>
      </c>
      <c r="Y568" s="65" t="s">
        <v>4</v>
      </c>
      <c r="Z568" s="65" t="s">
        <v>4</v>
      </c>
      <c r="AA568" s="65" t="s">
        <v>4</v>
      </c>
    </row>
    <row r="569" spans="1:27" ht="17.45" customHeight="1">
      <c r="A569" s="131" t="str">
        <f>IF(priority(Main[[#This Row],[Comments]])&lt;&gt;0, priority(Main[[#This Row],[Comments]]),"")</f>
        <v/>
      </c>
      <c r="B569" s="99" t="s">
        <v>3336</v>
      </c>
      <c r="C569" s="65" t="s">
        <v>4</v>
      </c>
      <c r="D569" s="66" t="s">
        <v>3337</v>
      </c>
      <c r="E569" s="67">
        <v>40939.634004629632</v>
      </c>
      <c r="F569" s="67"/>
      <c r="G569" s="64" t="str">
        <f>IF(stdProdLT(Main[[#This Row],[Comments]])=0.1,"N/A",IF(stdProdLT(Main[[#This Row],[Comments]])=0,"",stdProdLT(Main[[#This Row],[Comments]])))</f>
        <v/>
      </c>
      <c r="H569" s="68" t="str">
        <f>IF(AND(Main[[#This Row],[In Stock Date]]&lt;&gt;"",Main[[#This Row],[Revised Due Date]]&lt;&gt;""),Main[[#This Row],[In Stock Date]]-Main[[#This Row],[Revised Due Date]],"")</f>
        <v/>
      </c>
      <c r="I569" s="65" t="s">
        <v>4</v>
      </c>
      <c r="J569" s="65" t="s">
        <v>4</v>
      </c>
      <c r="K569" s="71" t="s">
        <v>4</v>
      </c>
      <c r="L569" s="67"/>
      <c r="M569" s="69" t="str">
        <f>IF(Main[[#This Row],[Tech Start Date]]&lt;1/1/1990,"",IF(Main[[#This Row],[Class]]="C",WORKDAY(Main[[#This Row],[Tech Start Date]],9),IF(Main[[#This Row],[Class]]="B", WORKDAY(Main[[#This Row],[Tech Start Date]],6),IF(Main[[#This Row],[Class]]="A",WORKDAY(Main[[#This Row],[Tech Start Date]],2),""))))</f>
        <v/>
      </c>
      <c r="N569" s="69" t="str">
        <f>IF(Main[[#This Row],[Tech Start Date]]&lt;1/1/1990,"",IF(Main[[#This Row],[Class]]="C",WORKDAY(Main[[#This Row],[Tech Start Date]],19),IF(Main[[#This Row],[Class]]="B", WORKDAY(Main[[#This Row],[Tech Start Date]],12),IF(Main[[#This Row],[Class]]="A",WORKDAY(Main[[#This Row],[Tech Start Date]],4),""))))</f>
        <v/>
      </c>
      <c r="O569" s="69" t="str">
        <f>IF(Main[[#This Row],[Tech Start Date]]&lt;1/1/1990,"",IF(Main[[#This Row],[Class]]="C",WORKDAY(Main[[#This Row],[Tech Start Date]],23),IF(Main[[#This Row],[Class]]="B", WORKDAY(Main[[#This Row],[Tech Start Date]],15),IF(Main[[#This Row],[Class]]="A",WORKDAY(Main[[#This Row],[Tech Start Date]],5),""))))</f>
        <v/>
      </c>
      <c r="P569" s="69" t="str">
        <f>IF(Main[[#This Row],[Tech Start Date]]&lt;1/1/1990,"",IF(Main[[#This Row],[Class]]="C",WORKDAY(Main[[#This Row],[Tech Start Date]],28),IF(Main[[#This Row],[Class]]="B", WORKDAY(Main[[#This Row],[Tech Start Date]],19),IF(Main[[#This Row],[Class]]="A",WORKDAY(Main[[#This Row],[Tech Start Date]],9),""))))</f>
        <v/>
      </c>
      <c r="Q569" s="67"/>
      <c r="R569" s="67"/>
      <c r="S569" s="65" t="s">
        <v>6</v>
      </c>
      <c r="T569" s="70" t="s">
        <v>4</v>
      </c>
      <c r="U569" s="65" t="s">
        <v>7</v>
      </c>
      <c r="V569" s="65" t="s">
        <v>1917</v>
      </c>
      <c r="W569" s="65" t="s">
        <v>1919</v>
      </c>
      <c r="X569" s="65" t="s">
        <v>306</v>
      </c>
      <c r="Y569" s="65" t="s">
        <v>4</v>
      </c>
      <c r="Z569" s="65" t="s">
        <v>879</v>
      </c>
      <c r="AA569" s="65" t="s">
        <v>4</v>
      </c>
    </row>
    <row r="570" spans="1:27" ht="17.45" customHeight="1">
      <c r="A570" s="131" t="str">
        <f>IF(priority(Main[[#This Row],[Comments]])&lt;&gt;0, priority(Main[[#This Row],[Comments]]),"")</f>
        <v/>
      </c>
      <c r="B570" s="99" t="s">
        <v>1386</v>
      </c>
      <c r="C570" s="65" t="s">
        <v>31</v>
      </c>
      <c r="D570" s="66" t="s">
        <v>473</v>
      </c>
      <c r="E570" s="67"/>
      <c r="F570" s="67"/>
      <c r="G570" s="64" t="str">
        <f>IF(stdProdLT(Main[[#This Row],[Comments]])=0.1,"N/A",IF(stdProdLT(Main[[#This Row],[Comments]])=0,"",stdProdLT(Main[[#This Row],[Comments]])))</f>
        <v/>
      </c>
      <c r="H570" s="68" t="str">
        <f>IF(AND(Main[[#This Row],[In Stock Date]]&lt;&gt;"",Main[[#This Row],[Revised Due Date]]&lt;&gt;""),Main[[#This Row],[In Stock Date]]-Main[[#This Row],[Revised Due Date]],"")</f>
        <v/>
      </c>
      <c r="I570" s="65" t="s">
        <v>4</v>
      </c>
      <c r="J570" s="65" t="s">
        <v>4</v>
      </c>
      <c r="K570" s="65" t="s">
        <v>4</v>
      </c>
      <c r="L570" s="67"/>
      <c r="M570" s="69" t="str">
        <f>IF(Main[[#This Row],[Tech Start Date]]&lt;1/1/1990,"",IF(Main[[#This Row],[Class]]="C",WORKDAY(Main[[#This Row],[Tech Start Date]],9),IF(Main[[#This Row],[Class]]="B", WORKDAY(Main[[#This Row],[Tech Start Date]],6),IF(Main[[#This Row],[Class]]="A",WORKDAY(Main[[#This Row],[Tech Start Date]],2),""))))</f>
        <v/>
      </c>
      <c r="N570" s="69" t="str">
        <f>IF(Main[[#This Row],[Tech Start Date]]&lt;1/1/1990,"",IF(Main[[#This Row],[Class]]="C",WORKDAY(Main[[#This Row],[Tech Start Date]],19),IF(Main[[#This Row],[Class]]="B", WORKDAY(Main[[#This Row],[Tech Start Date]],12),IF(Main[[#This Row],[Class]]="A",WORKDAY(Main[[#This Row],[Tech Start Date]],4),""))))</f>
        <v/>
      </c>
      <c r="O570" s="69" t="str">
        <f>IF(Main[[#This Row],[Tech Start Date]]&lt;1/1/1990,"",IF(Main[[#This Row],[Class]]="C",WORKDAY(Main[[#This Row],[Tech Start Date]],23),IF(Main[[#This Row],[Class]]="B", WORKDAY(Main[[#This Row],[Tech Start Date]],15),IF(Main[[#This Row],[Class]]="A",WORKDAY(Main[[#This Row],[Tech Start Date]],5),""))))</f>
        <v/>
      </c>
      <c r="P570" s="69" t="str">
        <f>IF(Main[[#This Row],[Tech Start Date]]&lt;1/1/1990,"",IF(Main[[#This Row],[Class]]="C",WORKDAY(Main[[#This Row],[Tech Start Date]],28),IF(Main[[#This Row],[Class]]="B", WORKDAY(Main[[#This Row],[Tech Start Date]],19),IF(Main[[#This Row],[Class]]="A",WORKDAY(Main[[#This Row],[Tech Start Date]],9),""))))</f>
        <v/>
      </c>
      <c r="Q570" s="67">
        <v>40318</v>
      </c>
      <c r="R570" s="67"/>
      <c r="S570" s="65" t="s">
        <v>11</v>
      </c>
      <c r="T570" s="70" t="s">
        <v>4</v>
      </c>
      <c r="U570" s="65" t="s">
        <v>14</v>
      </c>
      <c r="V570" s="65" t="s">
        <v>1920</v>
      </c>
      <c r="W570" s="65" t="s">
        <v>1919</v>
      </c>
      <c r="X570" s="65" t="s">
        <v>2836</v>
      </c>
      <c r="Y570" s="65" t="s">
        <v>4</v>
      </c>
      <c r="Z570" s="65" t="s">
        <v>4</v>
      </c>
      <c r="AA570" s="65" t="s">
        <v>2836</v>
      </c>
    </row>
    <row r="571" spans="1:27" ht="17.45" customHeight="1">
      <c r="A571" s="131" t="str">
        <f>IF(priority(Main[[#This Row],[Comments]])&lt;&gt;0, priority(Main[[#This Row],[Comments]]),"")</f>
        <v/>
      </c>
      <c r="B571" s="99" t="s">
        <v>1388</v>
      </c>
      <c r="C571" s="65" t="s">
        <v>4</v>
      </c>
      <c r="D571" s="66" t="s">
        <v>474</v>
      </c>
      <c r="E571" s="67">
        <v>40679.254976851851</v>
      </c>
      <c r="F571" s="67"/>
      <c r="G571" s="64" t="str">
        <f>IF(stdProdLT(Main[[#This Row],[Comments]])=0.1,"N/A",IF(stdProdLT(Main[[#This Row],[Comments]])=0,"",stdProdLT(Main[[#This Row],[Comments]])))</f>
        <v/>
      </c>
      <c r="H571" s="68" t="str">
        <f>IF(AND(Main[[#This Row],[In Stock Date]]&lt;&gt;"",Main[[#This Row],[Revised Due Date]]&lt;&gt;""),Main[[#This Row],[In Stock Date]]-Main[[#This Row],[Revised Due Date]],"")</f>
        <v/>
      </c>
      <c r="I571" s="65" t="s">
        <v>4</v>
      </c>
      <c r="J571" s="65" t="s">
        <v>4</v>
      </c>
      <c r="K571" s="65" t="s">
        <v>4</v>
      </c>
      <c r="L571" s="67"/>
      <c r="M571" s="69" t="str">
        <f>IF(Main[[#This Row],[Tech Start Date]]&lt;1/1/1990,"",IF(Main[[#This Row],[Class]]="C",WORKDAY(Main[[#This Row],[Tech Start Date]],9),IF(Main[[#This Row],[Class]]="B", WORKDAY(Main[[#This Row],[Tech Start Date]],6),IF(Main[[#This Row],[Class]]="A",WORKDAY(Main[[#This Row],[Tech Start Date]],2),""))))</f>
        <v/>
      </c>
      <c r="N571" s="69" t="str">
        <f>IF(Main[[#This Row],[Tech Start Date]]&lt;1/1/1990,"",IF(Main[[#This Row],[Class]]="C",WORKDAY(Main[[#This Row],[Tech Start Date]],19),IF(Main[[#This Row],[Class]]="B", WORKDAY(Main[[#This Row],[Tech Start Date]],12),IF(Main[[#This Row],[Class]]="A",WORKDAY(Main[[#This Row],[Tech Start Date]],4),""))))</f>
        <v/>
      </c>
      <c r="O571" s="69" t="str">
        <f>IF(Main[[#This Row],[Tech Start Date]]&lt;1/1/1990,"",IF(Main[[#This Row],[Class]]="C",WORKDAY(Main[[#This Row],[Tech Start Date]],23),IF(Main[[#This Row],[Class]]="B", WORKDAY(Main[[#This Row],[Tech Start Date]],15),IF(Main[[#This Row],[Class]]="A",WORKDAY(Main[[#This Row],[Tech Start Date]],5),""))))</f>
        <v/>
      </c>
      <c r="P571" s="69" t="str">
        <f>IF(Main[[#This Row],[Tech Start Date]]&lt;1/1/1990,"",IF(Main[[#This Row],[Class]]="C",WORKDAY(Main[[#This Row],[Tech Start Date]],28),IF(Main[[#This Row],[Class]]="B", WORKDAY(Main[[#This Row],[Tech Start Date]],19),IF(Main[[#This Row],[Class]]="A",WORKDAY(Main[[#This Row],[Tech Start Date]],9),""))))</f>
        <v/>
      </c>
      <c r="Q571" s="67">
        <v>40724</v>
      </c>
      <c r="R571" s="67"/>
      <c r="S571" s="65" t="s">
        <v>6</v>
      </c>
      <c r="T571" s="70" t="s">
        <v>4</v>
      </c>
      <c r="U571" s="65" t="s">
        <v>7</v>
      </c>
      <c r="V571" s="65" t="s">
        <v>1917</v>
      </c>
      <c r="W571" s="65" t="s">
        <v>4</v>
      </c>
      <c r="X571" s="65" t="s">
        <v>2828</v>
      </c>
      <c r="Y571" s="65" t="s">
        <v>2944</v>
      </c>
      <c r="Z571" s="65" t="s">
        <v>4</v>
      </c>
      <c r="AA571" s="65" t="s">
        <v>2828</v>
      </c>
    </row>
    <row r="572" spans="1:27" ht="17.45" customHeight="1">
      <c r="A572" s="131" t="str">
        <f>IF(priority(Main[[#This Row],[Comments]])&lt;&gt;0, priority(Main[[#This Row],[Comments]]),"")</f>
        <v/>
      </c>
      <c r="B572" s="99" t="s">
        <v>1389</v>
      </c>
      <c r="C572" s="65" t="s">
        <v>4</v>
      </c>
      <c r="D572" s="66" t="s">
        <v>475</v>
      </c>
      <c r="E572" s="67"/>
      <c r="F572" s="67"/>
      <c r="G572" s="64" t="str">
        <f>IF(stdProdLT(Main[[#This Row],[Comments]])=0.1,"N/A",IF(stdProdLT(Main[[#This Row],[Comments]])=0,"",stdProdLT(Main[[#This Row],[Comments]])))</f>
        <v/>
      </c>
      <c r="H572" s="68" t="str">
        <f>IF(AND(Main[[#This Row],[In Stock Date]]&lt;&gt;"",Main[[#This Row],[Revised Due Date]]&lt;&gt;""),Main[[#This Row],[In Stock Date]]-Main[[#This Row],[Revised Due Date]],"")</f>
        <v/>
      </c>
      <c r="I572" s="65" t="s">
        <v>129</v>
      </c>
      <c r="J572" s="65" t="s">
        <v>4</v>
      </c>
      <c r="K572" s="65" t="s">
        <v>4</v>
      </c>
      <c r="L572" s="67"/>
      <c r="M572" s="69" t="str">
        <f>IF(Main[[#This Row],[Tech Start Date]]&lt;1/1/1990,"",IF(Main[[#This Row],[Class]]="C",WORKDAY(Main[[#This Row],[Tech Start Date]],9),IF(Main[[#This Row],[Class]]="B", WORKDAY(Main[[#This Row],[Tech Start Date]],6),IF(Main[[#This Row],[Class]]="A",WORKDAY(Main[[#This Row],[Tech Start Date]],2),""))))</f>
        <v/>
      </c>
      <c r="N572" s="69" t="str">
        <f>IF(Main[[#This Row],[Tech Start Date]]&lt;1/1/1990,"",IF(Main[[#This Row],[Class]]="C",WORKDAY(Main[[#This Row],[Tech Start Date]],19),IF(Main[[#This Row],[Class]]="B", WORKDAY(Main[[#This Row],[Tech Start Date]],12),IF(Main[[#This Row],[Class]]="A",WORKDAY(Main[[#This Row],[Tech Start Date]],4),""))))</f>
        <v/>
      </c>
      <c r="O572" s="69" t="str">
        <f>IF(Main[[#This Row],[Tech Start Date]]&lt;1/1/1990,"",IF(Main[[#This Row],[Class]]="C",WORKDAY(Main[[#This Row],[Tech Start Date]],23),IF(Main[[#This Row],[Class]]="B", WORKDAY(Main[[#This Row],[Tech Start Date]],15),IF(Main[[#This Row],[Class]]="A",WORKDAY(Main[[#This Row],[Tech Start Date]],5),""))))</f>
        <v/>
      </c>
      <c r="P572" s="69" t="str">
        <f>IF(Main[[#This Row],[Tech Start Date]]&lt;1/1/1990,"",IF(Main[[#This Row],[Class]]="C",WORKDAY(Main[[#This Row],[Tech Start Date]],28),IF(Main[[#This Row],[Class]]="B", WORKDAY(Main[[#This Row],[Tech Start Date]],19),IF(Main[[#This Row],[Class]]="A",WORKDAY(Main[[#This Row],[Tech Start Date]],9),""))))</f>
        <v/>
      </c>
      <c r="Q572" s="67">
        <v>40359</v>
      </c>
      <c r="R572" s="67"/>
      <c r="S572" s="65" t="s">
        <v>6</v>
      </c>
      <c r="T572" s="70" t="s">
        <v>4</v>
      </c>
      <c r="U572" s="65" t="s">
        <v>14</v>
      </c>
      <c r="V572" s="65" t="s">
        <v>1917</v>
      </c>
      <c r="W572" s="65" t="s">
        <v>1922</v>
      </c>
      <c r="X572" s="65" t="s">
        <v>102</v>
      </c>
      <c r="Y572" s="65" t="s">
        <v>3045</v>
      </c>
      <c r="Z572" s="65" t="s">
        <v>4</v>
      </c>
      <c r="AA572" s="65" t="s">
        <v>2879</v>
      </c>
    </row>
    <row r="573" spans="1:27" ht="17.45" customHeight="1">
      <c r="A573" s="131" t="str">
        <f>IF(priority(Main[[#This Row],[Comments]])&lt;&gt;0, priority(Main[[#This Row],[Comments]]),"")</f>
        <v/>
      </c>
      <c r="B573" s="99" t="s">
        <v>1390</v>
      </c>
      <c r="C573" s="65" t="s">
        <v>4</v>
      </c>
      <c r="D573" s="66" t="s">
        <v>476</v>
      </c>
      <c r="E573" s="67"/>
      <c r="F573" s="67"/>
      <c r="G573" s="64" t="str">
        <f>IF(stdProdLT(Main[[#This Row],[Comments]])=0.1,"N/A",IF(stdProdLT(Main[[#This Row],[Comments]])=0,"",stdProdLT(Main[[#This Row],[Comments]])))</f>
        <v/>
      </c>
      <c r="H573" s="68" t="str">
        <f>IF(AND(Main[[#This Row],[In Stock Date]]&lt;&gt;"",Main[[#This Row],[Revised Due Date]]&lt;&gt;""),Main[[#This Row],[In Stock Date]]-Main[[#This Row],[Revised Due Date]],"")</f>
        <v/>
      </c>
      <c r="I573" s="65" t="s">
        <v>4</v>
      </c>
      <c r="J573" s="65" t="s">
        <v>4</v>
      </c>
      <c r="K573" s="65" t="s">
        <v>4</v>
      </c>
      <c r="L573" s="67"/>
      <c r="M573" s="69" t="str">
        <f>IF(Main[[#This Row],[Tech Start Date]]&lt;1/1/1990,"",IF(Main[[#This Row],[Class]]="C",WORKDAY(Main[[#This Row],[Tech Start Date]],9),IF(Main[[#This Row],[Class]]="B", WORKDAY(Main[[#This Row],[Tech Start Date]],6),IF(Main[[#This Row],[Class]]="A",WORKDAY(Main[[#This Row],[Tech Start Date]],2),""))))</f>
        <v/>
      </c>
      <c r="N573" s="69" t="str">
        <f>IF(Main[[#This Row],[Tech Start Date]]&lt;1/1/1990,"",IF(Main[[#This Row],[Class]]="C",WORKDAY(Main[[#This Row],[Tech Start Date]],19),IF(Main[[#This Row],[Class]]="B", WORKDAY(Main[[#This Row],[Tech Start Date]],12),IF(Main[[#This Row],[Class]]="A",WORKDAY(Main[[#This Row],[Tech Start Date]],4),""))))</f>
        <v/>
      </c>
      <c r="O573" s="69" t="str">
        <f>IF(Main[[#This Row],[Tech Start Date]]&lt;1/1/1990,"",IF(Main[[#This Row],[Class]]="C",WORKDAY(Main[[#This Row],[Tech Start Date]],23),IF(Main[[#This Row],[Class]]="B", WORKDAY(Main[[#This Row],[Tech Start Date]],15),IF(Main[[#This Row],[Class]]="A",WORKDAY(Main[[#This Row],[Tech Start Date]],5),""))))</f>
        <v/>
      </c>
      <c r="P573" s="69" t="str">
        <f>IF(Main[[#This Row],[Tech Start Date]]&lt;1/1/1990,"",IF(Main[[#This Row],[Class]]="C",WORKDAY(Main[[#This Row],[Tech Start Date]],28),IF(Main[[#This Row],[Class]]="B", WORKDAY(Main[[#This Row],[Tech Start Date]],19),IF(Main[[#This Row],[Class]]="A",WORKDAY(Main[[#This Row],[Tech Start Date]],9),""))))</f>
        <v/>
      </c>
      <c r="Q573" s="67">
        <v>40151</v>
      </c>
      <c r="R573" s="67"/>
      <c r="S573" s="65" t="s">
        <v>6</v>
      </c>
      <c r="T573" s="70" t="s">
        <v>4</v>
      </c>
      <c r="U573" s="65" t="s">
        <v>12</v>
      </c>
      <c r="V573" s="65" t="s">
        <v>1917</v>
      </c>
      <c r="W573" s="65" t="s">
        <v>1919</v>
      </c>
      <c r="X573" s="65" t="s">
        <v>896</v>
      </c>
      <c r="Y573" s="65" t="s">
        <v>3046</v>
      </c>
      <c r="Z573" s="65" t="s">
        <v>4</v>
      </c>
      <c r="AA573" s="65" t="s">
        <v>896</v>
      </c>
    </row>
    <row r="574" spans="1:27" ht="17.45" customHeight="1">
      <c r="A574" s="131" t="str">
        <f>IF(priority(Main[[#This Row],[Comments]])&lt;&gt;0, priority(Main[[#This Row],[Comments]]),"")</f>
        <v/>
      </c>
      <c r="B574" s="99" t="s">
        <v>2261</v>
      </c>
      <c r="C574" s="65" t="s">
        <v>95</v>
      </c>
      <c r="D574" s="66" t="s">
        <v>2262</v>
      </c>
      <c r="E574" s="67">
        <v>40806.589305555557</v>
      </c>
      <c r="F574" s="67"/>
      <c r="G574" s="64" t="str">
        <f>IF(stdProdLT(Main[[#This Row],[Comments]])=0.1,"N/A",IF(stdProdLT(Main[[#This Row],[Comments]])=0,"",stdProdLT(Main[[#This Row],[Comments]])))</f>
        <v/>
      </c>
      <c r="H574" s="68" t="str">
        <f>IF(AND(Main[[#This Row],[In Stock Date]]&lt;&gt;"",Main[[#This Row],[Revised Due Date]]&lt;&gt;""),Main[[#This Row],[In Stock Date]]-Main[[#This Row],[Revised Due Date]],"")</f>
        <v/>
      </c>
      <c r="I574" s="65" t="s">
        <v>4</v>
      </c>
      <c r="J574" s="65" t="s">
        <v>4</v>
      </c>
      <c r="K574" s="65" t="s">
        <v>4</v>
      </c>
      <c r="L574" s="67"/>
      <c r="M574" s="69" t="str">
        <f>IF(Main[[#This Row],[Tech Start Date]]&lt;1/1/1990,"",IF(Main[[#This Row],[Class]]="C",WORKDAY(Main[[#This Row],[Tech Start Date]],9),IF(Main[[#This Row],[Class]]="B", WORKDAY(Main[[#This Row],[Tech Start Date]],6),IF(Main[[#This Row],[Class]]="A",WORKDAY(Main[[#This Row],[Tech Start Date]],2),""))))</f>
        <v/>
      </c>
      <c r="N574" s="69" t="str">
        <f>IF(Main[[#This Row],[Tech Start Date]]&lt;1/1/1990,"",IF(Main[[#This Row],[Class]]="C",WORKDAY(Main[[#This Row],[Tech Start Date]],19),IF(Main[[#This Row],[Class]]="B", WORKDAY(Main[[#This Row],[Tech Start Date]],12),IF(Main[[#This Row],[Class]]="A",WORKDAY(Main[[#This Row],[Tech Start Date]],4),""))))</f>
        <v/>
      </c>
      <c r="O574" s="69" t="str">
        <f>IF(Main[[#This Row],[Tech Start Date]]&lt;1/1/1990,"",IF(Main[[#This Row],[Class]]="C",WORKDAY(Main[[#This Row],[Tech Start Date]],23),IF(Main[[#This Row],[Class]]="B", WORKDAY(Main[[#This Row],[Tech Start Date]],15),IF(Main[[#This Row],[Class]]="A",WORKDAY(Main[[#This Row],[Tech Start Date]],5),""))))</f>
        <v/>
      </c>
      <c r="P574" s="69" t="str">
        <f>IF(Main[[#This Row],[Tech Start Date]]&lt;1/1/1990,"",IF(Main[[#This Row],[Class]]="C",WORKDAY(Main[[#This Row],[Tech Start Date]],28),IF(Main[[#This Row],[Class]]="B", WORKDAY(Main[[#This Row],[Tech Start Date]],19),IF(Main[[#This Row],[Class]]="A",WORKDAY(Main[[#This Row],[Tech Start Date]],9),""))))</f>
        <v/>
      </c>
      <c r="Q574" s="67">
        <v>40823</v>
      </c>
      <c r="R574" s="67"/>
      <c r="S574" s="65" t="s">
        <v>17</v>
      </c>
      <c r="T574" s="70" t="s">
        <v>4</v>
      </c>
      <c r="U574" s="65" t="s">
        <v>7</v>
      </c>
      <c r="V574" s="65" t="s">
        <v>1918</v>
      </c>
      <c r="W574" s="65" t="s">
        <v>1922</v>
      </c>
      <c r="X574" s="65" t="s">
        <v>554</v>
      </c>
      <c r="Y574" s="65" t="s">
        <v>2958</v>
      </c>
      <c r="Z574" s="65" t="s">
        <v>4</v>
      </c>
      <c r="AA574" s="65" t="s">
        <v>554</v>
      </c>
    </row>
    <row r="575" spans="1:27" ht="17.45" customHeight="1">
      <c r="A575" s="131" t="str">
        <f>IF(priority(Main[[#This Row],[Comments]])&lt;&gt;0, priority(Main[[#This Row],[Comments]]),"")</f>
        <v/>
      </c>
      <c r="B575" s="99" t="s">
        <v>2224</v>
      </c>
      <c r="C575" s="65" t="s">
        <v>4</v>
      </c>
      <c r="D575" s="66" t="s">
        <v>2225</v>
      </c>
      <c r="E575" s="67"/>
      <c r="F575" s="67"/>
      <c r="G575" s="64" t="str">
        <f>IF(stdProdLT(Main[[#This Row],[Comments]])=0.1,"N/A",IF(stdProdLT(Main[[#This Row],[Comments]])=0,"",stdProdLT(Main[[#This Row],[Comments]])))</f>
        <v/>
      </c>
      <c r="H575" s="68" t="str">
        <f>IF(AND(Main[[#This Row],[In Stock Date]]&lt;&gt;"",Main[[#This Row],[Revised Due Date]]&lt;&gt;""),Main[[#This Row],[In Stock Date]]-Main[[#This Row],[Revised Due Date]],"")</f>
        <v/>
      </c>
      <c r="I575" s="65" t="s">
        <v>4</v>
      </c>
      <c r="J575" s="65" t="s">
        <v>4</v>
      </c>
      <c r="K575" s="65" t="s">
        <v>4</v>
      </c>
      <c r="L575" s="67"/>
      <c r="M575" s="69" t="str">
        <f>IF(Main[[#This Row],[Tech Start Date]]&lt;1/1/1990,"",IF(Main[[#This Row],[Class]]="C",WORKDAY(Main[[#This Row],[Tech Start Date]],9),IF(Main[[#This Row],[Class]]="B", WORKDAY(Main[[#This Row],[Tech Start Date]],6),IF(Main[[#This Row],[Class]]="A",WORKDAY(Main[[#This Row],[Tech Start Date]],2),""))))</f>
        <v/>
      </c>
      <c r="N575" s="69" t="str">
        <f>IF(Main[[#This Row],[Tech Start Date]]&lt;1/1/1990,"",IF(Main[[#This Row],[Class]]="C",WORKDAY(Main[[#This Row],[Tech Start Date]],19),IF(Main[[#This Row],[Class]]="B", WORKDAY(Main[[#This Row],[Tech Start Date]],12),IF(Main[[#This Row],[Class]]="A",WORKDAY(Main[[#This Row],[Tech Start Date]],4),""))))</f>
        <v/>
      </c>
      <c r="O575" s="69" t="str">
        <f>IF(Main[[#This Row],[Tech Start Date]]&lt;1/1/1990,"",IF(Main[[#This Row],[Class]]="C",WORKDAY(Main[[#This Row],[Tech Start Date]],23),IF(Main[[#This Row],[Class]]="B", WORKDAY(Main[[#This Row],[Tech Start Date]],15),IF(Main[[#This Row],[Class]]="A",WORKDAY(Main[[#This Row],[Tech Start Date]],5),""))))</f>
        <v/>
      </c>
      <c r="P575" s="69" t="str">
        <f>IF(Main[[#This Row],[Tech Start Date]]&lt;1/1/1990,"",IF(Main[[#This Row],[Class]]="C",WORKDAY(Main[[#This Row],[Tech Start Date]],28),IF(Main[[#This Row],[Class]]="B", WORKDAY(Main[[#This Row],[Tech Start Date]],19),IF(Main[[#This Row],[Class]]="A",WORKDAY(Main[[#This Row],[Tech Start Date]],9),""))))</f>
        <v/>
      </c>
      <c r="Q575" s="67"/>
      <c r="R575" s="67"/>
      <c r="S575" s="65" t="s">
        <v>49</v>
      </c>
      <c r="T575" s="70" t="s">
        <v>4</v>
      </c>
      <c r="U575" s="65" t="s">
        <v>14</v>
      </c>
      <c r="V575" s="65" t="s">
        <v>1918</v>
      </c>
      <c r="W575" s="65" t="s">
        <v>1921</v>
      </c>
      <c r="X575" s="65" t="s">
        <v>306</v>
      </c>
      <c r="Y575" s="65" t="s">
        <v>4</v>
      </c>
      <c r="Z575" s="65" t="s">
        <v>4</v>
      </c>
      <c r="AA575" s="65" t="s">
        <v>4</v>
      </c>
    </row>
    <row r="576" spans="1:27" ht="17.45" customHeight="1">
      <c r="A576" s="131" t="str">
        <f>IF(priority(Main[[#This Row],[Comments]])&lt;&gt;0, priority(Main[[#This Row],[Comments]]),"")</f>
        <v/>
      </c>
      <c r="B576" s="99" t="s">
        <v>1353</v>
      </c>
      <c r="C576" s="65" t="s">
        <v>4</v>
      </c>
      <c r="D576" s="66" t="s">
        <v>440</v>
      </c>
      <c r="E576" s="67">
        <v>40389.394756944443</v>
      </c>
      <c r="F576" s="67"/>
      <c r="G576" s="64" t="str">
        <f>IF(stdProdLT(Main[[#This Row],[Comments]])=0.1,"N/A",IF(stdProdLT(Main[[#This Row],[Comments]])=0,"",stdProdLT(Main[[#This Row],[Comments]])))</f>
        <v/>
      </c>
      <c r="H576" s="68" t="str">
        <f>IF(AND(Main[[#This Row],[In Stock Date]]&lt;&gt;"",Main[[#This Row],[Revised Due Date]]&lt;&gt;""),Main[[#This Row],[In Stock Date]]-Main[[#This Row],[Revised Due Date]],"")</f>
        <v/>
      </c>
      <c r="I576" s="65" t="s">
        <v>4</v>
      </c>
      <c r="J576" s="65" t="s">
        <v>28</v>
      </c>
      <c r="K576" s="65" t="s">
        <v>1929</v>
      </c>
      <c r="L576" s="67"/>
      <c r="M576" s="69" t="str">
        <f>IF(Main[[#This Row],[Tech Start Date]]&lt;1/1/1990,"",IF(Main[[#This Row],[Class]]="C",WORKDAY(Main[[#This Row],[Tech Start Date]],9),IF(Main[[#This Row],[Class]]="B", WORKDAY(Main[[#This Row],[Tech Start Date]],6),IF(Main[[#This Row],[Class]]="A",WORKDAY(Main[[#This Row],[Tech Start Date]],2),""))))</f>
        <v/>
      </c>
      <c r="N576" s="69" t="str">
        <f>IF(Main[[#This Row],[Tech Start Date]]&lt;1/1/1990,"",IF(Main[[#This Row],[Class]]="C",WORKDAY(Main[[#This Row],[Tech Start Date]],19),IF(Main[[#This Row],[Class]]="B", WORKDAY(Main[[#This Row],[Tech Start Date]],12),IF(Main[[#This Row],[Class]]="A",WORKDAY(Main[[#This Row],[Tech Start Date]],4),""))))</f>
        <v/>
      </c>
      <c r="O576" s="69" t="str">
        <f>IF(Main[[#This Row],[Tech Start Date]]&lt;1/1/1990,"",IF(Main[[#This Row],[Class]]="C",WORKDAY(Main[[#This Row],[Tech Start Date]],23),IF(Main[[#This Row],[Class]]="B", WORKDAY(Main[[#This Row],[Tech Start Date]],15),IF(Main[[#This Row],[Class]]="A",WORKDAY(Main[[#This Row],[Tech Start Date]],5),""))))</f>
        <v/>
      </c>
      <c r="P576" s="69" t="str">
        <f>IF(Main[[#This Row],[Tech Start Date]]&lt;1/1/1990,"",IF(Main[[#This Row],[Class]]="C",WORKDAY(Main[[#This Row],[Tech Start Date]],28),IF(Main[[#This Row],[Class]]="B", WORKDAY(Main[[#This Row],[Tech Start Date]],19),IF(Main[[#This Row],[Class]]="A",WORKDAY(Main[[#This Row],[Tech Start Date]],9),""))))</f>
        <v/>
      </c>
      <c r="Q576" s="67">
        <v>40451</v>
      </c>
      <c r="R576" s="67"/>
      <c r="S576" s="65" t="s">
        <v>17</v>
      </c>
      <c r="T576" s="70" t="s">
        <v>4</v>
      </c>
      <c r="U576" s="65" t="s">
        <v>7</v>
      </c>
      <c r="V576" s="65" t="s">
        <v>1917</v>
      </c>
      <c r="W576" s="65" t="s">
        <v>1922</v>
      </c>
      <c r="X576" s="65" t="s">
        <v>129</v>
      </c>
      <c r="Y576" s="65" t="s">
        <v>2965</v>
      </c>
      <c r="Z576" s="65" t="s">
        <v>2834</v>
      </c>
      <c r="AA576" s="65" t="s">
        <v>2834</v>
      </c>
    </row>
    <row r="577" spans="1:27" ht="17.45" customHeight="1">
      <c r="A577" s="131" t="str">
        <f>IF(priority(Main[[#This Row],[Comments]])&lt;&gt;0, priority(Main[[#This Row],[Comments]]),"")</f>
        <v/>
      </c>
      <c r="B577" s="99" t="s">
        <v>1392</v>
      </c>
      <c r="C577" s="65" t="s">
        <v>72</v>
      </c>
      <c r="D577" s="66" t="s">
        <v>477</v>
      </c>
      <c r="E577" s="67"/>
      <c r="F577" s="67">
        <v>40031</v>
      </c>
      <c r="G577" s="64" t="str">
        <f>IF(stdProdLT(Main[[#This Row],[Comments]])=0.1,"N/A",IF(stdProdLT(Main[[#This Row],[Comments]])=0,"",stdProdLT(Main[[#This Row],[Comments]])))</f>
        <v/>
      </c>
      <c r="H577" s="68" t="str">
        <f>IF(AND(Main[[#This Row],[In Stock Date]]&lt;&gt;"",Main[[#This Row],[Revised Due Date]]&lt;&gt;""),Main[[#This Row],[In Stock Date]]-Main[[#This Row],[Revised Due Date]],"")</f>
        <v/>
      </c>
      <c r="I577" s="65" t="s">
        <v>4</v>
      </c>
      <c r="J577" s="65" t="s">
        <v>4</v>
      </c>
      <c r="K577" s="71" t="s">
        <v>4</v>
      </c>
      <c r="L577" s="67"/>
      <c r="M577" s="69" t="str">
        <f>IF(Main[[#This Row],[Tech Start Date]]&lt;1/1/1990,"",IF(Main[[#This Row],[Class]]="C",WORKDAY(Main[[#This Row],[Tech Start Date]],9),IF(Main[[#This Row],[Class]]="B", WORKDAY(Main[[#This Row],[Tech Start Date]],6),IF(Main[[#This Row],[Class]]="A",WORKDAY(Main[[#This Row],[Tech Start Date]],2),""))))</f>
        <v/>
      </c>
      <c r="N577" s="69" t="str">
        <f>IF(Main[[#This Row],[Tech Start Date]]&lt;1/1/1990,"",IF(Main[[#This Row],[Class]]="C",WORKDAY(Main[[#This Row],[Tech Start Date]],19),IF(Main[[#This Row],[Class]]="B", WORKDAY(Main[[#This Row],[Tech Start Date]],12),IF(Main[[#This Row],[Class]]="A",WORKDAY(Main[[#This Row],[Tech Start Date]],4),""))))</f>
        <v/>
      </c>
      <c r="O577" s="69" t="str">
        <f>IF(Main[[#This Row],[Tech Start Date]]&lt;1/1/1990,"",IF(Main[[#This Row],[Class]]="C",WORKDAY(Main[[#This Row],[Tech Start Date]],23),IF(Main[[#This Row],[Class]]="B", WORKDAY(Main[[#This Row],[Tech Start Date]],15),IF(Main[[#This Row],[Class]]="A",WORKDAY(Main[[#This Row],[Tech Start Date]],5),""))))</f>
        <v/>
      </c>
      <c r="P577" s="69" t="str">
        <f>IF(Main[[#This Row],[Tech Start Date]]&lt;1/1/1990,"",IF(Main[[#This Row],[Class]]="C",WORKDAY(Main[[#This Row],[Tech Start Date]],28),IF(Main[[#This Row],[Class]]="B", WORKDAY(Main[[#This Row],[Tech Start Date]],19),IF(Main[[#This Row],[Class]]="A",WORKDAY(Main[[#This Row],[Tech Start Date]],9),""))))</f>
        <v/>
      </c>
      <c r="Q577" s="67">
        <v>39976</v>
      </c>
      <c r="R577" s="67"/>
      <c r="S577" s="65" t="s">
        <v>11</v>
      </c>
      <c r="T577" s="70" t="s">
        <v>4</v>
      </c>
      <c r="U577" s="65" t="s">
        <v>14</v>
      </c>
      <c r="V577" s="65" t="s">
        <v>1918</v>
      </c>
      <c r="W577" s="65" t="s">
        <v>1925</v>
      </c>
      <c r="X577" s="65" t="s">
        <v>2830</v>
      </c>
      <c r="Y577" s="65" t="s">
        <v>2949</v>
      </c>
      <c r="Z577" s="65" t="s">
        <v>4</v>
      </c>
      <c r="AA577" s="65" t="s">
        <v>2830</v>
      </c>
    </row>
    <row r="578" spans="1:27" ht="17.45" customHeight="1">
      <c r="A578" s="131" t="str">
        <f>IF(priority(Main[[#This Row],[Comments]])&lt;&gt;0, priority(Main[[#This Row],[Comments]]),"")</f>
        <v/>
      </c>
      <c r="B578" s="99" t="s">
        <v>1393</v>
      </c>
      <c r="C578" s="65" t="s">
        <v>83</v>
      </c>
      <c r="D578" s="66" t="s">
        <v>478</v>
      </c>
      <c r="E578" s="67"/>
      <c r="F578" s="67"/>
      <c r="G578" s="64" t="str">
        <f>IF(stdProdLT(Main[[#This Row],[Comments]])=0.1,"N/A",IF(stdProdLT(Main[[#This Row],[Comments]])=0,"",stdProdLT(Main[[#This Row],[Comments]])))</f>
        <v/>
      </c>
      <c r="H578" s="68" t="str">
        <f>IF(AND(Main[[#This Row],[In Stock Date]]&lt;&gt;"",Main[[#This Row],[Revised Due Date]]&lt;&gt;""),Main[[#This Row],[In Stock Date]]-Main[[#This Row],[Revised Due Date]],"")</f>
        <v/>
      </c>
      <c r="I578" s="65" t="s">
        <v>4</v>
      </c>
      <c r="J578" s="65" t="s">
        <v>4</v>
      </c>
      <c r="K578" s="65" t="s">
        <v>4</v>
      </c>
      <c r="L578" s="67"/>
      <c r="M578" s="69" t="str">
        <f>IF(Main[[#This Row],[Tech Start Date]]&lt;1/1/1990,"",IF(Main[[#This Row],[Class]]="C",WORKDAY(Main[[#This Row],[Tech Start Date]],9),IF(Main[[#This Row],[Class]]="B", WORKDAY(Main[[#This Row],[Tech Start Date]],6),IF(Main[[#This Row],[Class]]="A",WORKDAY(Main[[#This Row],[Tech Start Date]],2),""))))</f>
        <v/>
      </c>
      <c r="N578" s="69" t="str">
        <f>IF(Main[[#This Row],[Tech Start Date]]&lt;1/1/1990,"",IF(Main[[#This Row],[Class]]="C",WORKDAY(Main[[#This Row],[Tech Start Date]],19),IF(Main[[#This Row],[Class]]="B", WORKDAY(Main[[#This Row],[Tech Start Date]],12),IF(Main[[#This Row],[Class]]="A",WORKDAY(Main[[#This Row],[Tech Start Date]],4),""))))</f>
        <v/>
      </c>
      <c r="O578" s="69" t="str">
        <f>IF(Main[[#This Row],[Tech Start Date]]&lt;1/1/1990,"",IF(Main[[#This Row],[Class]]="C",WORKDAY(Main[[#This Row],[Tech Start Date]],23),IF(Main[[#This Row],[Class]]="B", WORKDAY(Main[[#This Row],[Tech Start Date]],15),IF(Main[[#This Row],[Class]]="A",WORKDAY(Main[[#This Row],[Tech Start Date]],5),""))))</f>
        <v/>
      </c>
      <c r="P578" s="69" t="str">
        <f>IF(Main[[#This Row],[Tech Start Date]]&lt;1/1/1990,"",IF(Main[[#This Row],[Class]]="C",WORKDAY(Main[[#This Row],[Tech Start Date]],28),IF(Main[[#This Row],[Class]]="B", WORKDAY(Main[[#This Row],[Tech Start Date]],19),IF(Main[[#This Row],[Class]]="A",WORKDAY(Main[[#This Row],[Tech Start Date]],9),""))))</f>
        <v/>
      </c>
      <c r="Q578" s="67">
        <v>40137</v>
      </c>
      <c r="R578" s="67"/>
      <c r="S578" s="65" t="s">
        <v>11</v>
      </c>
      <c r="T578" s="70" t="s">
        <v>4</v>
      </c>
      <c r="U578" s="65" t="s">
        <v>14</v>
      </c>
      <c r="V578" s="65" t="s">
        <v>1917</v>
      </c>
      <c r="W578" s="65" t="s">
        <v>1928</v>
      </c>
      <c r="X578" s="65" t="s">
        <v>2823</v>
      </c>
      <c r="Y578" s="65" t="s">
        <v>4</v>
      </c>
      <c r="Z578" s="65" t="s">
        <v>4</v>
      </c>
      <c r="AA578" s="65" t="s">
        <v>2823</v>
      </c>
    </row>
    <row r="579" spans="1:27" ht="17.45" customHeight="1">
      <c r="A579" s="131" t="str">
        <f>IF(priority(Main[[#This Row],[Comments]])&lt;&gt;0, priority(Main[[#This Row],[Comments]]),"")</f>
        <v/>
      </c>
      <c r="B579" s="99" t="s">
        <v>1394</v>
      </c>
      <c r="C579" s="65" t="s">
        <v>95</v>
      </c>
      <c r="D579" s="66" t="s">
        <v>479</v>
      </c>
      <c r="E579" s="67"/>
      <c r="F579" s="67">
        <v>40196</v>
      </c>
      <c r="G579" s="64" t="str">
        <f>IF(stdProdLT(Main[[#This Row],[Comments]])=0.1,"N/A",IF(stdProdLT(Main[[#This Row],[Comments]])=0,"",stdProdLT(Main[[#This Row],[Comments]])))</f>
        <v/>
      </c>
      <c r="H579" s="68" t="str">
        <f>IF(AND(Main[[#This Row],[In Stock Date]]&lt;&gt;"",Main[[#This Row],[Revised Due Date]]&lt;&gt;""),Main[[#This Row],[In Stock Date]]-Main[[#This Row],[Revised Due Date]],"")</f>
        <v/>
      </c>
      <c r="I579" s="65" t="s">
        <v>4</v>
      </c>
      <c r="J579" s="65" t="s">
        <v>4</v>
      </c>
      <c r="K579" s="65" t="s">
        <v>4</v>
      </c>
      <c r="L579" s="67"/>
      <c r="M579" s="69" t="str">
        <f>IF(Main[[#This Row],[Tech Start Date]]&lt;1/1/1990,"",IF(Main[[#This Row],[Class]]="C",WORKDAY(Main[[#This Row],[Tech Start Date]],9),IF(Main[[#This Row],[Class]]="B", WORKDAY(Main[[#This Row],[Tech Start Date]],6),IF(Main[[#This Row],[Class]]="A",WORKDAY(Main[[#This Row],[Tech Start Date]],2),""))))</f>
        <v/>
      </c>
      <c r="N579" s="69" t="str">
        <f>IF(Main[[#This Row],[Tech Start Date]]&lt;1/1/1990,"",IF(Main[[#This Row],[Class]]="C",WORKDAY(Main[[#This Row],[Tech Start Date]],19),IF(Main[[#This Row],[Class]]="B", WORKDAY(Main[[#This Row],[Tech Start Date]],12),IF(Main[[#This Row],[Class]]="A",WORKDAY(Main[[#This Row],[Tech Start Date]],4),""))))</f>
        <v/>
      </c>
      <c r="O579" s="69" t="str">
        <f>IF(Main[[#This Row],[Tech Start Date]]&lt;1/1/1990,"",IF(Main[[#This Row],[Class]]="C",WORKDAY(Main[[#This Row],[Tech Start Date]],23),IF(Main[[#This Row],[Class]]="B", WORKDAY(Main[[#This Row],[Tech Start Date]],15),IF(Main[[#This Row],[Class]]="A",WORKDAY(Main[[#This Row],[Tech Start Date]],5),""))))</f>
        <v/>
      </c>
      <c r="P579" s="69" t="str">
        <f>IF(Main[[#This Row],[Tech Start Date]]&lt;1/1/1990,"",IF(Main[[#This Row],[Class]]="C",WORKDAY(Main[[#This Row],[Tech Start Date]],28),IF(Main[[#This Row],[Class]]="B", WORKDAY(Main[[#This Row],[Tech Start Date]],19),IF(Main[[#This Row],[Class]]="A",WORKDAY(Main[[#This Row],[Tech Start Date]],9),""))))</f>
        <v/>
      </c>
      <c r="Q579" s="67">
        <v>40077</v>
      </c>
      <c r="R579" s="67"/>
      <c r="S579" s="65" t="s">
        <v>11</v>
      </c>
      <c r="T579" s="70" t="s">
        <v>4</v>
      </c>
      <c r="U579" s="65" t="s">
        <v>14</v>
      </c>
      <c r="V579" s="65" t="s">
        <v>1920</v>
      </c>
      <c r="W579" s="65" t="s">
        <v>1925</v>
      </c>
      <c r="X579" s="65" t="s">
        <v>2882</v>
      </c>
      <c r="Y579" s="65" t="s">
        <v>4</v>
      </c>
      <c r="Z579" s="65" t="s">
        <v>4</v>
      </c>
      <c r="AA579" s="65" t="s">
        <v>3418</v>
      </c>
    </row>
    <row r="580" spans="1:27" ht="17.45" customHeight="1">
      <c r="A580" s="131" t="str">
        <f>IF(priority(Main[[#This Row],[Comments]])&lt;&gt;0, priority(Main[[#This Row],[Comments]]),"")</f>
        <v/>
      </c>
      <c r="B580" s="99" t="s">
        <v>2721</v>
      </c>
      <c r="C580" s="65" t="s">
        <v>4</v>
      </c>
      <c r="D580" s="66" t="s">
        <v>2722</v>
      </c>
      <c r="E580" s="67">
        <v>40897.44736111111</v>
      </c>
      <c r="F580" s="67"/>
      <c r="G580" s="64" t="str">
        <f>IF(stdProdLT(Main[[#This Row],[Comments]])=0.1,"N/A",IF(stdProdLT(Main[[#This Row],[Comments]])=0,"",stdProdLT(Main[[#This Row],[Comments]])))</f>
        <v/>
      </c>
      <c r="H580" s="68" t="str">
        <f>IF(AND(Main[[#This Row],[In Stock Date]]&lt;&gt;"",Main[[#This Row],[Revised Due Date]]&lt;&gt;""),Main[[#This Row],[In Stock Date]]-Main[[#This Row],[Revised Due Date]],"")</f>
        <v/>
      </c>
      <c r="I580" s="65" t="s">
        <v>4</v>
      </c>
      <c r="J580" s="65" t="s">
        <v>4</v>
      </c>
      <c r="K580" s="65" t="s">
        <v>4</v>
      </c>
      <c r="L580" s="67"/>
      <c r="M580" s="69" t="str">
        <f>IF(Main[[#This Row],[Tech Start Date]]&lt;1/1/1990,"",IF(Main[[#This Row],[Class]]="C",WORKDAY(Main[[#This Row],[Tech Start Date]],9),IF(Main[[#This Row],[Class]]="B", WORKDAY(Main[[#This Row],[Tech Start Date]],6),IF(Main[[#This Row],[Class]]="A",WORKDAY(Main[[#This Row],[Tech Start Date]],2),""))))</f>
        <v/>
      </c>
      <c r="N580" s="69" t="str">
        <f>IF(Main[[#This Row],[Tech Start Date]]&lt;1/1/1990,"",IF(Main[[#This Row],[Class]]="C",WORKDAY(Main[[#This Row],[Tech Start Date]],19),IF(Main[[#This Row],[Class]]="B", WORKDAY(Main[[#This Row],[Tech Start Date]],12),IF(Main[[#This Row],[Class]]="A",WORKDAY(Main[[#This Row],[Tech Start Date]],4),""))))</f>
        <v/>
      </c>
      <c r="O580" s="69" t="str">
        <f>IF(Main[[#This Row],[Tech Start Date]]&lt;1/1/1990,"",IF(Main[[#This Row],[Class]]="C",WORKDAY(Main[[#This Row],[Tech Start Date]],23),IF(Main[[#This Row],[Class]]="B", WORKDAY(Main[[#This Row],[Tech Start Date]],15),IF(Main[[#This Row],[Class]]="A",WORKDAY(Main[[#This Row],[Tech Start Date]],5),""))))</f>
        <v/>
      </c>
      <c r="P580" s="69" t="str">
        <f>IF(Main[[#This Row],[Tech Start Date]]&lt;1/1/1990,"",IF(Main[[#This Row],[Class]]="C",WORKDAY(Main[[#This Row],[Tech Start Date]],28),IF(Main[[#This Row],[Class]]="B", WORKDAY(Main[[#This Row],[Tech Start Date]],19),IF(Main[[#This Row],[Class]]="A",WORKDAY(Main[[#This Row],[Tech Start Date]],9),""))))</f>
        <v/>
      </c>
      <c r="Q580" s="67"/>
      <c r="R580" s="67"/>
      <c r="S580" s="65" t="s">
        <v>23</v>
      </c>
      <c r="T580" s="70" t="s">
        <v>4</v>
      </c>
      <c r="U580" s="65" t="s">
        <v>7</v>
      </c>
      <c r="V580" s="65" t="s">
        <v>1918</v>
      </c>
      <c r="W580" s="65" t="s">
        <v>1921</v>
      </c>
      <c r="X580" s="65" t="s">
        <v>399</v>
      </c>
      <c r="Y580" s="65" t="s">
        <v>4</v>
      </c>
      <c r="Z580" s="65" t="s">
        <v>4</v>
      </c>
      <c r="AA580" s="65" t="s">
        <v>3397</v>
      </c>
    </row>
    <row r="581" spans="1:27" ht="17.45" customHeight="1">
      <c r="A581" s="131" t="str">
        <f>IF(priority(Main[[#This Row],[Comments]])&lt;&gt;0, priority(Main[[#This Row],[Comments]]),"")</f>
        <v/>
      </c>
      <c r="B581" s="99" t="s">
        <v>1412</v>
      </c>
      <c r="C581" s="65" t="s">
        <v>4</v>
      </c>
      <c r="D581" s="66" t="s">
        <v>492</v>
      </c>
      <c r="E581" s="67"/>
      <c r="F581" s="67"/>
      <c r="G581" s="64" t="str">
        <f>IF(stdProdLT(Main[[#This Row],[Comments]])=0.1,"N/A",IF(stdProdLT(Main[[#This Row],[Comments]])=0,"",stdProdLT(Main[[#This Row],[Comments]])))</f>
        <v/>
      </c>
      <c r="H581" s="68" t="str">
        <f>IF(AND(Main[[#This Row],[In Stock Date]]&lt;&gt;"",Main[[#This Row],[Revised Due Date]]&lt;&gt;""),Main[[#This Row],[In Stock Date]]-Main[[#This Row],[Revised Due Date]],"")</f>
        <v/>
      </c>
      <c r="I581" s="65" t="s">
        <v>81</v>
      </c>
      <c r="J581" s="65" t="s">
        <v>4</v>
      </c>
      <c r="K581" s="65" t="s">
        <v>4</v>
      </c>
      <c r="L581" s="67"/>
      <c r="M581" s="69" t="str">
        <f>IF(Main[[#This Row],[Tech Start Date]]&lt;1/1/1990,"",IF(Main[[#This Row],[Class]]="C",WORKDAY(Main[[#This Row],[Tech Start Date]],9),IF(Main[[#This Row],[Class]]="B", WORKDAY(Main[[#This Row],[Tech Start Date]],6),IF(Main[[#This Row],[Class]]="A",WORKDAY(Main[[#This Row],[Tech Start Date]],2),""))))</f>
        <v/>
      </c>
      <c r="N581" s="69" t="str">
        <f>IF(Main[[#This Row],[Tech Start Date]]&lt;1/1/1990,"",IF(Main[[#This Row],[Class]]="C",WORKDAY(Main[[#This Row],[Tech Start Date]],19),IF(Main[[#This Row],[Class]]="B", WORKDAY(Main[[#This Row],[Tech Start Date]],12),IF(Main[[#This Row],[Class]]="A",WORKDAY(Main[[#This Row],[Tech Start Date]],4),""))))</f>
        <v/>
      </c>
      <c r="O581" s="69" t="str">
        <f>IF(Main[[#This Row],[Tech Start Date]]&lt;1/1/1990,"",IF(Main[[#This Row],[Class]]="C",WORKDAY(Main[[#This Row],[Tech Start Date]],23),IF(Main[[#This Row],[Class]]="B", WORKDAY(Main[[#This Row],[Tech Start Date]],15),IF(Main[[#This Row],[Class]]="A",WORKDAY(Main[[#This Row],[Tech Start Date]],5),""))))</f>
        <v/>
      </c>
      <c r="P581" s="69" t="str">
        <f>IF(Main[[#This Row],[Tech Start Date]]&lt;1/1/1990,"",IF(Main[[#This Row],[Class]]="C",WORKDAY(Main[[#This Row],[Tech Start Date]],28),IF(Main[[#This Row],[Class]]="B", WORKDAY(Main[[#This Row],[Tech Start Date]],19),IF(Main[[#This Row],[Class]]="A",WORKDAY(Main[[#This Row],[Tech Start Date]],9),""))))</f>
        <v/>
      </c>
      <c r="Q581" s="67">
        <v>40338</v>
      </c>
      <c r="R581" s="67"/>
      <c r="S581" s="65" t="s">
        <v>6</v>
      </c>
      <c r="T581" s="70" t="s">
        <v>4</v>
      </c>
      <c r="U581" s="65" t="s">
        <v>14</v>
      </c>
      <c r="V581" s="65" t="s">
        <v>1920</v>
      </c>
      <c r="W581" s="65" t="s">
        <v>1921</v>
      </c>
      <c r="X581" s="65" t="s">
        <v>399</v>
      </c>
      <c r="Y581" s="65" t="s">
        <v>3067</v>
      </c>
      <c r="Z581" s="65" t="s">
        <v>4</v>
      </c>
      <c r="AA581" s="65" t="s">
        <v>3429</v>
      </c>
    </row>
    <row r="582" spans="1:27" ht="17.45" customHeight="1">
      <c r="A582" s="131" t="str">
        <f>IF(priority(Main[[#This Row],[Comments]])&lt;&gt;0, priority(Main[[#This Row],[Comments]]),"")</f>
        <v/>
      </c>
      <c r="B582" s="99" t="s">
        <v>1413</v>
      </c>
      <c r="C582" s="65" t="s">
        <v>493</v>
      </c>
      <c r="D582" s="66" t="s">
        <v>494</v>
      </c>
      <c r="E582" s="67"/>
      <c r="F582" s="67"/>
      <c r="G582" s="64" t="str">
        <f>IF(stdProdLT(Main[[#This Row],[Comments]])=0.1,"N/A",IF(stdProdLT(Main[[#This Row],[Comments]])=0,"",stdProdLT(Main[[#This Row],[Comments]])))</f>
        <v/>
      </c>
      <c r="H582" s="68" t="str">
        <f>IF(AND(Main[[#This Row],[In Stock Date]]&lt;&gt;"",Main[[#This Row],[Revised Due Date]]&lt;&gt;""),Main[[#This Row],[In Stock Date]]-Main[[#This Row],[Revised Due Date]],"")</f>
        <v/>
      </c>
      <c r="I582" s="65" t="s">
        <v>4</v>
      </c>
      <c r="J582" s="65" t="s">
        <v>4</v>
      </c>
      <c r="K582" s="65" t="s">
        <v>4</v>
      </c>
      <c r="L582" s="67"/>
      <c r="M582" s="69" t="str">
        <f>IF(Main[[#This Row],[Tech Start Date]]&lt;1/1/1990,"",IF(Main[[#This Row],[Class]]="C",WORKDAY(Main[[#This Row],[Tech Start Date]],9),IF(Main[[#This Row],[Class]]="B", WORKDAY(Main[[#This Row],[Tech Start Date]],6),IF(Main[[#This Row],[Class]]="A",WORKDAY(Main[[#This Row],[Tech Start Date]],2),""))))</f>
        <v/>
      </c>
      <c r="N582" s="69" t="str">
        <f>IF(Main[[#This Row],[Tech Start Date]]&lt;1/1/1990,"",IF(Main[[#This Row],[Class]]="C",WORKDAY(Main[[#This Row],[Tech Start Date]],19),IF(Main[[#This Row],[Class]]="B", WORKDAY(Main[[#This Row],[Tech Start Date]],12),IF(Main[[#This Row],[Class]]="A",WORKDAY(Main[[#This Row],[Tech Start Date]],4),""))))</f>
        <v/>
      </c>
      <c r="O582" s="69" t="str">
        <f>IF(Main[[#This Row],[Tech Start Date]]&lt;1/1/1990,"",IF(Main[[#This Row],[Class]]="C",WORKDAY(Main[[#This Row],[Tech Start Date]],23),IF(Main[[#This Row],[Class]]="B", WORKDAY(Main[[#This Row],[Tech Start Date]],15),IF(Main[[#This Row],[Class]]="A",WORKDAY(Main[[#This Row],[Tech Start Date]],5),""))))</f>
        <v/>
      </c>
      <c r="P582" s="69" t="str">
        <f>IF(Main[[#This Row],[Tech Start Date]]&lt;1/1/1990,"",IF(Main[[#This Row],[Class]]="C",WORKDAY(Main[[#This Row],[Tech Start Date]],28),IF(Main[[#This Row],[Class]]="B", WORKDAY(Main[[#This Row],[Tech Start Date]],19),IF(Main[[#This Row],[Class]]="A",WORKDAY(Main[[#This Row],[Tech Start Date]],9),""))))</f>
        <v/>
      </c>
      <c r="Q582" s="67">
        <v>40239</v>
      </c>
      <c r="R582" s="67"/>
      <c r="S582" s="65" t="s">
        <v>11</v>
      </c>
      <c r="T582" s="70" t="s">
        <v>4</v>
      </c>
      <c r="U582" s="65" t="s">
        <v>14</v>
      </c>
      <c r="V582" s="65" t="s">
        <v>1920</v>
      </c>
      <c r="W582" s="65" t="s">
        <v>1919</v>
      </c>
      <c r="X582" s="65" t="s">
        <v>2902</v>
      </c>
      <c r="Y582" s="65" t="s">
        <v>4</v>
      </c>
      <c r="Z582" s="65" t="s">
        <v>4</v>
      </c>
      <c r="AA582" s="65" t="s">
        <v>2902</v>
      </c>
    </row>
    <row r="583" spans="1:27" ht="17.45" customHeight="1">
      <c r="A583" s="131" t="str">
        <f>IF(priority(Main[[#This Row],[Comments]])&lt;&gt;0, priority(Main[[#This Row],[Comments]]),"")</f>
        <v/>
      </c>
      <c r="B583" s="99" t="s">
        <v>1414</v>
      </c>
      <c r="C583" s="65" t="s">
        <v>495</v>
      </c>
      <c r="D583" s="66" t="s">
        <v>496</v>
      </c>
      <c r="E583" s="67"/>
      <c r="F583" s="67"/>
      <c r="G583" s="64" t="str">
        <f>IF(stdProdLT(Main[[#This Row],[Comments]])=0.1,"N/A",IF(stdProdLT(Main[[#This Row],[Comments]])=0,"",stdProdLT(Main[[#This Row],[Comments]])))</f>
        <v/>
      </c>
      <c r="H583" s="68" t="str">
        <f>IF(AND(Main[[#This Row],[In Stock Date]]&lt;&gt;"",Main[[#This Row],[Revised Due Date]]&lt;&gt;""),Main[[#This Row],[In Stock Date]]-Main[[#This Row],[Revised Due Date]],"")</f>
        <v/>
      </c>
      <c r="I583" s="65" t="s">
        <v>4</v>
      </c>
      <c r="J583" s="65" t="s">
        <v>4</v>
      </c>
      <c r="K583" s="65" t="s">
        <v>4</v>
      </c>
      <c r="L583" s="67"/>
      <c r="M583" s="69" t="str">
        <f>IF(Main[[#This Row],[Tech Start Date]]&lt;1/1/1990,"",IF(Main[[#This Row],[Class]]="C",WORKDAY(Main[[#This Row],[Tech Start Date]],9),IF(Main[[#This Row],[Class]]="B", WORKDAY(Main[[#This Row],[Tech Start Date]],6),IF(Main[[#This Row],[Class]]="A",WORKDAY(Main[[#This Row],[Tech Start Date]],2),""))))</f>
        <v/>
      </c>
      <c r="N583" s="69" t="str">
        <f>IF(Main[[#This Row],[Tech Start Date]]&lt;1/1/1990,"",IF(Main[[#This Row],[Class]]="C",WORKDAY(Main[[#This Row],[Tech Start Date]],19),IF(Main[[#This Row],[Class]]="B", WORKDAY(Main[[#This Row],[Tech Start Date]],12),IF(Main[[#This Row],[Class]]="A",WORKDAY(Main[[#This Row],[Tech Start Date]],4),""))))</f>
        <v/>
      </c>
      <c r="O583" s="69" t="str">
        <f>IF(Main[[#This Row],[Tech Start Date]]&lt;1/1/1990,"",IF(Main[[#This Row],[Class]]="C",WORKDAY(Main[[#This Row],[Tech Start Date]],23),IF(Main[[#This Row],[Class]]="B", WORKDAY(Main[[#This Row],[Tech Start Date]],15),IF(Main[[#This Row],[Class]]="A",WORKDAY(Main[[#This Row],[Tech Start Date]],5),""))))</f>
        <v/>
      </c>
      <c r="P583" s="69" t="str">
        <f>IF(Main[[#This Row],[Tech Start Date]]&lt;1/1/1990,"",IF(Main[[#This Row],[Class]]="C",WORKDAY(Main[[#This Row],[Tech Start Date]],28),IF(Main[[#This Row],[Class]]="B", WORKDAY(Main[[#This Row],[Tech Start Date]],19),IF(Main[[#This Row],[Class]]="A",WORKDAY(Main[[#This Row],[Tech Start Date]],9),""))))</f>
        <v/>
      </c>
      <c r="Q583" s="67"/>
      <c r="R583" s="67"/>
      <c r="S583" s="65" t="s">
        <v>11</v>
      </c>
      <c r="T583" s="70" t="s">
        <v>4</v>
      </c>
      <c r="U583" s="65" t="s">
        <v>14</v>
      </c>
      <c r="V583" s="65" t="s">
        <v>1917</v>
      </c>
      <c r="W583" s="65" t="s">
        <v>1925</v>
      </c>
      <c r="X583" s="65" t="s">
        <v>50</v>
      </c>
      <c r="Y583" s="65" t="s">
        <v>3068</v>
      </c>
      <c r="Z583" s="65" t="s">
        <v>4</v>
      </c>
      <c r="AA583" s="65" t="s">
        <v>2866</v>
      </c>
    </row>
    <row r="584" spans="1:27" ht="17.45" customHeight="1">
      <c r="A584" s="131" t="str">
        <f>IF(priority(Main[[#This Row],[Comments]])&lt;&gt;0, priority(Main[[#This Row],[Comments]]),"")</f>
        <v/>
      </c>
      <c r="B584" s="99" t="s">
        <v>1415</v>
      </c>
      <c r="C584" s="65" t="s">
        <v>93</v>
      </c>
      <c r="D584" s="66" t="s">
        <v>497</v>
      </c>
      <c r="E584" s="67"/>
      <c r="F584" s="67">
        <v>40132</v>
      </c>
      <c r="G584" s="64" t="str">
        <f>IF(stdProdLT(Main[[#This Row],[Comments]])=0.1,"N/A",IF(stdProdLT(Main[[#This Row],[Comments]])=0,"",stdProdLT(Main[[#This Row],[Comments]])))</f>
        <v/>
      </c>
      <c r="H584" s="68" t="str">
        <f>IF(AND(Main[[#This Row],[In Stock Date]]&lt;&gt;"",Main[[#This Row],[Revised Due Date]]&lt;&gt;""),Main[[#This Row],[In Stock Date]]-Main[[#This Row],[Revised Due Date]],"")</f>
        <v/>
      </c>
      <c r="I584" s="65" t="s">
        <v>4</v>
      </c>
      <c r="J584" s="65" t="s">
        <v>4</v>
      </c>
      <c r="K584" s="65" t="s">
        <v>4</v>
      </c>
      <c r="L584" s="67"/>
      <c r="M584" s="69" t="str">
        <f>IF(Main[[#This Row],[Tech Start Date]]&lt;1/1/1990,"",IF(Main[[#This Row],[Class]]="C",WORKDAY(Main[[#This Row],[Tech Start Date]],9),IF(Main[[#This Row],[Class]]="B", WORKDAY(Main[[#This Row],[Tech Start Date]],6),IF(Main[[#This Row],[Class]]="A",WORKDAY(Main[[#This Row],[Tech Start Date]],2),""))))</f>
        <v/>
      </c>
      <c r="N584" s="69" t="str">
        <f>IF(Main[[#This Row],[Tech Start Date]]&lt;1/1/1990,"",IF(Main[[#This Row],[Class]]="C",WORKDAY(Main[[#This Row],[Tech Start Date]],19),IF(Main[[#This Row],[Class]]="B", WORKDAY(Main[[#This Row],[Tech Start Date]],12),IF(Main[[#This Row],[Class]]="A",WORKDAY(Main[[#This Row],[Tech Start Date]],4),""))))</f>
        <v/>
      </c>
      <c r="O584" s="69" t="str">
        <f>IF(Main[[#This Row],[Tech Start Date]]&lt;1/1/1990,"",IF(Main[[#This Row],[Class]]="C",WORKDAY(Main[[#This Row],[Tech Start Date]],23),IF(Main[[#This Row],[Class]]="B", WORKDAY(Main[[#This Row],[Tech Start Date]],15),IF(Main[[#This Row],[Class]]="A",WORKDAY(Main[[#This Row],[Tech Start Date]],5),""))))</f>
        <v/>
      </c>
      <c r="P584" s="69" t="str">
        <f>IF(Main[[#This Row],[Tech Start Date]]&lt;1/1/1990,"",IF(Main[[#This Row],[Class]]="C",WORKDAY(Main[[#This Row],[Tech Start Date]],28),IF(Main[[#This Row],[Class]]="B", WORKDAY(Main[[#This Row],[Tech Start Date]],19),IF(Main[[#This Row],[Class]]="A",WORKDAY(Main[[#This Row],[Tech Start Date]],9),""))))</f>
        <v/>
      </c>
      <c r="Q584" s="67">
        <v>40132</v>
      </c>
      <c r="R584" s="67"/>
      <c r="S584" s="65" t="s">
        <v>11</v>
      </c>
      <c r="T584" s="70" t="s">
        <v>4</v>
      </c>
      <c r="U584" s="65" t="s">
        <v>14</v>
      </c>
      <c r="V584" s="65" t="s">
        <v>1927</v>
      </c>
      <c r="W584" s="65" t="s">
        <v>1928</v>
      </c>
      <c r="X584" s="65" t="s">
        <v>2862</v>
      </c>
      <c r="Y584" s="65" t="s">
        <v>4</v>
      </c>
      <c r="Z584" s="65" t="s">
        <v>4</v>
      </c>
      <c r="AA584" s="65" t="s">
        <v>2862</v>
      </c>
    </row>
    <row r="585" spans="1:27" ht="17.45" customHeight="1">
      <c r="A585" s="131" t="str">
        <f>IF(priority(Main[[#This Row],[Comments]])&lt;&gt;0, priority(Main[[#This Row],[Comments]]),"")</f>
        <v/>
      </c>
      <c r="B585" s="99" t="s">
        <v>1416</v>
      </c>
      <c r="C585" s="65" t="s">
        <v>99</v>
      </c>
      <c r="D585" s="66" t="s">
        <v>498</v>
      </c>
      <c r="E585" s="67"/>
      <c r="F585" s="67">
        <v>40435</v>
      </c>
      <c r="G585" s="64" t="str">
        <f>IF(stdProdLT(Main[[#This Row],[Comments]])=0.1,"N/A",IF(stdProdLT(Main[[#This Row],[Comments]])=0,"",stdProdLT(Main[[#This Row],[Comments]])))</f>
        <v/>
      </c>
      <c r="H585" s="68" t="str">
        <f>IF(AND(Main[[#This Row],[In Stock Date]]&lt;&gt;"",Main[[#This Row],[Revised Due Date]]&lt;&gt;""),Main[[#This Row],[In Stock Date]]-Main[[#This Row],[Revised Due Date]],"")</f>
        <v/>
      </c>
      <c r="I585" s="65" t="s">
        <v>4</v>
      </c>
      <c r="J585" s="65" t="s">
        <v>28</v>
      </c>
      <c r="K585" s="71" t="s">
        <v>4</v>
      </c>
      <c r="L585" s="67"/>
      <c r="M585" s="69" t="str">
        <f>IF(Main[[#This Row],[Tech Start Date]]&lt;1/1/1990,"",IF(Main[[#This Row],[Class]]="C",WORKDAY(Main[[#This Row],[Tech Start Date]],9),IF(Main[[#This Row],[Class]]="B", WORKDAY(Main[[#This Row],[Tech Start Date]],6),IF(Main[[#This Row],[Class]]="A",WORKDAY(Main[[#This Row],[Tech Start Date]],2),""))))</f>
        <v/>
      </c>
      <c r="N585" s="69" t="str">
        <f>IF(Main[[#This Row],[Tech Start Date]]&lt;1/1/1990,"",IF(Main[[#This Row],[Class]]="C",WORKDAY(Main[[#This Row],[Tech Start Date]],19),IF(Main[[#This Row],[Class]]="B", WORKDAY(Main[[#This Row],[Tech Start Date]],12),IF(Main[[#This Row],[Class]]="A",WORKDAY(Main[[#This Row],[Tech Start Date]],4),""))))</f>
        <v/>
      </c>
      <c r="O585" s="69" t="str">
        <f>IF(Main[[#This Row],[Tech Start Date]]&lt;1/1/1990,"",IF(Main[[#This Row],[Class]]="C",WORKDAY(Main[[#This Row],[Tech Start Date]],23),IF(Main[[#This Row],[Class]]="B", WORKDAY(Main[[#This Row],[Tech Start Date]],15),IF(Main[[#This Row],[Class]]="A",WORKDAY(Main[[#This Row],[Tech Start Date]],5),""))))</f>
        <v/>
      </c>
      <c r="P585" s="69" t="str">
        <f>IF(Main[[#This Row],[Tech Start Date]]&lt;1/1/1990,"",IF(Main[[#This Row],[Class]]="C",WORKDAY(Main[[#This Row],[Tech Start Date]],28),IF(Main[[#This Row],[Class]]="B", WORKDAY(Main[[#This Row],[Tech Start Date]],19),IF(Main[[#This Row],[Class]]="A",WORKDAY(Main[[#This Row],[Tech Start Date]],9),""))))</f>
        <v/>
      </c>
      <c r="Q585" s="67">
        <v>40435</v>
      </c>
      <c r="R585" s="67"/>
      <c r="S585" s="65" t="s">
        <v>11</v>
      </c>
      <c r="T585" s="70" t="s">
        <v>4</v>
      </c>
      <c r="U585" s="65" t="s">
        <v>14</v>
      </c>
      <c r="V585" s="65" t="s">
        <v>1920</v>
      </c>
      <c r="W585" s="65" t="s">
        <v>1922</v>
      </c>
      <c r="X585" s="65" t="s">
        <v>2843</v>
      </c>
      <c r="Y585" s="65" t="s">
        <v>2972</v>
      </c>
      <c r="Z585" s="65" t="s">
        <v>530</v>
      </c>
      <c r="AA585" s="65" t="s">
        <v>2840</v>
      </c>
    </row>
    <row r="586" spans="1:27" ht="17.45" customHeight="1">
      <c r="A586" s="131" t="str">
        <f>IF(priority(Main[[#This Row],[Comments]])&lt;&gt;0, priority(Main[[#This Row],[Comments]]),"")</f>
        <v/>
      </c>
      <c r="B586" s="99" t="s">
        <v>1283</v>
      </c>
      <c r="C586" s="65" t="s">
        <v>42</v>
      </c>
      <c r="D586" s="66" t="s">
        <v>355</v>
      </c>
      <c r="E586" s="67"/>
      <c r="F586" s="67"/>
      <c r="G586" s="64" t="str">
        <f>IF(stdProdLT(Main[[#This Row],[Comments]])=0.1,"N/A",IF(stdProdLT(Main[[#This Row],[Comments]])=0,"",stdProdLT(Main[[#This Row],[Comments]])))</f>
        <v/>
      </c>
      <c r="H586" s="68" t="str">
        <f>IF(AND(Main[[#This Row],[In Stock Date]]&lt;&gt;"",Main[[#This Row],[Revised Due Date]]&lt;&gt;""),Main[[#This Row],[In Stock Date]]-Main[[#This Row],[Revised Due Date]],"")</f>
        <v/>
      </c>
      <c r="I586" s="65" t="s">
        <v>4</v>
      </c>
      <c r="J586" s="65" t="s">
        <v>4</v>
      </c>
      <c r="K586" s="65" t="s">
        <v>4</v>
      </c>
      <c r="L586" s="67"/>
      <c r="M586" s="69" t="str">
        <f>IF(Main[[#This Row],[Tech Start Date]]&lt;1/1/1990,"",IF(Main[[#This Row],[Class]]="C",WORKDAY(Main[[#This Row],[Tech Start Date]],9),IF(Main[[#This Row],[Class]]="B", WORKDAY(Main[[#This Row],[Tech Start Date]],6),IF(Main[[#This Row],[Class]]="A",WORKDAY(Main[[#This Row],[Tech Start Date]],2),""))))</f>
        <v/>
      </c>
      <c r="N586" s="69" t="str">
        <f>IF(Main[[#This Row],[Tech Start Date]]&lt;1/1/1990,"",IF(Main[[#This Row],[Class]]="C",WORKDAY(Main[[#This Row],[Tech Start Date]],19),IF(Main[[#This Row],[Class]]="B", WORKDAY(Main[[#This Row],[Tech Start Date]],12),IF(Main[[#This Row],[Class]]="A",WORKDAY(Main[[#This Row],[Tech Start Date]],4),""))))</f>
        <v/>
      </c>
      <c r="O586" s="69" t="str">
        <f>IF(Main[[#This Row],[Tech Start Date]]&lt;1/1/1990,"",IF(Main[[#This Row],[Class]]="C",WORKDAY(Main[[#This Row],[Tech Start Date]],23),IF(Main[[#This Row],[Class]]="B", WORKDAY(Main[[#This Row],[Tech Start Date]],15),IF(Main[[#This Row],[Class]]="A",WORKDAY(Main[[#This Row],[Tech Start Date]],5),""))))</f>
        <v/>
      </c>
      <c r="P586" s="69" t="str">
        <f>IF(Main[[#This Row],[Tech Start Date]]&lt;1/1/1990,"",IF(Main[[#This Row],[Class]]="C",WORKDAY(Main[[#This Row],[Tech Start Date]],28),IF(Main[[#This Row],[Class]]="B", WORKDAY(Main[[#This Row],[Tech Start Date]],19),IF(Main[[#This Row],[Class]]="A",WORKDAY(Main[[#This Row],[Tech Start Date]],9),""))))</f>
        <v/>
      </c>
      <c r="Q586" s="67"/>
      <c r="R586" s="67"/>
      <c r="S586" s="65" t="s">
        <v>17</v>
      </c>
      <c r="T586" s="70" t="s">
        <v>4</v>
      </c>
      <c r="U586" s="65" t="s">
        <v>14</v>
      </c>
      <c r="V586" s="65" t="s">
        <v>1920</v>
      </c>
      <c r="W586" s="65" t="s">
        <v>4</v>
      </c>
      <c r="X586" s="65" t="s">
        <v>399</v>
      </c>
      <c r="Y586" s="65" t="s">
        <v>4</v>
      </c>
      <c r="Z586" s="65" t="s">
        <v>4</v>
      </c>
      <c r="AA586" s="65" t="s">
        <v>3430</v>
      </c>
    </row>
    <row r="587" spans="1:27" ht="17.45" customHeight="1">
      <c r="A587" s="131" t="str">
        <f>IF(priority(Main[[#This Row],[Comments]])&lt;&gt;0, priority(Main[[#This Row],[Comments]]),"")</f>
        <v/>
      </c>
      <c r="B587" s="99" t="s">
        <v>1417</v>
      </c>
      <c r="C587" s="65" t="s">
        <v>499</v>
      </c>
      <c r="D587" s="66" t="s">
        <v>500</v>
      </c>
      <c r="E587" s="67"/>
      <c r="F587" s="67">
        <v>40296</v>
      </c>
      <c r="G587" s="64" t="str">
        <f>IF(stdProdLT(Main[[#This Row],[Comments]])=0.1,"N/A",IF(stdProdLT(Main[[#This Row],[Comments]])=0,"",stdProdLT(Main[[#This Row],[Comments]])))</f>
        <v/>
      </c>
      <c r="H587" s="68" t="str">
        <f>IF(AND(Main[[#This Row],[In Stock Date]]&lt;&gt;"",Main[[#This Row],[Revised Due Date]]&lt;&gt;""),Main[[#This Row],[In Stock Date]]-Main[[#This Row],[Revised Due Date]],"")</f>
        <v/>
      </c>
      <c r="I587" s="65" t="s">
        <v>4</v>
      </c>
      <c r="J587" s="65" t="s">
        <v>4</v>
      </c>
      <c r="K587" s="71" t="s">
        <v>4</v>
      </c>
      <c r="L587" s="67"/>
      <c r="M587" s="69" t="str">
        <f>IF(Main[[#This Row],[Tech Start Date]]&lt;1/1/1990,"",IF(Main[[#This Row],[Class]]="C",WORKDAY(Main[[#This Row],[Tech Start Date]],9),IF(Main[[#This Row],[Class]]="B", WORKDAY(Main[[#This Row],[Tech Start Date]],6),IF(Main[[#This Row],[Class]]="A",WORKDAY(Main[[#This Row],[Tech Start Date]],2),""))))</f>
        <v/>
      </c>
      <c r="N587" s="69" t="str">
        <f>IF(Main[[#This Row],[Tech Start Date]]&lt;1/1/1990,"",IF(Main[[#This Row],[Class]]="C",WORKDAY(Main[[#This Row],[Tech Start Date]],19),IF(Main[[#This Row],[Class]]="B", WORKDAY(Main[[#This Row],[Tech Start Date]],12),IF(Main[[#This Row],[Class]]="A",WORKDAY(Main[[#This Row],[Tech Start Date]],4),""))))</f>
        <v/>
      </c>
      <c r="O587" s="69" t="str">
        <f>IF(Main[[#This Row],[Tech Start Date]]&lt;1/1/1990,"",IF(Main[[#This Row],[Class]]="C",WORKDAY(Main[[#This Row],[Tech Start Date]],23),IF(Main[[#This Row],[Class]]="B", WORKDAY(Main[[#This Row],[Tech Start Date]],15),IF(Main[[#This Row],[Class]]="A",WORKDAY(Main[[#This Row],[Tech Start Date]],5),""))))</f>
        <v/>
      </c>
      <c r="P587" s="69" t="str">
        <f>IF(Main[[#This Row],[Tech Start Date]]&lt;1/1/1990,"",IF(Main[[#This Row],[Class]]="C",WORKDAY(Main[[#This Row],[Tech Start Date]],28),IF(Main[[#This Row],[Class]]="B", WORKDAY(Main[[#This Row],[Tech Start Date]],19),IF(Main[[#This Row],[Class]]="A",WORKDAY(Main[[#This Row],[Tech Start Date]],9),""))))</f>
        <v/>
      </c>
      <c r="Q587" s="67"/>
      <c r="R587" s="67"/>
      <c r="S587" s="65" t="s">
        <v>11</v>
      </c>
      <c r="T587" s="70" t="s">
        <v>4</v>
      </c>
      <c r="U587" s="65" t="s">
        <v>14</v>
      </c>
      <c r="V587" s="65" t="s">
        <v>1927</v>
      </c>
      <c r="W587" s="65" t="s">
        <v>1923</v>
      </c>
      <c r="X587" s="65" t="s">
        <v>2874</v>
      </c>
      <c r="Y587" s="65" t="s">
        <v>3018</v>
      </c>
      <c r="Z587" s="65" t="s">
        <v>4</v>
      </c>
      <c r="AA587" s="65" t="s">
        <v>2874</v>
      </c>
    </row>
    <row r="588" spans="1:27" ht="17.45" customHeight="1">
      <c r="A588" s="131" t="str">
        <f>IF(priority(Main[[#This Row],[Comments]])&lt;&gt;0, priority(Main[[#This Row],[Comments]]),"")</f>
        <v/>
      </c>
      <c r="B588" s="99" t="s">
        <v>1860</v>
      </c>
      <c r="C588" s="65" t="s">
        <v>47</v>
      </c>
      <c r="D588" s="66" t="s">
        <v>916</v>
      </c>
      <c r="E588" s="67">
        <v>39937.592280092591</v>
      </c>
      <c r="F588" s="67"/>
      <c r="G588" s="64" t="str">
        <f>IF(stdProdLT(Main[[#This Row],[Comments]])=0.1,"N/A",IF(stdProdLT(Main[[#This Row],[Comments]])=0,"",stdProdLT(Main[[#This Row],[Comments]])))</f>
        <v/>
      </c>
      <c r="H588" s="68" t="str">
        <f>IF(AND(Main[[#This Row],[In Stock Date]]&lt;&gt;"",Main[[#This Row],[Revised Due Date]]&lt;&gt;""),Main[[#This Row],[In Stock Date]]-Main[[#This Row],[Revised Due Date]],"")</f>
        <v/>
      </c>
      <c r="I588" s="65" t="s">
        <v>891</v>
      </c>
      <c r="J588" s="65" t="s">
        <v>4</v>
      </c>
      <c r="K588" s="65" t="s">
        <v>1929</v>
      </c>
      <c r="L588" s="67"/>
      <c r="M588" s="69" t="str">
        <f>IF(Main[[#This Row],[Tech Start Date]]&lt;1/1/1990,"",IF(Main[[#This Row],[Class]]="C",WORKDAY(Main[[#This Row],[Tech Start Date]],9),IF(Main[[#This Row],[Class]]="B", WORKDAY(Main[[#This Row],[Tech Start Date]],6),IF(Main[[#This Row],[Class]]="A",WORKDAY(Main[[#This Row],[Tech Start Date]],2),""))))</f>
        <v/>
      </c>
      <c r="N588" s="69" t="str">
        <f>IF(Main[[#This Row],[Tech Start Date]]&lt;1/1/1990,"",IF(Main[[#This Row],[Class]]="C",WORKDAY(Main[[#This Row],[Tech Start Date]],19),IF(Main[[#This Row],[Class]]="B", WORKDAY(Main[[#This Row],[Tech Start Date]],12),IF(Main[[#This Row],[Class]]="A",WORKDAY(Main[[#This Row],[Tech Start Date]],4),""))))</f>
        <v/>
      </c>
      <c r="O588" s="69" t="str">
        <f>IF(Main[[#This Row],[Tech Start Date]]&lt;1/1/1990,"",IF(Main[[#This Row],[Class]]="C",WORKDAY(Main[[#This Row],[Tech Start Date]],23),IF(Main[[#This Row],[Class]]="B", WORKDAY(Main[[#This Row],[Tech Start Date]],15),IF(Main[[#This Row],[Class]]="A",WORKDAY(Main[[#This Row],[Tech Start Date]],5),""))))</f>
        <v/>
      </c>
      <c r="P588" s="69" t="str">
        <f>IF(Main[[#This Row],[Tech Start Date]]&lt;1/1/1990,"",IF(Main[[#This Row],[Class]]="C",WORKDAY(Main[[#This Row],[Tech Start Date]],28),IF(Main[[#This Row],[Class]]="B", WORKDAY(Main[[#This Row],[Tech Start Date]],19),IF(Main[[#This Row],[Class]]="A",WORKDAY(Main[[#This Row],[Tech Start Date]],9),""))))</f>
        <v/>
      </c>
      <c r="Q588" s="67">
        <v>40209</v>
      </c>
      <c r="R588" s="67">
        <v>40574</v>
      </c>
      <c r="S588" s="65" t="s">
        <v>17</v>
      </c>
      <c r="T588" s="70" t="s">
        <v>4</v>
      </c>
      <c r="U588" s="65" t="s">
        <v>29</v>
      </c>
      <c r="V588" s="65" t="s">
        <v>1917</v>
      </c>
      <c r="W588" s="65" t="s">
        <v>1921</v>
      </c>
      <c r="X588" s="65" t="s">
        <v>2833</v>
      </c>
      <c r="Y588" s="65" t="s">
        <v>2954</v>
      </c>
      <c r="Z588" s="65" t="s">
        <v>4</v>
      </c>
      <c r="AA588" s="65" t="s">
        <v>2833</v>
      </c>
    </row>
    <row r="589" spans="1:27" ht="17.45" customHeight="1">
      <c r="A589" s="131" t="str">
        <f>IF(priority(Main[[#This Row],[Comments]])&lt;&gt;0, priority(Main[[#This Row],[Comments]]),"")</f>
        <v/>
      </c>
      <c r="B589" s="99" t="s">
        <v>1418</v>
      </c>
      <c r="C589" s="65" t="s">
        <v>501</v>
      </c>
      <c r="D589" s="66" t="s">
        <v>502</v>
      </c>
      <c r="E589" s="67"/>
      <c r="F589" s="67">
        <v>40848</v>
      </c>
      <c r="G589" s="64" t="str">
        <f>IF(stdProdLT(Main[[#This Row],[Comments]])=0.1,"N/A",IF(stdProdLT(Main[[#This Row],[Comments]])=0,"",stdProdLT(Main[[#This Row],[Comments]])))</f>
        <v/>
      </c>
      <c r="H589" s="68" t="str">
        <f>IF(AND(Main[[#This Row],[In Stock Date]]&lt;&gt;"",Main[[#This Row],[Revised Due Date]]&lt;&gt;""),Main[[#This Row],[In Stock Date]]-Main[[#This Row],[Revised Due Date]],"")</f>
        <v/>
      </c>
      <c r="I589" s="65" t="s">
        <v>4</v>
      </c>
      <c r="J589" s="65" t="s">
        <v>28</v>
      </c>
      <c r="K589" s="71" t="s">
        <v>4</v>
      </c>
      <c r="L589" s="67"/>
      <c r="M589" s="69" t="str">
        <f>IF(Main[[#This Row],[Tech Start Date]]&lt;1/1/1990,"",IF(Main[[#This Row],[Class]]="C",WORKDAY(Main[[#This Row],[Tech Start Date]],9),IF(Main[[#This Row],[Class]]="B", WORKDAY(Main[[#This Row],[Tech Start Date]],6),IF(Main[[#This Row],[Class]]="A",WORKDAY(Main[[#This Row],[Tech Start Date]],2),""))))</f>
        <v/>
      </c>
      <c r="N589" s="69" t="str">
        <f>IF(Main[[#This Row],[Tech Start Date]]&lt;1/1/1990,"",IF(Main[[#This Row],[Class]]="C",WORKDAY(Main[[#This Row],[Tech Start Date]],19),IF(Main[[#This Row],[Class]]="B", WORKDAY(Main[[#This Row],[Tech Start Date]],12),IF(Main[[#This Row],[Class]]="A",WORKDAY(Main[[#This Row],[Tech Start Date]],4),""))))</f>
        <v/>
      </c>
      <c r="O589" s="69" t="str">
        <f>IF(Main[[#This Row],[Tech Start Date]]&lt;1/1/1990,"",IF(Main[[#This Row],[Class]]="C",WORKDAY(Main[[#This Row],[Tech Start Date]],23),IF(Main[[#This Row],[Class]]="B", WORKDAY(Main[[#This Row],[Tech Start Date]],15),IF(Main[[#This Row],[Class]]="A",WORKDAY(Main[[#This Row],[Tech Start Date]],5),""))))</f>
        <v/>
      </c>
      <c r="P589" s="69" t="str">
        <f>IF(Main[[#This Row],[Tech Start Date]]&lt;1/1/1990,"",IF(Main[[#This Row],[Class]]="C",WORKDAY(Main[[#This Row],[Tech Start Date]],28),IF(Main[[#This Row],[Class]]="B", WORKDAY(Main[[#This Row],[Tech Start Date]],19),IF(Main[[#This Row],[Class]]="A",WORKDAY(Main[[#This Row],[Tech Start Date]],9),""))))</f>
        <v/>
      </c>
      <c r="Q589" s="67">
        <v>40627</v>
      </c>
      <c r="R589" s="67"/>
      <c r="S589" s="65" t="s">
        <v>11</v>
      </c>
      <c r="T589" s="70" t="s">
        <v>4</v>
      </c>
      <c r="U589" s="65" t="s">
        <v>14</v>
      </c>
      <c r="V589" s="65" t="s">
        <v>1920</v>
      </c>
      <c r="W589" s="65" t="s">
        <v>1923</v>
      </c>
      <c r="X589" s="65" t="s">
        <v>50</v>
      </c>
      <c r="Y589" s="65" t="s">
        <v>3069</v>
      </c>
      <c r="Z589" s="65" t="s">
        <v>81</v>
      </c>
      <c r="AA589" s="65" t="s">
        <v>3431</v>
      </c>
    </row>
    <row r="590" spans="1:27" ht="17.45" customHeight="1">
      <c r="A590" s="131" t="str">
        <f>IF(priority(Main[[#This Row],[Comments]])&lt;&gt;0, priority(Main[[#This Row],[Comments]]),"")</f>
        <v/>
      </c>
      <c r="B590" s="99" t="s">
        <v>1419</v>
      </c>
      <c r="C590" s="65" t="s">
        <v>4</v>
      </c>
      <c r="D590" s="66" t="s">
        <v>1952</v>
      </c>
      <c r="E590" s="67"/>
      <c r="F590" s="67"/>
      <c r="G590" s="64" t="str">
        <f>IF(stdProdLT(Main[[#This Row],[Comments]])=0.1,"N/A",IF(stdProdLT(Main[[#This Row],[Comments]])=0,"",stdProdLT(Main[[#This Row],[Comments]])))</f>
        <v/>
      </c>
      <c r="H590" s="68" t="str">
        <f>IF(AND(Main[[#This Row],[In Stock Date]]&lt;&gt;"",Main[[#This Row],[Revised Due Date]]&lt;&gt;""),Main[[#This Row],[In Stock Date]]-Main[[#This Row],[Revised Due Date]],"")</f>
        <v/>
      </c>
      <c r="I590" s="65" t="s">
        <v>4</v>
      </c>
      <c r="J590" s="65" t="s">
        <v>28</v>
      </c>
      <c r="K590" s="65" t="s">
        <v>1924</v>
      </c>
      <c r="L590" s="67"/>
      <c r="M590" s="69" t="str">
        <f>IF(Main[[#This Row],[Tech Start Date]]&lt;1/1/1990,"",IF(Main[[#This Row],[Class]]="C",WORKDAY(Main[[#This Row],[Tech Start Date]],9),IF(Main[[#This Row],[Class]]="B", WORKDAY(Main[[#This Row],[Tech Start Date]],6),IF(Main[[#This Row],[Class]]="A",WORKDAY(Main[[#This Row],[Tech Start Date]],2),""))))</f>
        <v/>
      </c>
      <c r="N590" s="69" t="str">
        <f>IF(Main[[#This Row],[Tech Start Date]]&lt;1/1/1990,"",IF(Main[[#This Row],[Class]]="C",WORKDAY(Main[[#This Row],[Tech Start Date]],19),IF(Main[[#This Row],[Class]]="B", WORKDAY(Main[[#This Row],[Tech Start Date]],12),IF(Main[[#This Row],[Class]]="A",WORKDAY(Main[[#This Row],[Tech Start Date]],4),""))))</f>
        <v/>
      </c>
      <c r="O590" s="69" t="str">
        <f>IF(Main[[#This Row],[Tech Start Date]]&lt;1/1/1990,"",IF(Main[[#This Row],[Class]]="C",WORKDAY(Main[[#This Row],[Tech Start Date]],23),IF(Main[[#This Row],[Class]]="B", WORKDAY(Main[[#This Row],[Tech Start Date]],15),IF(Main[[#This Row],[Class]]="A",WORKDAY(Main[[#This Row],[Tech Start Date]],5),""))))</f>
        <v/>
      </c>
      <c r="P590" s="69" t="str">
        <f>IF(Main[[#This Row],[Tech Start Date]]&lt;1/1/1990,"",IF(Main[[#This Row],[Class]]="C",WORKDAY(Main[[#This Row],[Tech Start Date]],28),IF(Main[[#This Row],[Class]]="B", WORKDAY(Main[[#This Row],[Tech Start Date]],19),IF(Main[[#This Row],[Class]]="A",WORKDAY(Main[[#This Row],[Tech Start Date]],9),""))))</f>
        <v/>
      </c>
      <c r="Q590" s="67"/>
      <c r="R590" s="67"/>
      <c r="S590" s="65" t="s">
        <v>6</v>
      </c>
      <c r="T590" s="70" t="s">
        <v>4</v>
      </c>
      <c r="U590" s="65" t="s">
        <v>14</v>
      </c>
      <c r="V590" s="65" t="s">
        <v>1918</v>
      </c>
      <c r="W590" s="65" t="s">
        <v>1919</v>
      </c>
      <c r="X590" s="65" t="s">
        <v>2903</v>
      </c>
      <c r="Y590" s="65" t="s">
        <v>3070</v>
      </c>
      <c r="Z590" s="65" t="s">
        <v>4</v>
      </c>
      <c r="AA590" s="65" t="s">
        <v>3432</v>
      </c>
    </row>
    <row r="591" spans="1:27" ht="17.45" customHeight="1">
      <c r="A591" s="131" t="str">
        <f>IF(priority(Main[[#This Row],[Comments]])&lt;&gt;0, priority(Main[[#This Row],[Comments]]),"")</f>
        <v/>
      </c>
      <c r="B591" s="99" t="s">
        <v>1420</v>
      </c>
      <c r="C591" s="65" t="s">
        <v>83</v>
      </c>
      <c r="D591" s="66" t="s">
        <v>503</v>
      </c>
      <c r="E591" s="67"/>
      <c r="F591" s="67"/>
      <c r="G591" s="64" t="str">
        <f>IF(stdProdLT(Main[[#This Row],[Comments]])=0.1,"N/A",IF(stdProdLT(Main[[#This Row],[Comments]])=0,"",stdProdLT(Main[[#This Row],[Comments]])))</f>
        <v/>
      </c>
      <c r="H591" s="68" t="str">
        <f>IF(AND(Main[[#This Row],[In Stock Date]]&lt;&gt;"",Main[[#This Row],[Revised Due Date]]&lt;&gt;""),Main[[#This Row],[In Stock Date]]-Main[[#This Row],[Revised Due Date]],"")</f>
        <v/>
      </c>
      <c r="I591" s="65" t="s">
        <v>4</v>
      </c>
      <c r="J591" s="65" t="s">
        <v>4</v>
      </c>
      <c r="K591" s="65" t="s">
        <v>4</v>
      </c>
      <c r="L591" s="67"/>
      <c r="M591" s="69" t="str">
        <f>IF(Main[[#This Row],[Tech Start Date]]&lt;1/1/1990,"",IF(Main[[#This Row],[Class]]="C",WORKDAY(Main[[#This Row],[Tech Start Date]],9),IF(Main[[#This Row],[Class]]="B", WORKDAY(Main[[#This Row],[Tech Start Date]],6),IF(Main[[#This Row],[Class]]="A",WORKDAY(Main[[#This Row],[Tech Start Date]],2),""))))</f>
        <v/>
      </c>
      <c r="N591" s="69" t="str">
        <f>IF(Main[[#This Row],[Tech Start Date]]&lt;1/1/1990,"",IF(Main[[#This Row],[Class]]="C",WORKDAY(Main[[#This Row],[Tech Start Date]],19),IF(Main[[#This Row],[Class]]="B", WORKDAY(Main[[#This Row],[Tech Start Date]],12),IF(Main[[#This Row],[Class]]="A",WORKDAY(Main[[#This Row],[Tech Start Date]],4),""))))</f>
        <v/>
      </c>
      <c r="O591" s="69" t="str">
        <f>IF(Main[[#This Row],[Tech Start Date]]&lt;1/1/1990,"",IF(Main[[#This Row],[Class]]="C",WORKDAY(Main[[#This Row],[Tech Start Date]],23),IF(Main[[#This Row],[Class]]="B", WORKDAY(Main[[#This Row],[Tech Start Date]],15),IF(Main[[#This Row],[Class]]="A",WORKDAY(Main[[#This Row],[Tech Start Date]],5),""))))</f>
        <v/>
      </c>
      <c r="P591" s="69" t="str">
        <f>IF(Main[[#This Row],[Tech Start Date]]&lt;1/1/1990,"",IF(Main[[#This Row],[Class]]="C",WORKDAY(Main[[#This Row],[Tech Start Date]],28),IF(Main[[#This Row],[Class]]="B", WORKDAY(Main[[#This Row],[Tech Start Date]],19),IF(Main[[#This Row],[Class]]="A",WORKDAY(Main[[#This Row],[Tech Start Date]],9),""))))</f>
        <v/>
      </c>
      <c r="Q591" s="67">
        <v>40259</v>
      </c>
      <c r="R591" s="67"/>
      <c r="S591" s="65" t="s">
        <v>11</v>
      </c>
      <c r="T591" s="70" t="s">
        <v>4</v>
      </c>
      <c r="U591" s="65" t="s">
        <v>14</v>
      </c>
      <c r="V591" s="65" t="s">
        <v>1917</v>
      </c>
      <c r="W591" s="65" t="s">
        <v>1928</v>
      </c>
      <c r="X591" s="65" t="s">
        <v>2823</v>
      </c>
      <c r="Y591" s="65" t="s">
        <v>4</v>
      </c>
      <c r="Z591" s="65" t="s">
        <v>4</v>
      </c>
      <c r="AA591" s="65" t="s">
        <v>2823</v>
      </c>
    </row>
    <row r="592" spans="1:27" ht="17.45" customHeight="1">
      <c r="A592" s="131" t="str">
        <f>IF(priority(Main[[#This Row],[Comments]])&lt;&gt;0, priority(Main[[#This Row],[Comments]]),"")</f>
        <v/>
      </c>
      <c r="B592" s="99" t="s">
        <v>1421</v>
      </c>
      <c r="C592" s="65" t="s">
        <v>4</v>
      </c>
      <c r="D592" s="66" t="s">
        <v>504</v>
      </c>
      <c r="E592" s="67">
        <v>40582.330949074072</v>
      </c>
      <c r="F592" s="67">
        <v>40664</v>
      </c>
      <c r="G592" s="64" t="str">
        <f>IF(stdProdLT(Main[[#This Row],[Comments]])=0.1,"N/A",IF(stdProdLT(Main[[#This Row],[Comments]])=0,"",stdProdLT(Main[[#This Row],[Comments]])))</f>
        <v/>
      </c>
      <c r="H592" s="68" t="str">
        <f>IF(AND(Main[[#This Row],[In Stock Date]]&lt;&gt;"",Main[[#This Row],[Revised Due Date]]&lt;&gt;""),Main[[#This Row],[In Stock Date]]-Main[[#This Row],[Revised Due Date]],"")</f>
        <v/>
      </c>
      <c r="I592" s="65" t="s">
        <v>4</v>
      </c>
      <c r="J592" s="65" t="s">
        <v>28</v>
      </c>
      <c r="K592" s="65" t="s">
        <v>1924</v>
      </c>
      <c r="L592" s="67"/>
      <c r="M592" s="69" t="str">
        <f>IF(Main[[#This Row],[Tech Start Date]]&lt;1/1/1990,"",IF(Main[[#This Row],[Class]]="C",WORKDAY(Main[[#This Row],[Tech Start Date]],9),IF(Main[[#This Row],[Class]]="B", WORKDAY(Main[[#This Row],[Tech Start Date]],6),IF(Main[[#This Row],[Class]]="A",WORKDAY(Main[[#This Row],[Tech Start Date]],2),""))))</f>
        <v/>
      </c>
      <c r="N592" s="69" t="str">
        <f>IF(Main[[#This Row],[Tech Start Date]]&lt;1/1/1990,"",IF(Main[[#This Row],[Class]]="C",WORKDAY(Main[[#This Row],[Tech Start Date]],19),IF(Main[[#This Row],[Class]]="B", WORKDAY(Main[[#This Row],[Tech Start Date]],12),IF(Main[[#This Row],[Class]]="A",WORKDAY(Main[[#This Row],[Tech Start Date]],4),""))))</f>
        <v/>
      </c>
      <c r="O592" s="69" t="str">
        <f>IF(Main[[#This Row],[Tech Start Date]]&lt;1/1/1990,"",IF(Main[[#This Row],[Class]]="C",WORKDAY(Main[[#This Row],[Tech Start Date]],23),IF(Main[[#This Row],[Class]]="B", WORKDAY(Main[[#This Row],[Tech Start Date]],15),IF(Main[[#This Row],[Class]]="A",WORKDAY(Main[[#This Row],[Tech Start Date]],5),""))))</f>
        <v/>
      </c>
      <c r="P592" s="69" t="str">
        <f>IF(Main[[#This Row],[Tech Start Date]]&lt;1/1/1990,"",IF(Main[[#This Row],[Class]]="C",WORKDAY(Main[[#This Row],[Tech Start Date]],28),IF(Main[[#This Row],[Class]]="B", WORKDAY(Main[[#This Row],[Tech Start Date]],19),IF(Main[[#This Row],[Class]]="A",WORKDAY(Main[[#This Row],[Tech Start Date]],9),""))))</f>
        <v/>
      </c>
      <c r="Q592" s="67">
        <v>40664</v>
      </c>
      <c r="R592" s="67"/>
      <c r="S592" s="65" t="s">
        <v>6</v>
      </c>
      <c r="T592" s="70" t="s">
        <v>4</v>
      </c>
      <c r="U592" s="65" t="s">
        <v>7</v>
      </c>
      <c r="V592" s="65" t="s">
        <v>1917</v>
      </c>
      <c r="W592" s="65" t="s">
        <v>1919</v>
      </c>
      <c r="X592" s="65" t="s">
        <v>2851</v>
      </c>
      <c r="Y592" s="65" t="s">
        <v>3071</v>
      </c>
      <c r="Z592" s="65" t="s">
        <v>129</v>
      </c>
      <c r="AA592" s="65" t="s">
        <v>2851</v>
      </c>
    </row>
    <row r="593" spans="1:27" ht="17.45" customHeight="1">
      <c r="A593" s="131" t="str">
        <f>IF(priority(Main[[#This Row],[Comments]])&lt;&gt;0, priority(Main[[#This Row],[Comments]]),"")</f>
        <v/>
      </c>
      <c r="B593" s="99" t="s">
        <v>1422</v>
      </c>
      <c r="C593" s="65" t="s">
        <v>4</v>
      </c>
      <c r="D593" s="66" t="s">
        <v>505</v>
      </c>
      <c r="E593" s="67"/>
      <c r="F593" s="67"/>
      <c r="G593" s="64" t="str">
        <f>IF(stdProdLT(Main[[#This Row],[Comments]])=0.1,"N/A",IF(stdProdLT(Main[[#This Row],[Comments]])=0,"",stdProdLT(Main[[#This Row],[Comments]])))</f>
        <v/>
      </c>
      <c r="H593" s="68" t="str">
        <f>IF(AND(Main[[#This Row],[In Stock Date]]&lt;&gt;"",Main[[#This Row],[Revised Due Date]]&lt;&gt;""),Main[[#This Row],[In Stock Date]]-Main[[#This Row],[Revised Due Date]],"")</f>
        <v/>
      </c>
      <c r="I593" s="65" t="s">
        <v>4</v>
      </c>
      <c r="J593" s="65" t="s">
        <v>4</v>
      </c>
      <c r="K593" s="65" t="s">
        <v>4</v>
      </c>
      <c r="L593" s="67"/>
      <c r="M593" s="69" t="str">
        <f>IF(Main[[#This Row],[Tech Start Date]]&lt;1/1/1990,"",IF(Main[[#This Row],[Class]]="C",WORKDAY(Main[[#This Row],[Tech Start Date]],9),IF(Main[[#This Row],[Class]]="B", WORKDAY(Main[[#This Row],[Tech Start Date]],6),IF(Main[[#This Row],[Class]]="A",WORKDAY(Main[[#This Row],[Tech Start Date]],2),""))))</f>
        <v/>
      </c>
      <c r="N593" s="69" t="str">
        <f>IF(Main[[#This Row],[Tech Start Date]]&lt;1/1/1990,"",IF(Main[[#This Row],[Class]]="C",WORKDAY(Main[[#This Row],[Tech Start Date]],19),IF(Main[[#This Row],[Class]]="B", WORKDAY(Main[[#This Row],[Tech Start Date]],12),IF(Main[[#This Row],[Class]]="A",WORKDAY(Main[[#This Row],[Tech Start Date]],4),""))))</f>
        <v/>
      </c>
      <c r="O593" s="69" t="str">
        <f>IF(Main[[#This Row],[Tech Start Date]]&lt;1/1/1990,"",IF(Main[[#This Row],[Class]]="C",WORKDAY(Main[[#This Row],[Tech Start Date]],23),IF(Main[[#This Row],[Class]]="B", WORKDAY(Main[[#This Row],[Tech Start Date]],15),IF(Main[[#This Row],[Class]]="A",WORKDAY(Main[[#This Row],[Tech Start Date]],5),""))))</f>
        <v/>
      </c>
      <c r="P593" s="69" t="str">
        <f>IF(Main[[#This Row],[Tech Start Date]]&lt;1/1/1990,"",IF(Main[[#This Row],[Class]]="C",WORKDAY(Main[[#This Row],[Tech Start Date]],28),IF(Main[[#This Row],[Class]]="B", WORKDAY(Main[[#This Row],[Tech Start Date]],19),IF(Main[[#This Row],[Class]]="A",WORKDAY(Main[[#This Row],[Tech Start Date]],9),""))))</f>
        <v/>
      </c>
      <c r="Q593" s="67"/>
      <c r="R593" s="67"/>
      <c r="S593" s="65" t="s">
        <v>11</v>
      </c>
      <c r="T593" s="70" t="s">
        <v>4</v>
      </c>
      <c r="U593" s="65" t="s">
        <v>14</v>
      </c>
      <c r="V593" s="65" t="s">
        <v>1920</v>
      </c>
      <c r="W593" s="65" t="s">
        <v>1925</v>
      </c>
      <c r="X593" s="65" t="s">
        <v>2853</v>
      </c>
      <c r="Y593" s="65" t="s">
        <v>2984</v>
      </c>
      <c r="Z593" s="65" t="s">
        <v>4</v>
      </c>
      <c r="AA593" s="65" t="s">
        <v>2853</v>
      </c>
    </row>
    <row r="594" spans="1:27" ht="17.45" customHeight="1">
      <c r="A594" s="131" t="str">
        <f>IF(priority(Main[[#This Row],[Comments]])&lt;&gt;0, priority(Main[[#This Row],[Comments]]),"")</f>
        <v/>
      </c>
      <c r="B594" s="99" t="s">
        <v>1423</v>
      </c>
      <c r="C594" s="65" t="s">
        <v>506</v>
      </c>
      <c r="D594" s="66" t="s">
        <v>507</v>
      </c>
      <c r="E594" s="67"/>
      <c r="F594" s="67"/>
      <c r="G594" s="64" t="str">
        <f>IF(stdProdLT(Main[[#This Row],[Comments]])=0.1,"N/A",IF(stdProdLT(Main[[#This Row],[Comments]])=0,"",stdProdLT(Main[[#This Row],[Comments]])))</f>
        <v/>
      </c>
      <c r="H594" s="68" t="str">
        <f>IF(AND(Main[[#This Row],[In Stock Date]]&lt;&gt;"",Main[[#This Row],[Revised Due Date]]&lt;&gt;""),Main[[#This Row],[In Stock Date]]-Main[[#This Row],[Revised Due Date]],"")</f>
        <v/>
      </c>
      <c r="I594" s="65" t="s">
        <v>4</v>
      </c>
      <c r="J594" s="65" t="s">
        <v>4</v>
      </c>
      <c r="K594" s="65" t="s">
        <v>4</v>
      </c>
      <c r="L594" s="67"/>
      <c r="M594" s="69" t="str">
        <f>IF(Main[[#This Row],[Tech Start Date]]&lt;1/1/1990,"",IF(Main[[#This Row],[Class]]="C",WORKDAY(Main[[#This Row],[Tech Start Date]],9),IF(Main[[#This Row],[Class]]="B", WORKDAY(Main[[#This Row],[Tech Start Date]],6),IF(Main[[#This Row],[Class]]="A",WORKDAY(Main[[#This Row],[Tech Start Date]],2),""))))</f>
        <v/>
      </c>
      <c r="N594" s="69" t="str">
        <f>IF(Main[[#This Row],[Tech Start Date]]&lt;1/1/1990,"",IF(Main[[#This Row],[Class]]="C",WORKDAY(Main[[#This Row],[Tech Start Date]],19),IF(Main[[#This Row],[Class]]="B", WORKDAY(Main[[#This Row],[Tech Start Date]],12),IF(Main[[#This Row],[Class]]="A",WORKDAY(Main[[#This Row],[Tech Start Date]],4),""))))</f>
        <v/>
      </c>
      <c r="O594" s="69" t="str">
        <f>IF(Main[[#This Row],[Tech Start Date]]&lt;1/1/1990,"",IF(Main[[#This Row],[Class]]="C",WORKDAY(Main[[#This Row],[Tech Start Date]],23),IF(Main[[#This Row],[Class]]="B", WORKDAY(Main[[#This Row],[Tech Start Date]],15),IF(Main[[#This Row],[Class]]="A",WORKDAY(Main[[#This Row],[Tech Start Date]],5),""))))</f>
        <v/>
      </c>
      <c r="P594" s="69" t="str">
        <f>IF(Main[[#This Row],[Tech Start Date]]&lt;1/1/1990,"",IF(Main[[#This Row],[Class]]="C",WORKDAY(Main[[#This Row],[Tech Start Date]],28),IF(Main[[#This Row],[Class]]="B", WORKDAY(Main[[#This Row],[Tech Start Date]],19),IF(Main[[#This Row],[Class]]="A",WORKDAY(Main[[#This Row],[Tech Start Date]],9),""))))</f>
        <v/>
      </c>
      <c r="Q594" s="67">
        <v>40042</v>
      </c>
      <c r="R594" s="67"/>
      <c r="S594" s="65" t="s">
        <v>11</v>
      </c>
      <c r="T594" s="70" t="s">
        <v>4</v>
      </c>
      <c r="U594" s="65" t="s">
        <v>14</v>
      </c>
      <c r="V594" s="65" t="s">
        <v>1918</v>
      </c>
      <c r="W594" s="65" t="s">
        <v>1931</v>
      </c>
      <c r="X594" s="65" t="s">
        <v>747</v>
      </c>
      <c r="Y594" s="65" t="s">
        <v>3072</v>
      </c>
      <c r="Z594" s="65" t="s">
        <v>4</v>
      </c>
      <c r="AA594" s="65" t="s">
        <v>747</v>
      </c>
    </row>
    <row r="595" spans="1:27" ht="17.45" customHeight="1">
      <c r="A595" s="131" t="str">
        <f>IF(priority(Main[[#This Row],[Comments]])&lt;&gt;0, priority(Main[[#This Row],[Comments]]),"")</f>
        <v/>
      </c>
      <c r="B595" s="99" t="s">
        <v>1967</v>
      </c>
      <c r="C595" s="65" t="s">
        <v>4</v>
      </c>
      <c r="D595" s="66" t="s">
        <v>1968</v>
      </c>
      <c r="E595" s="67"/>
      <c r="F595" s="67"/>
      <c r="G595" s="64" t="str">
        <f>IF(stdProdLT(Main[[#This Row],[Comments]])=0.1,"N/A",IF(stdProdLT(Main[[#This Row],[Comments]])=0,"",stdProdLT(Main[[#This Row],[Comments]])))</f>
        <v/>
      </c>
      <c r="H595" s="68" t="str">
        <f>IF(AND(Main[[#This Row],[In Stock Date]]&lt;&gt;"",Main[[#This Row],[Revised Due Date]]&lt;&gt;""),Main[[#This Row],[In Stock Date]]-Main[[#This Row],[Revised Due Date]],"")</f>
        <v/>
      </c>
      <c r="I595" s="65" t="s">
        <v>4</v>
      </c>
      <c r="J595" s="65" t="s">
        <v>4</v>
      </c>
      <c r="K595" s="65" t="s">
        <v>4</v>
      </c>
      <c r="L595" s="67"/>
      <c r="M595" s="69" t="str">
        <f>IF(Main[[#This Row],[Tech Start Date]]&lt;1/1/1990,"",IF(Main[[#This Row],[Class]]="C",WORKDAY(Main[[#This Row],[Tech Start Date]],9),IF(Main[[#This Row],[Class]]="B", WORKDAY(Main[[#This Row],[Tech Start Date]],6),IF(Main[[#This Row],[Class]]="A",WORKDAY(Main[[#This Row],[Tech Start Date]],2),""))))</f>
        <v/>
      </c>
      <c r="N595" s="69" t="str">
        <f>IF(Main[[#This Row],[Tech Start Date]]&lt;1/1/1990,"",IF(Main[[#This Row],[Class]]="C",WORKDAY(Main[[#This Row],[Tech Start Date]],19),IF(Main[[#This Row],[Class]]="B", WORKDAY(Main[[#This Row],[Tech Start Date]],12),IF(Main[[#This Row],[Class]]="A",WORKDAY(Main[[#This Row],[Tech Start Date]],4),""))))</f>
        <v/>
      </c>
      <c r="O595" s="69" t="str">
        <f>IF(Main[[#This Row],[Tech Start Date]]&lt;1/1/1990,"",IF(Main[[#This Row],[Class]]="C",WORKDAY(Main[[#This Row],[Tech Start Date]],23),IF(Main[[#This Row],[Class]]="B", WORKDAY(Main[[#This Row],[Tech Start Date]],15),IF(Main[[#This Row],[Class]]="A",WORKDAY(Main[[#This Row],[Tech Start Date]],5),""))))</f>
        <v/>
      </c>
      <c r="P595" s="69" t="str">
        <f>IF(Main[[#This Row],[Tech Start Date]]&lt;1/1/1990,"",IF(Main[[#This Row],[Class]]="C",WORKDAY(Main[[#This Row],[Tech Start Date]],28),IF(Main[[#This Row],[Class]]="B", WORKDAY(Main[[#This Row],[Tech Start Date]],19),IF(Main[[#This Row],[Class]]="A",WORKDAY(Main[[#This Row],[Tech Start Date]],9),""))))</f>
        <v/>
      </c>
      <c r="Q595" s="67"/>
      <c r="R595" s="67"/>
      <c r="S595" s="65" t="s">
        <v>23</v>
      </c>
      <c r="T595" s="70" t="s">
        <v>4</v>
      </c>
      <c r="U595" s="65" t="s">
        <v>14</v>
      </c>
      <c r="V595" s="65" t="s">
        <v>1917</v>
      </c>
      <c r="W595" s="65" t="s">
        <v>1921</v>
      </c>
      <c r="X595" s="65" t="s">
        <v>102</v>
      </c>
      <c r="Y595" s="65" t="s">
        <v>3073</v>
      </c>
      <c r="Z595" s="65" t="s">
        <v>4</v>
      </c>
      <c r="AA595" s="65" t="s">
        <v>3429</v>
      </c>
    </row>
    <row r="596" spans="1:27" ht="17.45" customHeight="1">
      <c r="A596" s="131" t="str">
        <f>IF(priority(Main[[#This Row],[Comments]])&lt;&gt;0, priority(Main[[#This Row],[Comments]]),"")</f>
        <v/>
      </c>
      <c r="B596" s="99" t="s">
        <v>1424</v>
      </c>
      <c r="C596" s="65" t="s">
        <v>4</v>
      </c>
      <c r="D596" s="66" t="s">
        <v>508</v>
      </c>
      <c r="E596" s="67">
        <v>40322.154652777775</v>
      </c>
      <c r="F596" s="67"/>
      <c r="G596" s="64" t="str">
        <f>IF(stdProdLT(Main[[#This Row],[Comments]])=0.1,"N/A",IF(stdProdLT(Main[[#This Row],[Comments]])=0,"",stdProdLT(Main[[#This Row],[Comments]])))</f>
        <v/>
      </c>
      <c r="H596" s="68" t="str">
        <f>IF(AND(Main[[#This Row],[In Stock Date]]&lt;&gt;"",Main[[#This Row],[Revised Due Date]]&lt;&gt;""),Main[[#This Row],[In Stock Date]]-Main[[#This Row],[Revised Due Date]],"")</f>
        <v/>
      </c>
      <c r="I596" s="65" t="s">
        <v>129</v>
      </c>
      <c r="J596" s="65" t="s">
        <v>4</v>
      </c>
      <c r="K596" s="65" t="s">
        <v>4</v>
      </c>
      <c r="L596" s="67"/>
      <c r="M596" s="69" t="str">
        <f>IF(Main[[#This Row],[Tech Start Date]]&lt;1/1/1990,"",IF(Main[[#This Row],[Class]]="C",WORKDAY(Main[[#This Row],[Tech Start Date]],9),IF(Main[[#This Row],[Class]]="B", WORKDAY(Main[[#This Row],[Tech Start Date]],6),IF(Main[[#This Row],[Class]]="A",WORKDAY(Main[[#This Row],[Tech Start Date]],2),""))))</f>
        <v/>
      </c>
      <c r="N596" s="69" t="str">
        <f>IF(Main[[#This Row],[Tech Start Date]]&lt;1/1/1990,"",IF(Main[[#This Row],[Class]]="C",WORKDAY(Main[[#This Row],[Tech Start Date]],19),IF(Main[[#This Row],[Class]]="B", WORKDAY(Main[[#This Row],[Tech Start Date]],12),IF(Main[[#This Row],[Class]]="A",WORKDAY(Main[[#This Row],[Tech Start Date]],4),""))))</f>
        <v/>
      </c>
      <c r="O596" s="69" t="str">
        <f>IF(Main[[#This Row],[Tech Start Date]]&lt;1/1/1990,"",IF(Main[[#This Row],[Class]]="C",WORKDAY(Main[[#This Row],[Tech Start Date]],23),IF(Main[[#This Row],[Class]]="B", WORKDAY(Main[[#This Row],[Tech Start Date]],15),IF(Main[[#This Row],[Class]]="A",WORKDAY(Main[[#This Row],[Tech Start Date]],5),""))))</f>
        <v/>
      </c>
      <c r="P596" s="69" t="str">
        <f>IF(Main[[#This Row],[Tech Start Date]]&lt;1/1/1990,"",IF(Main[[#This Row],[Class]]="C",WORKDAY(Main[[#This Row],[Tech Start Date]],28),IF(Main[[#This Row],[Class]]="B", WORKDAY(Main[[#This Row],[Tech Start Date]],19),IF(Main[[#This Row],[Class]]="A",WORKDAY(Main[[#This Row],[Tech Start Date]],9),""))))</f>
        <v/>
      </c>
      <c r="Q596" s="67">
        <v>40353</v>
      </c>
      <c r="R596" s="67"/>
      <c r="S596" s="65" t="s">
        <v>6</v>
      </c>
      <c r="T596" s="70" t="s">
        <v>4</v>
      </c>
      <c r="U596" s="65" t="s">
        <v>7</v>
      </c>
      <c r="V596" s="65" t="s">
        <v>1917</v>
      </c>
      <c r="W596" s="65" t="s">
        <v>1919</v>
      </c>
      <c r="X596" s="65" t="s">
        <v>2828</v>
      </c>
      <c r="Y596" s="65" t="s">
        <v>2944</v>
      </c>
      <c r="Z596" s="65" t="s">
        <v>4</v>
      </c>
      <c r="AA596" s="65" t="s">
        <v>2828</v>
      </c>
    </row>
    <row r="597" spans="1:27" ht="17.45" customHeight="1">
      <c r="A597" s="131" t="str">
        <f>IF(priority(Main[[#This Row],[Comments]])&lt;&gt;0, priority(Main[[#This Row],[Comments]]),"")</f>
        <v/>
      </c>
      <c r="B597" s="99" t="s">
        <v>1425</v>
      </c>
      <c r="C597" s="65" t="s">
        <v>4</v>
      </c>
      <c r="D597" s="66" t="s">
        <v>509</v>
      </c>
      <c r="E597" s="67"/>
      <c r="F597" s="67"/>
      <c r="G597" s="64" t="str">
        <f>IF(stdProdLT(Main[[#This Row],[Comments]])=0.1,"N/A",IF(stdProdLT(Main[[#This Row],[Comments]])=0,"",stdProdLT(Main[[#This Row],[Comments]])))</f>
        <v/>
      </c>
      <c r="H597" s="68" t="str">
        <f>IF(AND(Main[[#This Row],[In Stock Date]]&lt;&gt;"",Main[[#This Row],[Revised Due Date]]&lt;&gt;""),Main[[#This Row],[In Stock Date]]-Main[[#This Row],[Revised Due Date]],"")</f>
        <v/>
      </c>
      <c r="I597" s="65" t="s">
        <v>4</v>
      </c>
      <c r="J597" s="65" t="s">
        <v>4</v>
      </c>
      <c r="K597" s="65" t="s">
        <v>4</v>
      </c>
      <c r="L597" s="67"/>
      <c r="M597" s="69" t="str">
        <f>IF(Main[[#This Row],[Tech Start Date]]&lt;1/1/1990,"",IF(Main[[#This Row],[Class]]="C",WORKDAY(Main[[#This Row],[Tech Start Date]],9),IF(Main[[#This Row],[Class]]="B", WORKDAY(Main[[#This Row],[Tech Start Date]],6),IF(Main[[#This Row],[Class]]="A",WORKDAY(Main[[#This Row],[Tech Start Date]],2),""))))</f>
        <v/>
      </c>
      <c r="N597" s="69" t="str">
        <f>IF(Main[[#This Row],[Tech Start Date]]&lt;1/1/1990,"",IF(Main[[#This Row],[Class]]="C",WORKDAY(Main[[#This Row],[Tech Start Date]],19),IF(Main[[#This Row],[Class]]="B", WORKDAY(Main[[#This Row],[Tech Start Date]],12),IF(Main[[#This Row],[Class]]="A",WORKDAY(Main[[#This Row],[Tech Start Date]],4),""))))</f>
        <v/>
      </c>
      <c r="O597" s="69" t="str">
        <f>IF(Main[[#This Row],[Tech Start Date]]&lt;1/1/1990,"",IF(Main[[#This Row],[Class]]="C",WORKDAY(Main[[#This Row],[Tech Start Date]],23),IF(Main[[#This Row],[Class]]="B", WORKDAY(Main[[#This Row],[Tech Start Date]],15),IF(Main[[#This Row],[Class]]="A",WORKDAY(Main[[#This Row],[Tech Start Date]],5),""))))</f>
        <v/>
      </c>
      <c r="P597" s="69" t="str">
        <f>IF(Main[[#This Row],[Tech Start Date]]&lt;1/1/1990,"",IF(Main[[#This Row],[Class]]="C",WORKDAY(Main[[#This Row],[Tech Start Date]],28),IF(Main[[#This Row],[Class]]="B", WORKDAY(Main[[#This Row],[Tech Start Date]],19),IF(Main[[#This Row],[Class]]="A",WORKDAY(Main[[#This Row],[Tech Start Date]],9),""))))</f>
        <v/>
      </c>
      <c r="Q597" s="67"/>
      <c r="R597" s="67"/>
      <c r="S597" s="65" t="s">
        <v>4</v>
      </c>
      <c r="T597" s="70" t="s">
        <v>4</v>
      </c>
      <c r="U597" s="65" t="s">
        <v>14</v>
      </c>
      <c r="V597" s="65" t="s">
        <v>1917</v>
      </c>
      <c r="W597" s="65" t="s">
        <v>4</v>
      </c>
      <c r="X597" s="65" t="s">
        <v>2894</v>
      </c>
      <c r="Y597" s="65" t="s">
        <v>3050</v>
      </c>
      <c r="Z597" s="65" t="s">
        <v>4</v>
      </c>
      <c r="AA597" s="65" t="s">
        <v>2894</v>
      </c>
    </row>
    <row r="598" spans="1:27" ht="17.45" customHeight="1">
      <c r="A598" s="131" t="str">
        <f>IF(priority(Main[[#This Row],[Comments]])&lt;&gt;0, priority(Main[[#This Row],[Comments]]),"")</f>
        <v/>
      </c>
      <c r="B598" s="99" t="s">
        <v>1428</v>
      </c>
      <c r="C598" s="65" t="s">
        <v>31</v>
      </c>
      <c r="D598" s="66" t="s">
        <v>510</v>
      </c>
      <c r="E598" s="67"/>
      <c r="F598" s="67"/>
      <c r="G598" s="64" t="str">
        <f>IF(stdProdLT(Main[[#This Row],[Comments]])=0.1,"N/A",IF(stdProdLT(Main[[#This Row],[Comments]])=0,"",stdProdLT(Main[[#This Row],[Comments]])))</f>
        <v/>
      </c>
      <c r="H598" s="68" t="str">
        <f>IF(AND(Main[[#This Row],[In Stock Date]]&lt;&gt;"",Main[[#This Row],[Revised Due Date]]&lt;&gt;""),Main[[#This Row],[In Stock Date]]-Main[[#This Row],[Revised Due Date]],"")</f>
        <v/>
      </c>
      <c r="I598" s="65" t="s">
        <v>4</v>
      </c>
      <c r="J598" s="65" t="s">
        <v>4</v>
      </c>
      <c r="K598" s="71" t="s">
        <v>4</v>
      </c>
      <c r="L598" s="67"/>
      <c r="M598" s="69" t="str">
        <f>IF(Main[[#This Row],[Tech Start Date]]&lt;1/1/1990,"",IF(Main[[#This Row],[Class]]="C",WORKDAY(Main[[#This Row],[Tech Start Date]],9),IF(Main[[#This Row],[Class]]="B", WORKDAY(Main[[#This Row],[Tech Start Date]],6),IF(Main[[#This Row],[Class]]="A",WORKDAY(Main[[#This Row],[Tech Start Date]],2),""))))</f>
        <v/>
      </c>
      <c r="N598" s="69" t="str">
        <f>IF(Main[[#This Row],[Tech Start Date]]&lt;1/1/1990,"",IF(Main[[#This Row],[Class]]="C",WORKDAY(Main[[#This Row],[Tech Start Date]],19),IF(Main[[#This Row],[Class]]="B", WORKDAY(Main[[#This Row],[Tech Start Date]],12),IF(Main[[#This Row],[Class]]="A",WORKDAY(Main[[#This Row],[Tech Start Date]],4),""))))</f>
        <v/>
      </c>
      <c r="O598" s="69" t="str">
        <f>IF(Main[[#This Row],[Tech Start Date]]&lt;1/1/1990,"",IF(Main[[#This Row],[Class]]="C",WORKDAY(Main[[#This Row],[Tech Start Date]],23),IF(Main[[#This Row],[Class]]="B", WORKDAY(Main[[#This Row],[Tech Start Date]],15),IF(Main[[#This Row],[Class]]="A",WORKDAY(Main[[#This Row],[Tech Start Date]],5),""))))</f>
        <v/>
      </c>
      <c r="P598" s="69" t="str">
        <f>IF(Main[[#This Row],[Tech Start Date]]&lt;1/1/1990,"",IF(Main[[#This Row],[Class]]="C",WORKDAY(Main[[#This Row],[Tech Start Date]],28),IF(Main[[#This Row],[Class]]="B", WORKDAY(Main[[#This Row],[Tech Start Date]],19),IF(Main[[#This Row],[Class]]="A",WORKDAY(Main[[#This Row],[Tech Start Date]],9),""))))</f>
        <v/>
      </c>
      <c r="Q598" s="67">
        <v>40318</v>
      </c>
      <c r="R598" s="67"/>
      <c r="S598" s="65" t="s">
        <v>11</v>
      </c>
      <c r="T598" s="70" t="s">
        <v>4</v>
      </c>
      <c r="U598" s="65" t="s">
        <v>14</v>
      </c>
      <c r="V598" s="65" t="s">
        <v>1920</v>
      </c>
      <c r="W598" s="65" t="s">
        <v>1928</v>
      </c>
      <c r="X598" s="65" t="s">
        <v>2836</v>
      </c>
      <c r="Y598" s="65" t="s">
        <v>4</v>
      </c>
      <c r="Z598" s="65" t="s">
        <v>4</v>
      </c>
      <c r="AA598" s="65" t="s">
        <v>2836</v>
      </c>
    </row>
    <row r="599" spans="1:27" ht="17.45" customHeight="1">
      <c r="A599" s="131" t="str">
        <f>IF(priority(Main[[#This Row],[Comments]])&lt;&gt;0, priority(Main[[#This Row],[Comments]]),"")</f>
        <v/>
      </c>
      <c r="B599" s="99" t="s">
        <v>1429</v>
      </c>
      <c r="C599" s="65" t="s">
        <v>47</v>
      </c>
      <c r="D599" s="66" t="s">
        <v>511</v>
      </c>
      <c r="E599" s="67"/>
      <c r="F599" s="67"/>
      <c r="G599" s="64" t="str">
        <f>IF(stdProdLT(Main[[#This Row],[Comments]])=0.1,"N/A",IF(stdProdLT(Main[[#This Row],[Comments]])=0,"",stdProdLT(Main[[#This Row],[Comments]])))</f>
        <v/>
      </c>
      <c r="H599" s="68" t="str">
        <f>IF(AND(Main[[#This Row],[In Stock Date]]&lt;&gt;"",Main[[#This Row],[Revised Due Date]]&lt;&gt;""),Main[[#This Row],[In Stock Date]]-Main[[#This Row],[Revised Due Date]],"")</f>
        <v/>
      </c>
      <c r="I599" s="65" t="s">
        <v>4</v>
      </c>
      <c r="J599" s="65" t="s">
        <v>4</v>
      </c>
      <c r="K599" s="71" t="s">
        <v>4</v>
      </c>
      <c r="L599" s="67"/>
      <c r="M599" s="69" t="str">
        <f>IF(Main[[#This Row],[Tech Start Date]]&lt;1/1/1990,"",IF(Main[[#This Row],[Class]]="C",WORKDAY(Main[[#This Row],[Tech Start Date]],9),IF(Main[[#This Row],[Class]]="B", WORKDAY(Main[[#This Row],[Tech Start Date]],6),IF(Main[[#This Row],[Class]]="A",WORKDAY(Main[[#This Row],[Tech Start Date]],2),""))))</f>
        <v/>
      </c>
      <c r="N599" s="69" t="str">
        <f>IF(Main[[#This Row],[Tech Start Date]]&lt;1/1/1990,"",IF(Main[[#This Row],[Class]]="C",WORKDAY(Main[[#This Row],[Tech Start Date]],19),IF(Main[[#This Row],[Class]]="B", WORKDAY(Main[[#This Row],[Tech Start Date]],12),IF(Main[[#This Row],[Class]]="A",WORKDAY(Main[[#This Row],[Tech Start Date]],4),""))))</f>
        <v/>
      </c>
      <c r="O599" s="69" t="str">
        <f>IF(Main[[#This Row],[Tech Start Date]]&lt;1/1/1990,"",IF(Main[[#This Row],[Class]]="C",WORKDAY(Main[[#This Row],[Tech Start Date]],23),IF(Main[[#This Row],[Class]]="B", WORKDAY(Main[[#This Row],[Tech Start Date]],15),IF(Main[[#This Row],[Class]]="A",WORKDAY(Main[[#This Row],[Tech Start Date]],5),""))))</f>
        <v/>
      </c>
      <c r="P599" s="69" t="str">
        <f>IF(Main[[#This Row],[Tech Start Date]]&lt;1/1/1990,"",IF(Main[[#This Row],[Class]]="C",WORKDAY(Main[[#This Row],[Tech Start Date]],28),IF(Main[[#This Row],[Class]]="B", WORKDAY(Main[[#This Row],[Tech Start Date]],19),IF(Main[[#This Row],[Class]]="A",WORKDAY(Main[[#This Row],[Tech Start Date]],9),""))))</f>
        <v/>
      </c>
      <c r="Q599" s="67"/>
      <c r="R599" s="67"/>
      <c r="S599" s="65" t="s">
        <v>11</v>
      </c>
      <c r="T599" s="70" t="s">
        <v>4</v>
      </c>
      <c r="U599" s="65" t="s">
        <v>14</v>
      </c>
      <c r="V599" s="65" t="s">
        <v>1918</v>
      </c>
      <c r="W599" s="65" t="s">
        <v>1921</v>
      </c>
      <c r="X599" s="65" t="s">
        <v>306</v>
      </c>
      <c r="Y599" s="65" t="s">
        <v>2947</v>
      </c>
      <c r="Z599" s="65" t="s">
        <v>4</v>
      </c>
      <c r="AA599" s="65" t="s">
        <v>3388</v>
      </c>
    </row>
    <row r="600" spans="1:27" ht="17.45" customHeight="1">
      <c r="A600" s="131" t="str">
        <f>IF(priority(Main[[#This Row],[Comments]])&lt;&gt;0, priority(Main[[#This Row],[Comments]]),"")</f>
        <v/>
      </c>
      <c r="B600" s="99" t="s">
        <v>1430</v>
      </c>
      <c r="C600" s="65" t="s">
        <v>4</v>
      </c>
      <c r="D600" s="66" t="s">
        <v>512</v>
      </c>
      <c r="E600" s="67">
        <v>40465.986851851849</v>
      </c>
      <c r="F600" s="67"/>
      <c r="G600" s="64" t="str">
        <f>IF(stdProdLT(Main[[#This Row],[Comments]])=0.1,"N/A",IF(stdProdLT(Main[[#This Row],[Comments]])=0,"",stdProdLT(Main[[#This Row],[Comments]])))</f>
        <v/>
      </c>
      <c r="H600" s="68" t="str">
        <f>IF(AND(Main[[#This Row],[In Stock Date]]&lt;&gt;"",Main[[#This Row],[Revised Due Date]]&lt;&gt;""),Main[[#This Row],[In Stock Date]]-Main[[#This Row],[Revised Due Date]],"")</f>
        <v/>
      </c>
      <c r="I600" s="65" t="s">
        <v>4</v>
      </c>
      <c r="J600" s="65" t="s">
        <v>28</v>
      </c>
      <c r="K600" s="65" t="s">
        <v>4</v>
      </c>
      <c r="L600" s="67"/>
      <c r="M600" s="69" t="str">
        <f>IF(Main[[#This Row],[Tech Start Date]]&lt;1/1/1990,"",IF(Main[[#This Row],[Class]]="C",WORKDAY(Main[[#This Row],[Tech Start Date]],9),IF(Main[[#This Row],[Class]]="B", WORKDAY(Main[[#This Row],[Tech Start Date]],6),IF(Main[[#This Row],[Class]]="A",WORKDAY(Main[[#This Row],[Tech Start Date]],2),""))))</f>
        <v/>
      </c>
      <c r="N600" s="69" t="str">
        <f>IF(Main[[#This Row],[Tech Start Date]]&lt;1/1/1990,"",IF(Main[[#This Row],[Class]]="C",WORKDAY(Main[[#This Row],[Tech Start Date]],19),IF(Main[[#This Row],[Class]]="B", WORKDAY(Main[[#This Row],[Tech Start Date]],12),IF(Main[[#This Row],[Class]]="A",WORKDAY(Main[[#This Row],[Tech Start Date]],4),""))))</f>
        <v/>
      </c>
      <c r="O600" s="69" t="str">
        <f>IF(Main[[#This Row],[Tech Start Date]]&lt;1/1/1990,"",IF(Main[[#This Row],[Class]]="C",WORKDAY(Main[[#This Row],[Tech Start Date]],23),IF(Main[[#This Row],[Class]]="B", WORKDAY(Main[[#This Row],[Tech Start Date]],15),IF(Main[[#This Row],[Class]]="A",WORKDAY(Main[[#This Row],[Tech Start Date]],5),""))))</f>
        <v/>
      </c>
      <c r="P600" s="69" t="str">
        <f>IF(Main[[#This Row],[Tech Start Date]]&lt;1/1/1990,"",IF(Main[[#This Row],[Class]]="C",WORKDAY(Main[[#This Row],[Tech Start Date]],28),IF(Main[[#This Row],[Class]]="B", WORKDAY(Main[[#This Row],[Tech Start Date]],19),IF(Main[[#This Row],[Class]]="A",WORKDAY(Main[[#This Row],[Tech Start Date]],9),""))))</f>
        <v/>
      </c>
      <c r="Q600" s="67"/>
      <c r="R600" s="67"/>
      <c r="S600" s="65" t="s">
        <v>6</v>
      </c>
      <c r="T600" s="70" t="s">
        <v>4</v>
      </c>
      <c r="U600" s="65" t="s">
        <v>7</v>
      </c>
      <c r="V600" s="65" t="s">
        <v>1917</v>
      </c>
      <c r="W600" s="65" t="s">
        <v>1921</v>
      </c>
      <c r="X600" s="65" t="s">
        <v>2872</v>
      </c>
      <c r="Y600" s="65" t="s">
        <v>3006</v>
      </c>
      <c r="Z600" s="65" t="s">
        <v>129</v>
      </c>
      <c r="AA600" s="65" t="s">
        <v>2872</v>
      </c>
    </row>
    <row r="601" spans="1:27" ht="17.45" customHeight="1">
      <c r="A601" s="131" t="str">
        <f>IF(priority(Main[[#This Row],[Comments]])&lt;&gt;0, priority(Main[[#This Row],[Comments]]),"")</f>
        <v/>
      </c>
      <c r="B601" s="99" t="s">
        <v>1255</v>
      </c>
      <c r="C601" s="65" t="s">
        <v>4</v>
      </c>
      <c r="D601" s="66" t="s">
        <v>319</v>
      </c>
      <c r="E601" s="67">
        <v>40014.430787037039</v>
      </c>
      <c r="F601" s="67"/>
      <c r="G601" s="64" t="str">
        <f>IF(stdProdLT(Main[[#This Row],[Comments]])=0.1,"N/A",IF(stdProdLT(Main[[#This Row],[Comments]])=0,"",stdProdLT(Main[[#This Row],[Comments]])))</f>
        <v/>
      </c>
      <c r="H601" s="68" t="str">
        <f>IF(AND(Main[[#This Row],[In Stock Date]]&lt;&gt;"",Main[[#This Row],[Revised Due Date]]&lt;&gt;""),Main[[#This Row],[In Stock Date]]-Main[[#This Row],[Revised Due Date]],"")</f>
        <v/>
      </c>
      <c r="I601" s="65" t="s">
        <v>2016</v>
      </c>
      <c r="J601" s="65" t="s">
        <v>28</v>
      </c>
      <c r="K601" s="65" t="s">
        <v>4</v>
      </c>
      <c r="L601" s="67"/>
      <c r="M601" s="69" t="str">
        <f>IF(Main[[#This Row],[Tech Start Date]]&lt;1/1/1990,"",IF(Main[[#This Row],[Class]]="C",WORKDAY(Main[[#This Row],[Tech Start Date]],9),IF(Main[[#This Row],[Class]]="B", WORKDAY(Main[[#This Row],[Tech Start Date]],6),IF(Main[[#This Row],[Class]]="A",WORKDAY(Main[[#This Row],[Tech Start Date]],2),""))))</f>
        <v/>
      </c>
      <c r="N601" s="69" t="str">
        <f>IF(Main[[#This Row],[Tech Start Date]]&lt;1/1/1990,"",IF(Main[[#This Row],[Class]]="C",WORKDAY(Main[[#This Row],[Tech Start Date]],19),IF(Main[[#This Row],[Class]]="B", WORKDAY(Main[[#This Row],[Tech Start Date]],12),IF(Main[[#This Row],[Class]]="A",WORKDAY(Main[[#This Row],[Tech Start Date]],4),""))))</f>
        <v/>
      </c>
      <c r="O601" s="69" t="str">
        <f>IF(Main[[#This Row],[Tech Start Date]]&lt;1/1/1990,"",IF(Main[[#This Row],[Class]]="C",WORKDAY(Main[[#This Row],[Tech Start Date]],23),IF(Main[[#This Row],[Class]]="B", WORKDAY(Main[[#This Row],[Tech Start Date]],15),IF(Main[[#This Row],[Class]]="A",WORKDAY(Main[[#This Row],[Tech Start Date]],5),""))))</f>
        <v/>
      </c>
      <c r="P601" s="69" t="str">
        <f>IF(Main[[#This Row],[Tech Start Date]]&lt;1/1/1990,"",IF(Main[[#This Row],[Class]]="C",WORKDAY(Main[[#This Row],[Tech Start Date]],28),IF(Main[[#This Row],[Class]]="B", WORKDAY(Main[[#This Row],[Tech Start Date]],19),IF(Main[[#This Row],[Class]]="A",WORKDAY(Main[[#This Row],[Tech Start Date]],9),""))))</f>
        <v/>
      </c>
      <c r="Q601" s="67">
        <v>40237</v>
      </c>
      <c r="R601" s="67"/>
      <c r="S601" s="65" t="s">
        <v>17</v>
      </c>
      <c r="T601" s="70" t="s">
        <v>4</v>
      </c>
      <c r="U601" s="65" t="s">
        <v>7</v>
      </c>
      <c r="V601" s="65" t="s">
        <v>1932</v>
      </c>
      <c r="W601" s="65" t="s">
        <v>1925</v>
      </c>
      <c r="X601" s="65" t="s">
        <v>2868</v>
      </c>
      <c r="Y601" s="65" t="s">
        <v>3051</v>
      </c>
      <c r="Z601" s="65" t="s">
        <v>2214</v>
      </c>
      <c r="AA601" s="65" t="s">
        <v>2016</v>
      </c>
    </row>
    <row r="602" spans="1:27" ht="17.45" customHeight="1">
      <c r="A602" s="131" t="str">
        <f>IF(priority(Main[[#This Row],[Comments]])&lt;&gt;0, priority(Main[[#This Row],[Comments]]),"")</f>
        <v/>
      </c>
      <c r="B602" s="99" t="s">
        <v>1431</v>
      </c>
      <c r="C602" s="65" t="s">
        <v>72</v>
      </c>
      <c r="D602" s="66" t="s">
        <v>513</v>
      </c>
      <c r="E602" s="67"/>
      <c r="F602" s="67">
        <v>40544</v>
      </c>
      <c r="G602" s="64" t="str">
        <f>IF(stdProdLT(Main[[#This Row],[Comments]])=0.1,"N/A",IF(stdProdLT(Main[[#This Row],[Comments]])=0,"",stdProdLT(Main[[#This Row],[Comments]])))</f>
        <v/>
      </c>
      <c r="H602" s="68" t="str">
        <f>IF(AND(Main[[#This Row],[In Stock Date]]&lt;&gt;"",Main[[#This Row],[Revised Due Date]]&lt;&gt;""),Main[[#This Row],[In Stock Date]]-Main[[#This Row],[Revised Due Date]],"")</f>
        <v/>
      </c>
      <c r="I602" s="65" t="s">
        <v>4</v>
      </c>
      <c r="J602" s="65" t="s">
        <v>4</v>
      </c>
      <c r="K602" s="65" t="s">
        <v>4</v>
      </c>
      <c r="L602" s="67"/>
      <c r="M602" s="69" t="str">
        <f>IF(Main[[#This Row],[Tech Start Date]]&lt;1/1/1990,"",IF(Main[[#This Row],[Class]]="C",WORKDAY(Main[[#This Row],[Tech Start Date]],9),IF(Main[[#This Row],[Class]]="B", WORKDAY(Main[[#This Row],[Tech Start Date]],6),IF(Main[[#This Row],[Class]]="A",WORKDAY(Main[[#This Row],[Tech Start Date]],2),""))))</f>
        <v/>
      </c>
      <c r="N602" s="69" t="str">
        <f>IF(Main[[#This Row],[Tech Start Date]]&lt;1/1/1990,"",IF(Main[[#This Row],[Class]]="C",WORKDAY(Main[[#This Row],[Tech Start Date]],19),IF(Main[[#This Row],[Class]]="B", WORKDAY(Main[[#This Row],[Tech Start Date]],12),IF(Main[[#This Row],[Class]]="A",WORKDAY(Main[[#This Row],[Tech Start Date]],4),""))))</f>
        <v/>
      </c>
      <c r="O602" s="69" t="str">
        <f>IF(Main[[#This Row],[Tech Start Date]]&lt;1/1/1990,"",IF(Main[[#This Row],[Class]]="C",WORKDAY(Main[[#This Row],[Tech Start Date]],23),IF(Main[[#This Row],[Class]]="B", WORKDAY(Main[[#This Row],[Tech Start Date]],15),IF(Main[[#This Row],[Class]]="A",WORKDAY(Main[[#This Row],[Tech Start Date]],5),""))))</f>
        <v/>
      </c>
      <c r="P602" s="69" t="str">
        <f>IF(Main[[#This Row],[Tech Start Date]]&lt;1/1/1990,"",IF(Main[[#This Row],[Class]]="C",WORKDAY(Main[[#This Row],[Tech Start Date]],28),IF(Main[[#This Row],[Class]]="B", WORKDAY(Main[[#This Row],[Tech Start Date]],19),IF(Main[[#This Row],[Class]]="A",WORKDAY(Main[[#This Row],[Tech Start Date]],9),""))))</f>
        <v/>
      </c>
      <c r="Q602" s="67"/>
      <c r="R602" s="67"/>
      <c r="S602" s="65" t="s">
        <v>11</v>
      </c>
      <c r="T602" s="70" t="s">
        <v>4</v>
      </c>
      <c r="U602" s="65" t="s">
        <v>14</v>
      </c>
      <c r="V602" s="65" t="s">
        <v>1920</v>
      </c>
      <c r="W602" s="65" t="s">
        <v>1925</v>
      </c>
      <c r="X602" s="65" t="s">
        <v>2853</v>
      </c>
      <c r="Y602" s="65" t="s">
        <v>2984</v>
      </c>
      <c r="Z602" s="65" t="s">
        <v>4</v>
      </c>
      <c r="AA602" s="65" t="s">
        <v>2853</v>
      </c>
    </row>
    <row r="603" spans="1:27" ht="17.45" customHeight="1">
      <c r="A603" s="131" t="str">
        <f>IF(priority(Main[[#This Row],[Comments]])&lt;&gt;0, priority(Main[[#This Row],[Comments]]),"")</f>
        <v/>
      </c>
      <c r="B603" s="99" t="s">
        <v>1642</v>
      </c>
      <c r="C603" s="65" t="s">
        <v>4</v>
      </c>
      <c r="D603" s="66" t="s">
        <v>1996</v>
      </c>
      <c r="E603" s="67"/>
      <c r="F603" s="67"/>
      <c r="G603" s="64" t="str">
        <f>IF(stdProdLT(Main[[#This Row],[Comments]])=0.1,"N/A",IF(stdProdLT(Main[[#This Row],[Comments]])=0,"",stdProdLT(Main[[#This Row],[Comments]])))</f>
        <v/>
      </c>
      <c r="H603" s="68" t="str">
        <f>IF(AND(Main[[#This Row],[In Stock Date]]&lt;&gt;"",Main[[#This Row],[Revised Due Date]]&lt;&gt;""),Main[[#This Row],[In Stock Date]]-Main[[#This Row],[Revised Due Date]],"")</f>
        <v/>
      </c>
      <c r="I603" s="65" t="s">
        <v>44</v>
      </c>
      <c r="J603" s="65" t="s">
        <v>28</v>
      </c>
      <c r="K603" s="65" t="s">
        <v>1926</v>
      </c>
      <c r="L603" s="67"/>
      <c r="M603" s="69" t="str">
        <f>IF(Main[[#This Row],[Tech Start Date]]&lt;1/1/1990,"",IF(Main[[#This Row],[Class]]="C",WORKDAY(Main[[#This Row],[Tech Start Date]],9),IF(Main[[#This Row],[Class]]="B", WORKDAY(Main[[#This Row],[Tech Start Date]],6),IF(Main[[#This Row],[Class]]="A",WORKDAY(Main[[#This Row],[Tech Start Date]],2),""))))</f>
        <v/>
      </c>
      <c r="N603" s="69" t="str">
        <f>IF(Main[[#This Row],[Tech Start Date]]&lt;1/1/1990,"",IF(Main[[#This Row],[Class]]="C",WORKDAY(Main[[#This Row],[Tech Start Date]],19),IF(Main[[#This Row],[Class]]="B", WORKDAY(Main[[#This Row],[Tech Start Date]],12),IF(Main[[#This Row],[Class]]="A",WORKDAY(Main[[#This Row],[Tech Start Date]],4),""))))</f>
        <v/>
      </c>
      <c r="O603" s="69" t="str">
        <f>IF(Main[[#This Row],[Tech Start Date]]&lt;1/1/1990,"",IF(Main[[#This Row],[Class]]="C",WORKDAY(Main[[#This Row],[Tech Start Date]],23),IF(Main[[#This Row],[Class]]="B", WORKDAY(Main[[#This Row],[Tech Start Date]],15),IF(Main[[#This Row],[Class]]="A",WORKDAY(Main[[#This Row],[Tech Start Date]],5),""))))</f>
        <v/>
      </c>
      <c r="P603" s="69" t="str">
        <f>IF(Main[[#This Row],[Tech Start Date]]&lt;1/1/1990,"",IF(Main[[#This Row],[Class]]="C",WORKDAY(Main[[#This Row],[Tech Start Date]],28),IF(Main[[#This Row],[Class]]="B", WORKDAY(Main[[#This Row],[Tech Start Date]],19),IF(Main[[#This Row],[Class]]="A",WORKDAY(Main[[#This Row],[Tech Start Date]],9),""))))</f>
        <v/>
      </c>
      <c r="Q603" s="67">
        <v>40755</v>
      </c>
      <c r="R603" s="67"/>
      <c r="S603" s="65" t="s">
        <v>6</v>
      </c>
      <c r="T603" s="70" t="s">
        <v>4</v>
      </c>
      <c r="U603" s="65" t="s">
        <v>14</v>
      </c>
      <c r="V603" s="65" t="s">
        <v>1920</v>
      </c>
      <c r="W603" s="65" t="s">
        <v>1921</v>
      </c>
      <c r="X603" s="65" t="s">
        <v>30</v>
      </c>
      <c r="Y603" s="65" t="s">
        <v>3052</v>
      </c>
      <c r="Z603" s="65" t="s">
        <v>44</v>
      </c>
      <c r="AA603" s="65" t="s">
        <v>3426</v>
      </c>
    </row>
    <row r="604" spans="1:27" ht="17.45" customHeight="1">
      <c r="A604" s="131" t="str">
        <f>IF(priority(Main[[#This Row],[Comments]])&lt;&gt;0, priority(Main[[#This Row],[Comments]]),"")</f>
        <v/>
      </c>
      <c r="B604" s="99" t="s">
        <v>1432</v>
      </c>
      <c r="C604" s="65" t="s">
        <v>4</v>
      </c>
      <c r="D604" s="66" t="s">
        <v>97</v>
      </c>
      <c r="E604" s="67"/>
      <c r="F604" s="67"/>
      <c r="G604" s="64" t="str">
        <f>IF(stdProdLT(Main[[#This Row],[Comments]])=0.1,"N/A",IF(stdProdLT(Main[[#This Row],[Comments]])=0,"",stdProdLT(Main[[#This Row],[Comments]])))</f>
        <v/>
      </c>
      <c r="H604" s="68" t="str">
        <f>IF(AND(Main[[#This Row],[In Stock Date]]&lt;&gt;"",Main[[#This Row],[Revised Due Date]]&lt;&gt;""),Main[[#This Row],[In Stock Date]]-Main[[#This Row],[Revised Due Date]],"")</f>
        <v/>
      </c>
      <c r="I604" s="65" t="s">
        <v>4</v>
      </c>
      <c r="J604" s="65" t="s">
        <v>4</v>
      </c>
      <c r="K604" s="65" t="s">
        <v>4</v>
      </c>
      <c r="L604" s="67"/>
      <c r="M604" s="69" t="str">
        <f>IF(Main[[#This Row],[Tech Start Date]]&lt;1/1/1990,"",IF(Main[[#This Row],[Class]]="C",WORKDAY(Main[[#This Row],[Tech Start Date]],9),IF(Main[[#This Row],[Class]]="B", WORKDAY(Main[[#This Row],[Tech Start Date]],6),IF(Main[[#This Row],[Class]]="A",WORKDAY(Main[[#This Row],[Tech Start Date]],2),""))))</f>
        <v/>
      </c>
      <c r="N604" s="69" t="str">
        <f>IF(Main[[#This Row],[Tech Start Date]]&lt;1/1/1990,"",IF(Main[[#This Row],[Class]]="C",WORKDAY(Main[[#This Row],[Tech Start Date]],19),IF(Main[[#This Row],[Class]]="B", WORKDAY(Main[[#This Row],[Tech Start Date]],12),IF(Main[[#This Row],[Class]]="A",WORKDAY(Main[[#This Row],[Tech Start Date]],4),""))))</f>
        <v/>
      </c>
      <c r="O604" s="69" t="str">
        <f>IF(Main[[#This Row],[Tech Start Date]]&lt;1/1/1990,"",IF(Main[[#This Row],[Class]]="C",WORKDAY(Main[[#This Row],[Tech Start Date]],23),IF(Main[[#This Row],[Class]]="B", WORKDAY(Main[[#This Row],[Tech Start Date]],15),IF(Main[[#This Row],[Class]]="A",WORKDAY(Main[[#This Row],[Tech Start Date]],5),""))))</f>
        <v/>
      </c>
      <c r="P604" s="69" t="str">
        <f>IF(Main[[#This Row],[Tech Start Date]]&lt;1/1/1990,"",IF(Main[[#This Row],[Class]]="C",WORKDAY(Main[[#This Row],[Tech Start Date]],28),IF(Main[[#This Row],[Class]]="B", WORKDAY(Main[[#This Row],[Tech Start Date]],19),IF(Main[[#This Row],[Class]]="A",WORKDAY(Main[[#This Row],[Tech Start Date]],9),""))))</f>
        <v/>
      </c>
      <c r="Q604" s="67">
        <v>40858</v>
      </c>
      <c r="R604" s="67"/>
      <c r="S604" s="65" t="s">
        <v>17</v>
      </c>
      <c r="T604" s="70" t="s">
        <v>4</v>
      </c>
      <c r="U604" s="65" t="s">
        <v>14</v>
      </c>
      <c r="V604" s="65" t="s">
        <v>1917</v>
      </c>
      <c r="W604" s="65" t="s">
        <v>1922</v>
      </c>
      <c r="X604" s="65" t="s">
        <v>50</v>
      </c>
      <c r="Y604" s="65" t="s">
        <v>2965</v>
      </c>
      <c r="Z604" s="65" t="s">
        <v>4</v>
      </c>
      <c r="AA604" s="65" t="s">
        <v>2834</v>
      </c>
    </row>
    <row r="605" spans="1:27" ht="17.45" customHeight="1">
      <c r="A605" s="131" t="str">
        <f>IF(priority(Main[[#This Row],[Comments]])&lt;&gt;0, priority(Main[[#This Row],[Comments]]),"")</f>
        <v/>
      </c>
      <c r="B605" s="99" t="s">
        <v>1433</v>
      </c>
      <c r="C605" s="65" t="s">
        <v>47</v>
      </c>
      <c r="D605" s="66" t="s">
        <v>517</v>
      </c>
      <c r="E605" s="67"/>
      <c r="F605" s="67"/>
      <c r="G605" s="64" t="str">
        <f>IF(stdProdLT(Main[[#This Row],[Comments]])=0.1,"N/A",IF(stdProdLT(Main[[#This Row],[Comments]])=0,"",stdProdLT(Main[[#This Row],[Comments]])))</f>
        <v/>
      </c>
      <c r="H605" s="68" t="str">
        <f>IF(AND(Main[[#This Row],[In Stock Date]]&lt;&gt;"",Main[[#This Row],[Revised Due Date]]&lt;&gt;""),Main[[#This Row],[In Stock Date]]-Main[[#This Row],[Revised Due Date]],"")</f>
        <v/>
      </c>
      <c r="I605" s="65" t="s">
        <v>4</v>
      </c>
      <c r="J605" s="65" t="s">
        <v>4</v>
      </c>
      <c r="K605" s="65" t="s">
        <v>4</v>
      </c>
      <c r="L605" s="67"/>
      <c r="M605" s="69" t="str">
        <f>IF(Main[[#This Row],[Tech Start Date]]&lt;1/1/1990,"",IF(Main[[#This Row],[Class]]="C",WORKDAY(Main[[#This Row],[Tech Start Date]],9),IF(Main[[#This Row],[Class]]="B", WORKDAY(Main[[#This Row],[Tech Start Date]],6),IF(Main[[#This Row],[Class]]="A",WORKDAY(Main[[#This Row],[Tech Start Date]],2),""))))</f>
        <v/>
      </c>
      <c r="N605" s="69" t="str">
        <f>IF(Main[[#This Row],[Tech Start Date]]&lt;1/1/1990,"",IF(Main[[#This Row],[Class]]="C",WORKDAY(Main[[#This Row],[Tech Start Date]],19),IF(Main[[#This Row],[Class]]="B", WORKDAY(Main[[#This Row],[Tech Start Date]],12),IF(Main[[#This Row],[Class]]="A",WORKDAY(Main[[#This Row],[Tech Start Date]],4),""))))</f>
        <v/>
      </c>
      <c r="O605" s="69" t="str">
        <f>IF(Main[[#This Row],[Tech Start Date]]&lt;1/1/1990,"",IF(Main[[#This Row],[Class]]="C",WORKDAY(Main[[#This Row],[Tech Start Date]],23),IF(Main[[#This Row],[Class]]="B", WORKDAY(Main[[#This Row],[Tech Start Date]],15),IF(Main[[#This Row],[Class]]="A",WORKDAY(Main[[#This Row],[Tech Start Date]],5),""))))</f>
        <v/>
      </c>
      <c r="P605" s="69" t="str">
        <f>IF(Main[[#This Row],[Tech Start Date]]&lt;1/1/1990,"",IF(Main[[#This Row],[Class]]="C",WORKDAY(Main[[#This Row],[Tech Start Date]],28),IF(Main[[#This Row],[Class]]="B", WORKDAY(Main[[#This Row],[Tech Start Date]],19),IF(Main[[#This Row],[Class]]="A",WORKDAY(Main[[#This Row],[Tech Start Date]],9),""))))</f>
        <v/>
      </c>
      <c r="Q605" s="67"/>
      <c r="R605" s="67"/>
      <c r="S605" s="65" t="s">
        <v>49</v>
      </c>
      <c r="T605" s="70" t="s">
        <v>4</v>
      </c>
      <c r="U605" s="65" t="s">
        <v>14</v>
      </c>
      <c r="V605" s="65" t="s">
        <v>1920</v>
      </c>
      <c r="W605" s="65" t="s">
        <v>1921</v>
      </c>
      <c r="X605" s="65" t="s">
        <v>306</v>
      </c>
      <c r="Y605" s="65" t="s">
        <v>4</v>
      </c>
      <c r="Z605" s="65" t="s">
        <v>4</v>
      </c>
      <c r="AA605" s="65" t="s">
        <v>4</v>
      </c>
    </row>
    <row r="606" spans="1:27" ht="17.45" customHeight="1">
      <c r="A606" s="131" t="str">
        <f>IF(priority(Main[[#This Row],[Comments]])&lt;&gt;0, priority(Main[[#This Row],[Comments]]),"")</f>
        <v/>
      </c>
      <c r="B606" s="99" t="s">
        <v>1434</v>
      </c>
      <c r="C606" s="65" t="s">
        <v>518</v>
      </c>
      <c r="D606" s="66" t="s">
        <v>519</v>
      </c>
      <c r="E606" s="67"/>
      <c r="F606" s="67">
        <v>40548</v>
      </c>
      <c r="G606" s="64" t="str">
        <f>IF(stdProdLT(Main[[#This Row],[Comments]])=0.1,"N/A",IF(stdProdLT(Main[[#This Row],[Comments]])=0,"",stdProdLT(Main[[#This Row],[Comments]])))</f>
        <v/>
      </c>
      <c r="H606" s="68" t="str">
        <f>IF(AND(Main[[#This Row],[In Stock Date]]&lt;&gt;"",Main[[#This Row],[Revised Due Date]]&lt;&gt;""),Main[[#This Row],[In Stock Date]]-Main[[#This Row],[Revised Due Date]],"")</f>
        <v/>
      </c>
      <c r="I606" s="65" t="s">
        <v>4</v>
      </c>
      <c r="J606" s="65" t="s">
        <v>4</v>
      </c>
      <c r="K606" s="65" t="s">
        <v>1929</v>
      </c>
      <c r="L606" s="67"/>
      <c r="M606" s="69" t="str">
        <f>IF(Main[[#This Row],[Tech Start Date]]&lt;1/1/1990,"",IF(Main[[#This Row],[Class]]="C",WORKDAY(Main[[#This Row],[Tech Start Date]],9),IF(Main[[#This Row],[Class]]="B", WORKDAY(Main[[#This Row],[Tech Start Date]],6),IF(Main[[#This Row],[Class]]="A",WORKDAY(Main[[#This Row],[Tech Start Date]],2),""))))</f>
        <v/>
      </c>
      <c r="N606" s="69" t="str">
        <f>IF(Main[[#This Row],[Tech Start Date]]&lt;1/1/1990,"",IF(Main[[#This Row],[Class]]="C",WORKDAY(Main[[#This Row],[Tech Start Date]],19),IF(Main[[#This Row],[Class]]="B", WORKDAY(Main[[#This Row],[Tech Start Date]],12),IF(Main[[#This Row],[Class]]="A",WORKDAY(Main[[#This Row],[Tech Start Date]],4),""))))</f>
        <v/>
      </c>
      <c r="O606" s="69" t="str">
        <f>IF(Main[[#This Row],[Tech Start Date]]&lt;1/1/1990,"",IF(Main[[#This Row],[Class]]="C",WORKDAY(Main[[#This Row],[Tech Start Date]],23),IF(Main[[#This Row],[Class]]="B", WORKDAY(Main[[#This Row],[Tech Start Date]],15),IF(Main[[#This Row],[Class]]="A",WORKDAY(Main[[#This Row],[Tech Start Date]],5),""))))</f>
        <v/>
      </c>
      <c r="P606" s="69" t="str">
        <f>IF(Main[[#This Row],[Tech Start Date]]&lt;1/1/1990,"",IF(Main[[#This Row],[Class]]="C",WORKDAY(Main[[#This Row],[Tech Start Date]],28),IF(Main[[#This Row],[Class]]="B", WORKDAY(Main[[#This Row],[Tech Start Date]],19),IF(Main[[#This Row],[Class]]="A",WORKDAY(Main[[#This Row],[Tech Start Date]],9),""))))</f>
        <v/>
      </c>
      <c r="Q606" s="67"/>
      <c r="R606" s="67"/>
      <c r="S606" s="65" t="s">
        <v>11</v>
      </c>
      <c r="T606" s="70" t="s">
        <v>4</v>
      </c>
      <c r="U606" s="65" t="s">
        <v>14</v>
      </c>
      <c r="V606" s="65" t="s">
        <v>1918</v>
      </c>
      <c r="W606" s="65" t="s">
        <v>1922</v>
      </c>
      <c r="X606" s="65" t="s">
        <v>2895</v>
      </c>
      <c r="Y606" s="65" t="s">
        <v>4</v>
      </c>
      <c r="Z606" s="65" t="s">
        <v>4</v>
      </c>
      <c r="AA606" s="65" t="s">
        <v>4</v>
      </c>
    </row>
    <row r="607" spans="1:27" ht="17.45" customHeight="1">
      <c r="A607" s="131" t="str">
        <f>IF(priority(Main[[#This Row],[Comments]])&lt;&gt;0, priority(Main[[#This Row],[Comments]]),"")</f>
        <v/>
      </c>
      <c r="B607" s="99" t="s">
        <v>1435</v>
      </c>
      <c r="C607" s="65" t="s">
        <v>122</v>
      </c>
      <c r="D607" s="66" t="s">
        <v>520</v>
      </c>
      <c r="E607" s="67"/>
      <c r="F607" s="67"/>
      <c r="G607" s="64" t="str">
        <f>IF(stdProdLT(Main[[#This Row],[Comments]])=0.1,"N/A",IF(stdProdLT(Main[[#This Row],[Comments]])=0,"",stdProdLT(Main[[#This Row],[Comments]])))</f>
        <v/>
      </c>
      <c r="H607" s="68" t="str">
        <f>IF(AND(Main[[#This Row],[In Stock Date]]&lt;&gt;"",Main[[#This Row],[Revised Due Date]]&lt;&gt;""),Main[[#This Row],[In Stock Date]]-Main[[#This Row],[Revised Due Date]],"")</f>
        <v/>
      </c>
      <c r="I607" s="65" t="s">
        <v>4</v>
      </c>
      <c r="J607" s="65" t="s">
        <v>4</v>
      </c>
      <c r="K607" s="65" t="s">
        <v>4</v>
      </c>
      <c r="L607" s="67"/>
      <c r="M607" s="69" t="str">
        <f>IF(Main[[#This Row],[Tech Start Date]]&lt;1/1/1990,"",IF(Main[[#This Row],[Class]]="C",WORKDAY(Main[[#This Row],[Tech Start Date]],9),IF(Main[[#This Row],[Class]]="B", WORKDAY(Main[[#This Row],[Tech Start Date]],6),IF(Main[[#This Row],[Class]]="A",WORKDAY(Main[[#This Row],[Tech Start Date]],2),""))))</f>
        <v/>
      </c>
      <c r="N607" s="69" t="str">
        <f>IF(Main[[#This Row],[Tech Start Date]]&lt;1/1/1990,"",IF(Main[[#This Row],[Class]]="C",WORKDAY(Main[[#This Row],[Tech Start Date]],19),IF(Main[[#This Row],[Class]]="B", WORKDAY(Main[[#This Row],[Tech Start Date]],12),IF(Main[[#This Row],[Class]]="A",WORKDAY(Main[[#This Row],[Tech Start Date]],4),""))))</f>
        <v/>
      </c>
      <c r="O607" s="69" t="str">
        <f>IF(Main[[#This Row],[Tech Start Date]]&lt;1/1/1990,"",IF(Main[[#This Row],[Class]]="C",WORKDAY(Main[[#This Row],[Tech Start Date]],23),IF(Main[[#This Row],[Class]]="B", WORKDAY(Main[[#This Row],[Tech Start Date]],15),IF(Main[[#This Row],[Class]]="A",WORKDAY(Main[[#This Row],[Tech Start Date]],5),""))))</f>
        <v/>
      </c>
      <c r="P607" s="69" t="str">
        <f>IF(Main[[#This Row],[Tech Start Date]]&lt;1/1/1990,"",IF(Main[[#This Row],[Class]]="C",WORKDAY(Main[[#This Row],[Tech Start Date]],28),IF(Main[[#This Row],[Class]]="B", WORKDAY(Main[[#This Row],[Tech Start Date]],19),IF(Main[[#This Row],[Class]]="A",WORKDAY(Main[[#This Row],[Tech Start Date]],9),""))))</f>
        <v/>
      </c>
      <c r="Q607" s="67">
        <v>40245</v>
      </c>
      <c r="R607" s="67"/>
      <c r="S607" s="65" t="s">
        <v>11</v>
      </c>
      <c r="T607" s="70" t="s">
        <v>4</v>
      </c>
      <c r="U607" s="65" t="s">
        <v>14</v>
      </c>
      <c r="V607" s="65" t="s">
        <v>1920</v>
      </c>
      <c r="W607" s="65" t="s">
        <v>1919</v>
      </c>
      <c r="X607" s="65" t="s">
        <v>2878</v>
      </c>
      <c r="Y607" s="65" t="s">
        <v>4</v>
      </c>
      <c r="Z607" s="65" t="s">
        <v>4</v>
      </c>
      <c r="AA607" s="65" t="s">
        <v>2878</v>
      </c>
    </row>
    <row r="608" spans="1:27" ht="17.45" customHeight="1">
      <c r="A608" s="131" t="str">
        <f>IF(priority(Main[[#This Row],[Comments]])&lt;&gt;0, priority(Main[[#This Row],[Comments]]),"")</f>
        <v/>
      </c>
      <c r="B608" s="99" t="s">
        <v>1436</v>
      </c>
      <c r="C608" s="65" t="s">
        <v>4</v>
      </c>
      <c r="D608" s="66" t="s">
        <v>521</v>
      </c>
      <c r="E608" s="67"/>
      <c r="F608" s="67">
        <v>40178</v>
      </c>
      <c r="G608" s="64" t="str">
        <f>IF(stdProdLT(Main[[#This Row],[Comments]])=0.1,"N/A",IF(stdProdLT(Main[[#This Row],[Comments]])=0,"",stdProdLT(Main[[#This Row],[Comments]])))</f>
        <v/>
      </c>
      <c r="H608" s="68" t="str">
        <f>IF(AND(Main[[#This Row],[In Stock Date]]&lt;&gt;"",Main[[#This Row],[Revised Due Date]]&lt;&gt;""),Main[[#This Row],[In Stock Date]]-Main[[#This Row],[Revised Due Date]],"")</f>
        <v/>
      </c>
      <c r="I608" s="65" t="s">
        <v>4</v>
      </c>
      <c r="J608" s="65" t="s">
        <v>4</v>
      </c>
      <c r="K608" s="65" t="s">
        <v>4</v>
      </c>
      <c r="L608" s="67"/>
      <c r="M608" s="69" t="str">
        <f>IF(Main[[#This Row],[Tech Start Date]]&lt;1/1/1990,"",IF(Main[[#This Row],[Class]]="C",WORKDAY(Main[[#This Row],[Tech Start Date]],9),IF(Main[[#This Row],[Class]]="B", WORKDAY(Main[[#This Row],[Tech Start Date]],6),IF(Main[[#This Row],[Class]]="A",WORKDAY(Main[[#This Row],[Tech Start Date]],2),""))))</f>
        <v/>
      </c>
      <c r="N608" s="69" t="str">
        <f>IF(Main[[#This Row],[Tech Start Date]]&lt;1/1/1990,"",IF(Main[[#This Row],[Class]]="C",WORKDAY(Main[[#This Row],[Tech Start Date]],19),IF(Main[[#This Row],[Class]]="B", WORKDAY(Main[[#This Row],[Tech Start Date]],12),IF(Main[[#This Row],[Class]]="A",WORKDAY(Main[[#This Row],[Tech Start Date]],4),""))))</f>
        <v/>
      </c>
      <c r="O608" s="69" t="str">
        <f>IF(Main[[#This Row],[Tech Start Date]]&lt;1/1/1990,"",IF(Main[[#This Row],[Class]]="C",WORKDAY(Main[[#This Row],[Tech Start Date]],23),IF(Main[[#This Row],[Class]]="B", WORKDAY(Main[[#This Row],[Tech Start Date]],15),IF(Main[[#This Row],[Class]]="A",WORKDAY(Main[[#This Row],[Tech Start Date]],5),""))))</f>
        <v/>
      </c>
      <c r="P608" s="69" t="str">
        <f>IF(Main[[#This Row],[Tech Start Date]]&lt;1/1/1990,"",IF(Main[[#This Row],[Class]]="C",WORKDAY(Main[[#This Row],[Tech Start Date]],28),IF(Main[[#This Row],[Class]]="B", WORKDAY(Main[[#This Row],[Tech Start Date]],19),IF(Main[[#This Row],[Class]]="A",WORKDAY(Main[[#This Row],[Tech Start Date]],9),""))))</f>
        <v/>
      </c>
      <c r="Q608" s="67">
        <v>40158</v>
      </c>
      <c r="R608" s="67"/>
      <c r="S608" s="65" t="s">
        <v>11</v>
      </c>
      <c r="T608" s="70" t="s">
        <v>4</v>
      </c>
      <c r="U608" s="65" t="s">
        <v>14</v>
      </c>
      <c r="V608" s="65" t="s">
        <v>1917</v>
      </c>
      <c r="W608" s="65" t="s">
        <v>1922</v>
      </c>
      <c r="X608" s="65" t="s">
        <v>2830</v>
      </c>
      <c r="Y608" s="65" t="s">
        <v>2949</v>
      </c>
      <c r="Z608" s="65" t="s">
        <v>4</v>
      </c>
      <c r="AA608" s="65" t="s">
        <v>2830</v>
      </c>
    </row>
    <row r="609" spans="1:27" ht="17.45" customHeight="1">
      <c r="A609" s="131" t="str">
        <f>IF(priority(Main[[#This Row],[Comments]])&lt;&gt;0, priority(Main[[#This Row],[Comments]]),"")</f>
        <v/>
      </c>
      <c r="B609" s="99" t="s">
        <v>2378</v>
      </c>
      <c r="C609" s="65" t="s">
        <v>72</v>
      </c>
      <c r="D609" s="66" t="s">
        <v>2379</v>
      </c>
      <c r="E609" s="67"/>
      <c r="F609" s="67"/>
      <c r="G609" s="64" t="str">
        <f>IF(stdProdLT(Main[[#This Row],[Comments]])=0.1,"N/A",IF(stdProdLT(Main[[#This Row],[Comments]])=0,"",stdProdLT(Main[[#This Row],[Comments]])))</f>
        <v/>
      </c>
      <c r="H609" s="68" t="str">
        <f>IF(AND(Main[[#This Row],[In Stock Date]]&lt;&gt;"",Main[[#This Row],[Revised Due Date]]&lt;&gt;""),Main[[#This Row],[In Stock Date]]-Main[[#This Row],[Revised Due Date]],"")</f>
        <v/>
      </c>
      <c r="I609" s="65" t="s">
        <v>4</v>
      </c>
      <c r="J609" s="65" t="s">
        <v>4</v>
      </c>
      <c r="K609" s="65" t="s">
        <v>4</v>
      </c>
      <c r="L609" s="67"/>
      <c r="M609" s="69" t="str">
        <f>IF(Main[[#This Row],[Tech Start Date]]&lt;1/1/1990,"",IF(Main[[#This Row],[Class]]="C",WORKDAY(Main[[#This Row],[Tech Start Date]],9),IF(Main[[#This Row],[Class]]="B", WORKDAY(Main[[#This Row],[Tech Start Date]],6),IF(Main[[#This Row],[Class]]="A",WORKDAY(Main[[#This Row],[Tech Start Date]],2),""))))</f>
        <v/>
      </c>
      <c r="N609" s="69" t="str">
        <f>IF(Main[[#This Row],[Tech Start Date]]&lt;1/1/1990,"",IF(Main[[#This Row],[Class]]="C",WORKDAY(Main[[#This Row],[Tech Start Date]],19),IF(Main[[#This Row],[Class]]="B", WORKDAY(Main[[#This Row],[Tech Start Date]],12),IF(Main[[#This Row],[Class]]="A",WORKDAY(Main[[#This Row],[Tech Start Date]],4),""))))</f>
        <v/>
      </c>
      <c r="O609" s="69" t="str">
        <f>IF(Main[[#This Row],[Tech Start Date]]&lt;1/1/1990,"",IF(Main[[#This Row],[Class]]="C",WORKDAY(Main[[#This Row],[Tech Start Date]],23),IF(Main[[#This Row],[Class]]="B", WORKDAY(Main[[#This Row],[Tech Start Date]],15),IF(Main[[#This Row],[Class]]="A",WORKDAY(Main[[#This Row],[Tech Start Date]],5),""))))</f>
        <v/>
      </c>
      <c r="P609" s="69" t="str">
        <f>IF(Main[[#This Row],[Tech Start Date]]&lt;1/1/1990,"",IF(Main[[#This Row],[Class]]="C",WORKDAY(Main[[#This Row],[Tech Start Date]],28),IF(Main[[#This Row],[Class]]="B", WORKDAY(Main[[#This Row],[Tech Start Date]],19),IF(Main[[#This Row],[Class]]="A",WORKDAY(Main[[#This Row],[Tech Start Date]],9),""))))</f>
        <v/>
      </c>
      <c r="Q609" s="67"/>
      <c r="R609" s="67"/>
      <c r="S609" s="65" t="s">
        <v>17</v>
      </c>
      <c r="T609" s="70" t="s">
        <v>4</v>
      </c>
      <c r="U609" s="65" t="s">
        <v>14</v>
      </c>
      <c r="V609" s="65" t="s">
        <v>1918</v>
      </c>
      <c r="W609" s="65" t="s">
        <v>1919</v>
      </c>
      <c r="X609" s="65" t="s">
        <v>2896</v>
      </c>
      <c r="Y609" s="65" t="s">
        <v>3053</v>
      </c>
      <c r="Z609" s="65" t="s">
        <v>4</v>
      </c>
      <c r="AA609" s="65" t="s">
        <v>2896</v>
      </c>
    </row>
    <row r="610" spans="1:27" ht="17.45" customHeight="1">
      <c r="A610" s="131" t="str">
        <f>IF(priority(Main[[#This Row],[Comments]])&lt;&gt;0, priority(Main[[#This Row],[Comments]]),"")</f>
        <v/>
      </c>
      <c r="B610" s="99" t="s">
        <v>1441</v>
      </c>
      <c r="C610" s="65" t="s">
        <v>113</v>
      </c>
      <c r="D610" s="66" t="s">
        <v>522</v>
      </c>
      <c r="E610" s="67"/>
      <c r="F610" s="67"/>
      <c r="G610" s="64" t="str">
        <f>IF(stdProdLT(Main[[#This Row],[Comments]])=0.1,"N/A",IF(stdProdLT(Main[[#This Row],[Comments]])=0,"",stdProdLT(Main[[#This Row],[Comments]])))</f>
        <v/>
      </c>
      <c r="H610" s="68" t="str">
        <f>IF(AND(Main[[#This Row],[In Stock Date]]&lt;&gt;"",Main[[#This Row],[Revised Due Date]]&lt;&gt;""),Main[[#This Row],[In Stock Date]]-Main[[#This Row],[Revised Due Date]],"")</f>
        <v/>
      </c>
      <c r="I610" s="65" t="s">
        <v>4</v>
      </c>
      <c r="J610" s="65" t="s">
        <v>4</v>
      </c>
      <c r="K610" s="65" t="s">
        <v>4</v>
      </c>
      <c r="L610" s="67"/>
      <c r="M610" s="69" t="str">
        <f>IF(Main[[#This Row],[Tech Start Date]]&lt;1/1/1990,"",IF(Main[[#This Row],[Class]]="C",WORKDAY(Main[[#This Row],[Tech Start Date]],9),IF(Main[[#This Row],[Class]]="B", WORKDAY(Main[[#This Row],[Tech Start Date]],6),IF(Main[[#This Row],[Class]]="A",WORKDAY(Main[[#This Row],[Tech Start Date]],2),""))))</f>
        <v/>
      </c>
      <c r="N610" s="69" t="str">
        <f>IF(Main[[#This Row],[Tech Start Date]]&lt;1/1/1990,"",IF(Main[[#This Row],[Class]]="C",WORKDAY(Main[[#This Row],[Tech Start Date]],19),IF(Main[[#This Row],[Class]]="B", WORKDAY(Main[[#This Row],[Tech Start Date]],12),IF(Main[[#This Row],[Class]]="A",WORKDAY(Main[[#This Row],[Tech Start Date]],4),""))))</f>
        <v/>
      </c>
      <c r="O610" s="69" t="str">
        <f>IF(Main[[#This Row],[Tech Start Date]]&lt;1/1/1990,"",IF(Main[[#This Row],[Class]]="C",WORKDAY(Main[[#This Row],[Tech Start Date]],23),IF(Main[[#This Row],[Class]]="B", WORKDAY(Main[[#This Row],[Tech Start Date]],15),IF(Main[[#This Row],[Class]]="A",WORKDAY(Main[[#This Row],[Tech Start Date]],5),""))))</f>
        <v/>
      </c>
      <c r="P610" s="69" t="str">
        <f>IF(Main[[#This Row],[Tech Start Date]]&lt;1/1/1990,"",IF(Main[[#This Row],[Class]]="C",WORKDAY(Main[[#This Row],[Tech Start Date]],28),IF(Main[[#This Row],[Class]]="B", WORKDAY(Main[[#This Row],[Tech Start Date]],19),IF(Main[[#This Row],[Class]]="A",WORKDAY(Main[[#This Row],[Tech Start Date]],9),""))))</f>
        <v/>
      </c>
      <c r="Q610" s="67">
        <v>40505</v>
      </c>
      <c r="R610" s="67"/>
      <c r="S610" s="65" t="s">
        <v>49</v>
      </c>
      <c r="T610" s="70" t="s">
        <v>4</v>
      </c>
      <c r="U610" s="65" t="s">
        <v>12</v>
      </c>
      <c r="V610" s="65" t="s">
        <v>1918</v>
      </c>
      <c r="W610" s="65" t="s">
        <v>1922</v>
      </c>
      <c r="X610" s="65" t="s">
        <v>2897</v>
      </c>
      <c r="Y610" s="65" t="s">
        <v>2987</v>
      </c>
      <c r="Z610" s="65" t="s">
        <v>4</v>
      </c>
      <c r="AA610" s="65" t="s">
        <v>2845</v>
      </c>
    </row>
    <row r="611" spans="1:27" ht="17.45" customHeight="1">
      <c r="A611" s="131" t="str">
        <f>IF(priority(Main[[#This Row],[Comments]])&lt;&gt;0, priority(Main[[#This Row],[Comments]]),"")</f>
        <v/>
      </c>
      <c r="B611" s="99" t="s">
        <v>2264</v>
      </c>
      <c r="C611" s="65" t="s">
        <v>4</v>
      </c>
      <c r="D611" s="66" t="s">
        <v>2298</v>
      </c>
      <c r="E611" s="67">
        <v>40806.662407407406</v>
      </c>
      <c r="F611" s="67"/>
      <c r="G611" s="64" t="str">
        <f>IF(stdProdLT(Main[[#This Row],[Comments]])=0.1,"N/A",IF(stdProdLT(Main[[#This Row],[Comments]])=0,"",stdProdLT(Main[[#This Row],[Comments]])))</f>
        <v/>
      </c>
      <c r="H611" s="68" t="str">
        <f>IF(AND(Main[[#This Row],[In Stock Date]]&lt;&gt;"",Main[[#This Row],[Revised Due Date]]&lt;&gt;""),Main[[#This Row],[In Stock Date]]-Main[[#This Row],[Revised Due Date]],"")</f>
        <v/>
      </c>
      <c r="I611" s="65" t="s">
        <v>30</v>
      </c>
      <c r="J611" s="65" t="s">
        <v>21</v>
      </c>
      <c r="K611" s="65" t="s">
        <v>1926</v>
      </c>
      <c r="L611" s="67"/>
      <c r="M611" s="69" t="str">
        <f>IF(Main[[#This Row],[Tech Start Date]]&lt;1/1/1990,"",IF(Main[[#This Row],[Class]]="C",WORKDAY(Main[[#This Row],[Tech Start Date]],9),IF(Main[[#This Row],[Class]]="B", WORKDAY(Main[[#This Row],[Tech Start Date]],6),IF(Main[[#This Row],[Class]]="A",WORKDAY(Main[[#This Row],[Tech Start Date]],2),""))))</f>
        <v/>
      </c>
      <c r="N611" s="69" t="str">
        <f>IF(Main[[#This Row],[Tech Start Date]]&lt;1/1/1990,"",IF(Main[[#This Row],[Class]]="C",WORKDAY(Main[[#This Row],[Tech Start Date]],19),IF(Main[[#This Row],[Class]]="B", WORKDAY(Main[[#This Row],[Tech Start Date]],12),IF(Main[[#This Row],[Class]]="A",WORKDAY(Main[[#This Row],[Tech Start Date]],4),""))))</f>
        <v/>
      </c>
      <c r="O611" s="69" t="str">
        <f>IF(Main[[#This Row],[Tech Start Date]]&lt;1/1/1990,"",IF(Main[[#This Row],[Class]]="C",WORKDAY(Main[[#This Row],[Tech Start Date]],23),IF(Main[[#This Row],[Class]]="B", WORKDAY(Main[[#This Row],[Tech Start Date]],15),IF(Main[[#This Row],[Class]]="A",WORKDAY(Main[[#This Row],[Tech Start Date]],5),""))))</f>
        <v/>
      </c>
      <c r="P611" s="69" t="str">
        <f>IF(Main[[#This Row],[Tech Start Date]]&lt;1/1/1990,"",IF(Main[[#This Row],[Class]]="C",WORKDAY(Main[[#This Row],[Tech Start Date]],28),IF(Main[[#This Row],[Class]]="B", WORKDAY(Main[[#This Row],[Tech Start Date]],19),IF(Main[[#This Row],[Class]]="A",WORKDAY(Main[[#This Row],[Tech Start Date]],9),""))))</f>
        <v/>
      </c>
      <c r="Q611" s="67"/>
      <c r="R611" s="67"/>
      <c r="S611" s="65" t="s">
        <v>6</v>
      </c>
      <c r="T611" s="70" t="s">
        <v>4</v>
      </c>
      <c r="U611" s="65" t="s">
        <v>29</v>
      </c>
      <c r="V611" s="65" t="s">
        <v>1920</v>
      </c>
      <c r="W611" s="65" t="s">
        <v>1921</v>
      </c>
      <c r="X611" s="65" t="s">
        <v>306</v>
      </c>
      <c r="Y611" s="65" t="s">
        <v>4</v>
      </c>
      <c r="Z611" s="65" t="s">
        <v>30</v>
      </c>
      <c r="AA611" s="65" t="s">
        <v>3398</v>
      </c>
    </row>
    <row r="612" spans="1:27" ht="17.45" customHeight="1">
      <c r="A612" s="131" t="str">
        <f>IF(priority(Main[[#This Row],[Comments]])&lt;&gt;0, priority(Main[[#This Row],[Comments]]),"")</f>
        <v/>
      </c>
      <c r="B612" s="99" t="s">
        <v>2546</v>
      </c>
      <c r="C612" s="65" t="s">
        <v>2359</v>
      </c>
      <c r="D612" s="66" t="s">
        <v>2360</v>
      </c>
      <c r="E612" s="67"/>
      <c r="F612" s="67">
        <v>41008</v>
      </c>
      <c r="G612" s="64" t="str">
        <f>IF(stdProdLT(Main[[#This Row],[Comments]])=0.1,"N/A",IF(stdProdLT(Main[[#This Row],[Comments]])=0,"",stdProdLT(Main[[#This Row],[Comments]])))</f>
        <v/>
      </c>
      <c r="H612" s="68" t="str">
        <f>IF(AND(Main[[#This Row],[In Stock Date]]&lt;&gt;"",Main[[#This Row],[Revised Due Date]]&lt;&gt;""),Main[[#This Row],[In Stock Date]]-Main[[#This Row],[Revised Due Date]],"")</f>
        <v/>
      </c>
      <c r="I612" s="65" t="s">
        <v>4</v>
      </c>
      <c r="J612" s="65" t="s">
        <v>4</v>
      </c>
      <c r="K612" s="65" t="s">
        <v>4</v>
      </c>
      <c r="L612" s="67"/>
      <c r="M612" s="69" t="str">
        <f>IF(Main[[#This Row],[Tech Start Date]]&lt;1/1/1990,"",IF(Main[[#This Row],[Class]]="C",WORKDAY(Main[[#This Row],[Tech Start Date]],9),IF(Main[[#This Row],[Class]]="B", WORKDAY(Main[[#This Row],[Tech Start Date]],6),IF(Main[[#This Row],[Class]]="A",WORKDAY(Main[[#This Row],[Tech Start Date]],2),""))))</f>
        <v/>
      </c>
      <c r="N612" s="69" t="str">
        <f>IF(Main[[#This Row],[Tech Start Date]]&lt;1/1/1990,"",IF(Main[[#This Row],[Class]]="C",WORKDAY(Main[[#This Row],[Tech Start Date]],19),IF(Main[[#This Row],[Class]]="B", WORKDAY(Main[[#This Row],[Tech Start Date]],12),IF(Main[[#This Row],[Class]]="A",WORKDAY(Main[[#This Row],[Tech Start Date]],4),""))))</f>
        <v/>
      </c>
      <c r="O612" s="69" t="str">
        <f>IF(Main[[#This Row],[Tech Start Date]]&lt;1/1/1990,"",IF(Main[[#This Row],[Class]]="C",WORKDAY(Main[[#This Row],[Tech Start Date]],23),IF(Main[[#This Row],[Class]]="B", WORKDAY(Main[[#This Row],[Tech Start Date]],15),IF(Main[[#This Row],[Class]]="A",WORKDAY(Main[[#This Row],[Tech Start Date]],5),""))))</f>
        <v/>
      </c>
      <c r="P612" s="69" t="str">
        <f>IF(Main[[#This Row],[Tech Start Date]]&lt;1/1/1990,"",IF(Main[[#This Row],[Class]]="C",WORKDAY(Main[[#This Row],[Tech Start Date]],28),IF(Main[[#This Row],[Class]]="B", WORKDAY(Main[[#This Row],[Tech Start Date]],19),IF(Main[[#This Row],[Class]]="A",WORKDAY(Main[[#This Row],[Tech Start Date]],9),""))))</f>
        <v/>
      </c>
      <c r="Q612" s="67">
        <v>40826</v>
      </c>
      <c r="R612" s="67"/>
      <c r="S612" s="65" t="s">
        <v>11</v>
      </c>
      <c r="T612" s="70" t="s">
        <v>4</v>
      </c>
      <c r="U612" s="65" t="s">
        <v>12</v>
      </c>
      <c r="V612" s="65" t="s">
        <v>1920</v>
      </c>
      <c r="W612" s="65" t="s">
        <v>1923</v>
      </c>
      <c r="X612" s="65" t="s">
        <v>2849</v>
      </c>
      <c r="Y612" s="65" t="s">
        <v>4</v>
      </c>
      <c r="Z612" s="65" t="s">
        <v>4</v>
      </c>
      <c r="AA612" s="65" t="s">
        <v>2849</v>
      </c>
    </row>
    <row r="613" spans="1:27" ht="17.45" customHeight="1">
      <c r="A613" s="131" t="str">
        <f>IF(priority(Main[[#This Row],[Comments]])&lt;&gt;0, priority(Main[[#This Row],[Comments]]),"")</f>
        <v/>
      </c>
      <c r="B613" s="99" t="s">
        <v>1458</v>
      </c>
      <c r="C613" s="65" t="s">
        <v>4</v>
      </c>
      <c r="D613" s="66" t="s">
        <v>523</v>
      </c>
      <c r="E613" s="67">
        <v>40371.58488425926</v>
      </c>
      <c r="F613" s="67"/>
      <c r="G613" s="64" t="str">
        <f>IF(stdProdLT(Main[[#This Row],[Comments]])=0.1,"N/A",IF(stdProdLT(Main[[#This Row],[Comments]])=0,"",stdProdLT(Main[[#This Row],[Comments]])))</f>
        <v/>
      </c>
      <c r="H613" s="68" t="str">
        <f>IF(AND(Main[[#This Row],[In Stock Date]]&lt;&gt;"",Main[[#This Row],[Revised Due Date]]&lt;&gt;""),Main[[#This Row],[In Stock Date]]-Main[[#This Row],[Revised Due Date]],"")</f>
        <v/>
      </c>
      <c r="I613" s="65" t="s">
        <v>4</v>
      </c>
      <c r="J613" s="65" t="s">
        <v>4</v>
      </c>
      <c r="K613" s="71" t="s">
        <v>4</v>
      </c>
      <c r="L613" s="67"/>
      <c r="M613" s="69" t="str">
        <f>IF(Main[[#This Row],[Tech Start Date]]&lt;1/1/1990,"",IF(Main[[#This Row],[Class]]="C",WORKDAY(Main[[#This Row],[Tech Start Date]],9),IF(Main[[#This Row],[Class]]="B", WORKDAY(Main[[#This Row],[Tech Start Date]],6),IF(Main[[#This Row],[Class]]="A",WORKDAY(Main[[#This Row],[Tech Start Date]],2),""))))</f>
        <v/>
      </c>
      <c r="N613" s="69" t="str">
        <f>IF(Main[[#This Row],[Tech Start Date]]&lt;1/1/1990,"",IF(Main[[#This Row],[Class]]="C",WORKDAY(Main[[#This Row],[Tech Start Date]],19),IF(Main[[#This Row],[Class]]="B", WORKDAY(Main[[#This Row],[Tech Start Date]],12),IF(Main[[#This Row],[Class]]="A",WORKDAY(Main[[#This Row],[Tech Start Date]],4),""))))</f>
        <v/>
      </c>
      <c r="O613" s="69" t="str">
        <f>IF(Main[[#This Row],[Tech Start Date]]&lt;1/1/1990,"",IF(Main[[#This Row],[Class]]="C",WORKDAY(Main[[#This Row],[Tech Start Date]],23),IF(Main[[#This Row],[Class]]="B", WORKDAY(Main[[#This Row],[Tech Start Date]],15),IF(Main[[#This Row],[Class]]="A",WORKDAY(Main[[#This Row],[Tech Start Date]],5),""))))</f>
        <v/>
      </c>
      <c r="P613" s="69" t="str">
        <f>IF(Main[[#This Row],[Tech Start Date]]&lt;1/1/1990,"",IF(Main[[#This Row],[Class]]="C",WORKDAY(Main[[#This Row],[Tech Start Date]],28),IF(Main[[#This Row],[Class]]="B", WORKDAY(Main[[#This Row],[Tech Start Date]],19),IF(Main[[#This Row],[Class]]="A",WORKDAY(Main[[#This Row],[Tech Start Date]],9),""))))</f>
        <v/>
      </c>
      <c r="Q613" s="67">
        <v>40385</v>
      </c>
      <c r="R613" s="67"/>
      <c r="S613" s="65" t="s">
        <v>6</v>
      </c>
      <c r="T613" s="70" t="s">
        <v>4</v>
      </c>
      <c r="U613" s="65" t="s">
        <v>7</v>
      </c>
      <c r="V613" s="65" t="s">
        <v>1917</v>
      </c>
      <c r="W613" s="65" t="s">
        <v>1922</v>
      </c>
      <c r="X613" s="65" t="s">
        <v>102</v>
      </c>
      <c r="Y613" s="65" t="s">
        <v>3054</v>
      </c>
      <c r="Z613" s="65" t="s">
        <v>4</v>
      </c>
      <c r="AA613" s="65" t="s">
        <v>3427</v>
      </c>
    </row>
    <row r="614" spans="1:27" ht="17.45" customHeight="1">
      <c r="A614" s="131" t="str">
        <f>IF(priority(Main[[#This Row],[Comments]])&lt;&gt;0, priority(Main[[#This Row],[Comments]]),"")</f>
        <v/>
      </c>
      <c r="B614" s="99" t="s">
        <v>1461</v>
      </c>
      <c r="C614" s="65" t="s">
        <v>525</v>
      </c>
      <c r="D614" s="66" t="s">
        <v>526</v>
      </c>
      <c r="E614" s="67"/>
      <c r="F614" s="67">
        <v>40276</v>
      </c>
      <c r="G614" s="64" t="str">
        <f>IF(stdProdLT(Main[[#This Row],[Comments]])=0.1,"N/A",IF(stdProdLT(Main[[#This Row],[Comments]])=0,"",stdProdLT(Main[[#This Row],[Comments]])))</f>
        <v/>
      </c>
      <c r="H614" s="68" t="str">
        <f>IF(AND(Main[[#This Row],[In Stock Date]]&lt;&gt;"",Main[[#This Row],[Revised Due Date]]&lt;&gt;""),Main[[#This Row],[In Stock Date]]-Main[[#This Row],[Revised Due Date]],"")</f>
        <v/>
      </c>
      <c r="I614" s="65" t="s">
        <v>4</v>
      </c>
      <c r="J614" s="65" t="s">
        <v>4</v>
      </c>
      <c r="K614" s="71" t="s">
        <v>4</v>
      </c>
      <c r="L614" s="67"/>
      <c r="M614" s="69" t="str">
        <f>IF(Main[[#This Row],[Tech Start Date]]&lt;1/1/1990,"",IF(Main[[#This Row],[Class]]="C",WORKDAY(Main[[#This Row],[Tech Start Date]],9),IF(Main[[#This Row],[Class]]="B", WORKDAY(Main[[#This Row],[Tech Start Date]],6),IF(Main[[#This Row],[Class]]="A",WORKDAY(Main[[#This Row],[Tech Start Date]],2),""))))</f>
        <v/>
      </c>
      <c r="N614" s="69" t="str">
        <f>IF(Main[[#This Row],[Tech Start Date]]&lt;1/1/1990,"",IF(Main[[#This Row],[Class]]="C",WORKDAY(Main[[#This Row],[Tech Start Date]],19),IF(Main[[#This Row],[Class]]="B", WORKDAY(Main[[#This Row],[Tech Start Date]],12),IF(Main[[#This Row],[Class]]="A",WORKDAY(Main[[#This Row],[Tech Start Date]],4),""))))</f>
        <v/>
      </c>
      <c r="O614" s="69" t="str">
        <f>IF(Main[[#This Row],[Tech Start Date]]&lt;1/1/1990,"",IF(Main[[#This Row],[Class]]="C",WORKDAY(Main[[#This Row],[Tech Start Date]],23),IF(Main[[#This Row],[Class]]="B", WORKDAY(Main[[#This Row],[Tech Start Date]],15),IF(Main[[#This Row],[Class]]="A",WORKDAY(Main[[#This Row],[Tech Start Date]],5),""))))</f>
        <v/>
      </c>
      <c r="P614" s="69" t="str">
        <f>IF(Main[[#This Row],[Tech Start Date]]&lt;1/1/1990,"",IF(Main[[#This Row],[Class]]="C",WORKDAY(Main[[#This Row],[Tech Start Date]],28),IF(Main[[#This Row],[Class]]="B", WORKDAY(Main[[#This Row],[Tech Start Date]],19),IF(Main[[#This Row],[Class]]="A",WORKDAY(Main[[#This Row],[Tech Start Date]],9),""))))</f>
        <v/>
      </c>
      <c r="Q614" s="67">
        <v>40164</v>
      </c>
      <c r="R614" s="67"/>
      <c r="S614" s="65" t="s">
        <v>11</v>
      </c>
      <c r="T614" s="70" t="s">
        <v>4</v>
      </c>
      <c r="U614" s="65" t="s">
        <v>14</v>
      </c>
      <c r="V614" s="65" t="s">
        <v>1920</v>
      </c>
      <c r="W614" s="65" t="s">
        <v>1923</v>
      </c>
      <c r="X614" s="65" t="s">
        <v>2898</v>
      </c>
      <c r="Y614" s="65" t="s">
        <v>4</v>
      </c>
      <c r="Z614" s="65" t="s">
        <v>4</v>
      </c>
      <c r="AA614" s="65" t="s">
        <v>2898</v>
      </c>
    </row>
    <row r="615" spans="1:27" ht="17.45" customHeight="1">
      <c r="A615" s="131" t="str">
        <f>IF(priority(Main[[#This Row],[Comments]])&lt;&gt;0, priority(Main[[#This Row],[Comments]]),"")</f>
        <v/>
      </c>
      <c r="B615" s="99" t="s">
        <v>1699</v>
      </c>
      <c r="C615" s="65" t="s">
        <v>4</v>
      </c>
      <c r="D615" s="66" t="s">
        <v>754</v>
      </c>
      <c r="E615" s="67">
        <v>40700.558032407411</v>
      </c>
      <c r="F615" s="67"/>
      <c r="G615" s="64" t="str">
        <f>IF(stdProdLT(Main[[#This Row],[Comments]])=0.1,"N/A",IF(stdProdLT(Main[[#This Row],[Comments]])=0,"",stdProdLT(Main[[#This Row],[Comments]])))</f>
        <v/>
      </c>
      <c r="H615" s="68" t="str">
        <f>IF(AND(Main[[#This Row],[In Stock Date]]&lt;&gt;"",Main[[#This Row],[Revised Due Date]]&lt;&gt;""),Main[[#This Row],[In Stock Date]]-Main[[#This Row],[Revised Due Date]],"")</f>
        <v/>
      </c>
      <c r="I615" s="65" t="s">
        <v>4</v>
      </c>
      <c r="J615" s="65" t="s">
        <v>4</v>
      </c>
      <c r="K615" s="71" t="s">
        <v>4</v>
      </c>
      <c r="L615" s="67"/>
      <c r="M615" s="69" t="str">
        <f>IF(Main[[#This Row],[Tech Start Date]]&lt;1/1/1990,"",IF(Main[[#This Row],[Class]]="C",WORKDAY(Main[[#This Row],[Tech Start Date]],9),IF(Main[[#This Row],[Class]]="B", WORKDAY(Main[[#This Row],[Tech Start Date]],6),IF(Main[[#This Row],[Class]]="A",WORKDAY(Main[[#This Row],[Tech Start Date]],2),""))))</f>
        <v/>
      </c>
      <c r="N615" s="69" t="str">
        <f>IF(Main[[#This Row],[Tech Start Date]]&lt;1/1/1990,"",IF(Main[[#This Row],[Class]]="C",WORKDAY(Main[[#This Row],[Tech Start Date]],19),IF(Main[[#This Row],[Class]]="B", WORKDAY(Main[[#This Row],[Tech Start Date]],12),IF(Main[[#This Row],[Class]]="A",WORKDAY(Main[[#This Row],[Tech Start Date]],4),""))))</f>
        <v/>
      </c>
      <c r="O615" s="69" t="str">
        <f>IF(Main[[#This Row],[Tech Start Date]]&lt;1/1/1990,"",IF(Main[[#This Row],[Class]]="C",WORKDAY(Main[[#This Row],[Tech Start Date]],23),IF(Main[[#This Row],[Class]]="B", WORKDAY(Main[[#This Row],[Tech Start Date]],15),IF(Main[[#This Row],[Class]]="A",WORKDAY(Main[[#This Row],[Tech Start Date]],5),""))))</f>
        <v/>
      </c>
      <c r="P615" s="69" t="str">
        <f>IF(Main[[#This Row],[Tech Start Date]]&lt;1/1/1990,"",IF(Main[[#This Row],[Class]]="C",WORKDAY(Main[[#This Row],[Tech Start Date]],28),IF(Main[[#This Row],[Class]]="B", WORKDAY(Main[[#This Row],[Tech Start Date]],19),IF(Main[[#This Row],[Class]]="A",WORKDAY(Main[[#This Row],[Tech Start Date]],9),""))))</f>
        <v/>
      </c>
      <c r="Q615" s="67">
        <v>40714</v>
      </c>
      <c r="R615" s="67"/>
      <c r="S615" s="65" t="s">
        <v>6</v>
      </c>
      <c r="T615" s="70" t="s">
        <v>4</v>
      </c>
      <c r="U615" s="65" t="s">
        <v>696</v>
      </c>
      <c r="V615" s="65" t="s">
        <v>1917</v>
      </c>
      <c r="W615" s="65" t="s">
        <v>4</v>
      </c>
      <c r="X615" s="65" t="s">
        <v>2842</v>
      </c>
      <c r="Y615" s="65" t="s">
        <v>2971</v>
      </c>
      <c r="Z615" s="65" t="s">
        <v>4</v>
      </c>
      <c r="AA615" s="65" t="s">
        <v>2842</v>
      </c>
    </row>
    <row r="616" spans="1:27" ht="17.45" customHeight="1">
      <c r="A616" s="131" t="str">
        <f>IF(priority(Main[[#This Row],[Comments]])&lt;&gt;0, priority(Main[[#This Row],[Comments]]),"")</f>
        <v/>
      </c>
      <c r="B616" s="99" t="s">
        <v>1463</v>
      </c>
      <c r="C616" s="65" t="s">
        <v>4</v>
      </c>
      <c r="D616" s="66" t="s">
        <v>527</v>
      </c>
      <c r="E616" s="67"/>
      <c r="F616" s="67">
        <v>40431</v>
      </c>
      <c r="G616" s="64" t="str">
        <f>IF(stdProdLT(Main[[#This Row],[Comments]])=0.1,"N/A",IF(stdProdLT(Main[[#This Row],[Comments]])=0,"",stdProdLT(Main[[#This Row],[Comments]])))</f>
        <v/>
      </c>
      <c r="H616" s="68" t="str">
        <f>IF(AND(Main[[#This Row],[In Stock Date]]&lt;&gt;"",Main[[#This Row],[Revised Due Date]]&lt;&gt;""),Main[[#This Row],[In Stock Date]]-Main[[#This Row],[Revised Due Date]],"")</f>
        <v/>
      </c>
      <c r="I616" s="65" t="s">
        <v>4</v>
      </c>
      <c r="J616" s="65" t="s">
        <v>28</v>
      </c>
      <c r="K616" s="65" t="s">
        <v>4</v>
      </c>
      <c r="L616" s="67"/>
      <c r="M616" s="69" t="str">
        <f>IF(Main[[#This Row],[Tech Start Date]]&lt;1/1/1990,"",IF(Main[[#This Row],[Class]]="C",WORKDAY(Main[[#This Row],[Tech Start Date]],9),IF(Main[[#This Row],[Class]]="B", WORKDAY(Main[[#This Row],[Tech Start Date]],6),IF(Main[[#This Row],[Class]]="A",WORKDAY(Main[[#This Row],[Tech Start Date]],2),""))))</f>
        <v/>
      </c>
      <c r="N616" s="69" t="str">
        <f>IF(Main[[#This Row],[Tech Start Date]]&lt;1/1/1990,"",IF(Main[[#This Row],[Class]]="C",WORKDAY(Main[[#This Row],[Tech Start Date]],19),IF(Main[[#This Row],[Class]]="B", WORKDAY(Main[[#This Row],[Tech Start Date]],12),IF(Main[[#This Row],[Class]]="A",WORKDAY(Main[[#This Row],[Tech Start Date]],4),""))))</f>
        <v/>
      </c>
      <c r="O616" s="69" t="str">
        <f>IF(Main[[#This Row],[Tech Start Date]]&lt;1/1/1990,"",IF(Main[[#This Row],[Class]]="C",WORKDAY(Main[[#This Row],[Tech Start Date]],23),IF(Main[[#This Row],[Class]]="B", WORKDAY(Main[[#This Row],[Tech Start Date]],15),IF(Main[[#This Row],[Class]]="A",WORKDAY(Main[[#This Row],[Tech Start Date]],5),""))))</f>
        <v/>
      </c>
      <c r="P616" s="69" t="str">
        <f>IF(Main[[#This Row],[Tech Start Date]]&lt;1/1/1990,"",IF(Main[[#This Row],[Class]]="C",WORKDAY(Main[[#This Row],[Tech Start Date]],28),IF(Main[[#This Row],[Class]]="B", WORKDAY(Main[[#This Row],[Tech Start Date]],19),IF(Main[[#This Row],[Class]]="A",WORKDAY(Main[[#This Row],[Tech Start Date]],9),""))))</f>
        <v/>
      </c>
      <c r="Q616" s="67">
        <v>40410</v>
      </c>
      <c r="R616" s="67"/>
      <c r="S616" s="65" t="s">
        <v>11</v>
      </c>
      <c r="T616" s="70" t="s">
        <v>4</v>
      </c>
      <c r="U616" s="65" t="s">
        <v>14</v>
      </c>
      <c r="V616" s="65" t="s">
        <v>1918</v>
      </c>
      <c r="W616" s="65" t="s">
        <v>1925</v>
      </c>
      <c r="X616" s="65" t="s">
        <v>2830</v>
      </c>
      <c r="Y616" s="65" t="s">
        <v>2949</v>
      </c>
      <c r="Z616" s="65" t="s">
        <v>108</v>
      </c>
      <c r="AA616" s="65" t="s">
        <v>2830</v>
      </c>
    </row>
    <row r="617" spans="1:27" ht="17.45" customHeight="1">
      <c r="A617" s="131" t="str">
        <f>IF(priority(Main[[#This Row],[Comments]])&lt;&gt;0, priority(Main[[#This Row],[Comments]]),"")</f>
        <v/>
      </c>
      <c r="B617" s="99" t="s">
        <v>1464</v>
      </c>
      <c r="C617" s="65" t="s">
        <v>4</v>
      </c>
      <c r="D617" s="66" t="s">
        <v>528</v>
      </c>
      <c r="E617" s="67"/>
      <c r="F617" s="67">
        <v>40786</v>
      </c>
      <c r="G617" s="64" t="str">
        <f>IF(stdProdLT(Main[[#This Row],[Comments]])=0.1,"N/A",IF(stdProdLT(Main[[#This Row],[Comments]])=0,"",stdProdLT(Main[[#This Row],[Comments]])))</f>
        <v/>
      </c>
      <c r="H617" s="68" t="str">
        <f>IF(AND(Main[[#This Row],[In Stock Date]]&lt;&gt;"",Main[[#This Row],[Revised Due Date]]&lt;&gt;""),Main[[#This Row],[In Stock Date]]-Main[[#This Row],[Revised Due Date]],"")</f>
        <v/>
      </c>
      <c r="I617" s="65" t="s">
        <v>4</v>
      </c>
      <c r="J617" s="65" t="s">
        <v>4</v>
      </c>
      <c r="K617" s="65" t="s">
        <v>4</v>
      </c>
      <c r="L617" s="67"/>
      <c r="M617" s="69" t="str">
        <f>IF(Main[[#This Row],[Tech Start Date]]&lt;1/1/1990,"",IF(Main[[#This Row],[Class]]="C",WORKDAY(Main[[#This Row],[Tech Start Date]],9),IF(Main[[#This Row],[Class]]="B", WORKDAY(Main[[#This Row],[Tech Start Date]],6),IF(Main[[#This Row],[Class]]="A",WORKDAY(Main[[#This Row],[Tech Start Date]],2),""))))</f>
        <v/>
      </c>
      <c r="N617" s="69" t="str">
        <f>IF(Main[[#This Row],[Tech Start Date]]&lt;1/1/1990,"",IF(Main[[#This Row],[Class]]="C",WORKDAY(Main[[#This Row],[Tech Start Date]],19),IF(Main[[#This Row],[Class]]="B", WORKDAY(Main[[#This Row],[Tech Start Date]],12),IF(Main[[#This Row],[Class]]="A",WORKDAY(Main[[#This Row],[Tech Start Date]],4),""))))</f>
        <v/>
      </c>
      <c r="O617" s="69" t="str">
        <f>IF(Main[[#This Row],[Tech Start Date]]&lt;1/1/1990,"",IF(Main[[#This Row],[Class]]="C",WORKDAY(Main[[#This Row],[Tech Start Date]],23),IF(Main[[#This Row],[Class]]="B", WORKDAY(Main[[#This Row],[Tech Start Date]],15),IF(Main[[#This Row],[Class]]="A",WORKDAY(Main[[#This Row],[Tech Start Date]],5),""))))</f>
        <v/>
      </c>
      <c r="P617" s="69" t="str">
        <f>IF(Main[[#This Row],[Tech Start Date]]&lt;1/1/1990,"",IF(Main[[#This Row],[Class]]="C",WORKDAY(Main[[#This Row],[Tech Start Date]],28),IF(Main[[#This Row],[Class]]="B", WORKDAY(Main[[#This Row],[Tech Start Date]],19),IF(Main[[#This Row],[Class]]="A",WORKDAY(Main[[#This Row],[Tech Start Date]],9),""))))</f>
        <v/>
      </c>
      <c r="Q617" s="67">
        <v>40749</v>
      </c>
      <c r="R617" s="67"/>
      <c r="S617" s="65" t="s">
        <v>11</v>
      </c>
      <c r="T617" s="70" t="s">
        <v>4</v>
      </c>
      <c r="U617" s="65" t="s">
        <v>14</v>
      </c>
      <c r="V617" s="65" t="s">
        <v>1920</v>
      </c>
      <c r="W617" s="65" t="s">
        <v>1925</v>
      </c>
      <c r="X617" s="65" t="s">
        <v>554</v>
      </c>
      <c r="Y617" s="65" t="s">
        <v>3056</v>
      </c>
      <c r="Z617" s="65" t="s">
        <v>4</v>
      </c>
      <c r="AA617" s="65" t="s">
        <v>2866</v>
      </c>
    </row>
    <row r="618" spans="1:27" ht="17.45" customHeight="1">
      <c r="A618" s="131" t="str">
        <f>IF(priority(Main[[#This Row],[Comments]])&lt;&gt;0, priority(Main[[#This Row],[Comments]]),"")</f>
        <v/>
      </c>
      <c r="B618" s="99" t="s">
        <v>1442</v>
      </c>
      <c r="C618" s="65" t="s">
        <v>95</v>
      </c>
      <c r="D618" s="66" t="s">
        <v>529</v>
      </c>
      <c r="E618" s="67"/>
      <c r="F618" s="67"/>
      <c r="G618" s="64" t="str">
        <f>IF(stdProdLT(Main[[#This Row],[Comments]])=0.1,"N/A",IF(stdProdLT(Main[[#This Row],[Comments]])=0,"",stdProdLT(Main[[#This Row],[Comments]])))</f>
        <v/>
      </c>
      <c r="H618" s="68" t="str">
        <f>IF(AND(Main[[#This Row],[In Stock Date]]&lt;&gt;"",Main[[#This Row],[Revised Due Date]]&lt;&gt;""),Main[[#This Row],[In Stock Date]]-Main[[#This Row],[Revised Due Date]],"")</f>
        <v/>
      </c>
      <c r="I618" s="65" t="s">
        <v>530</v>
      </c>
      <c r="J618" s="65" t="s">
        <v>4</v>
      </c>
      <c r="K618" s="65" t="s">
        <v>4</v>
      </c>
      <c r="L618" s="67"/>
      <c r="M618" s="69" t="str">
        <f>IF(Main[[#This Row],[Tech Start Date]]&lt;1/1/1990,"",IF(Main[[#This Row],[Class]]="C",WORKDAY(Main[[#This Row],[Tech Start Date]],9),IF(Main[[#This Row],[Class]]="B", WORKDAY(Main[[#This Row],[Tech Start Date]],6),IF(Main[[#This Row],[Class]]="A",WORKDAY(Main[[#This Row],[Tech Start Date]],2),""))))</f>
        <v/>
      </c>
      <c r="N618" s="69" t="str">
        <f>IF(Main[[#This Row],[Tech Start Date]]&lt;1/1/1990,"",IF(Main[[#This Row],[Class]]="C",WORKDAY(Main[[#This Row],[Tech Start Date]],19),IF(Main[[#This Row],[Class]]="B", WORKDAY(Main[[#This Row],[Tech Start Date]],12),IF(Main[[#This Row],[Class]]="A",WORKDAY(Main[[#This Row],[Tech Start Date]],4),""))))</f>
        <v/>
      </c>
      <c r="O618" s="69" t="str">
        <f>IF(Main[[#This Row],[Tech Start Date]]&lt;1/1/1990,"",IF(Main[[#This Row],[Class]]="C",WORKDAY(Main[[#This Row],[Tech Start Date]],23),IF(Main[[#This Row],[Class]]="B", WORKDAY(Main[[#This Row],[Tech Start Date]],15),IF(Main[[#This Row],[Class]]="A",WORKDAY(Main[[#This Row],[Tech Start Date]],5),""))))</f>
        <v/>
      </c>
      <c r="P618" s="69" t="str">
        <f>IF(Main[[#This Row],[Tech Start Date]]&lt;1/1/1990,"",IF(Main[[#This Row],[Class]]="C",WORKDAY(Main[[#This Row],[Tech Start Date]],28),IF(Main[[#This Row],[Class]]="B", WORKDAY(Main[[#This Row],[Tech Start Date]],19),IF(Main[[#This Row],[Class]]="A",WORKDAY(Main[[#This Row],[Tech Start Date]],9),""))))</f>
        <v/>
      </c>
      <c r="Q618" s="67">
        <v>40352</v>
      </c>
      <c r="R618" s="67"/>
      <c r="S618" s="65" t="s">
        <v>11</v>
      </c>
      <c r="T618" s="70" t="s">
        <v>4</v>
      </c>
      <c r="U618" s="65" t="s">
        <v>14</v>
      </c>
      <c r="V618" s="65" t="s">
        <v>1920</v>
      </c>
      <c r="W618" s="65" t="s">
        <v>1919</v>
      </c>
      <c r="X618" s="65" t="s">
        <v>2843</v>
      </c>
      <c r="Y618" s="65" t="s">
        <v>3057</v>
      </c>
      <c r="Z618" s="65" t="s">
        <v>4</v>
      </c>
      <c r="AA618" s="65" t="s">
        <v>3418</v>
      </c>
    </row>
    <row r="619" spans="1:27" ht="17.45" customHeight="1">
      <c r="A619" s="131" t="str">
        <f>IF(priority(Main[[#This Row],[Comments]])&lt;&gt;0, priority(Main[[#This Row],[Comments]]),"")</f>
        <v/>
      </c>
      <c r="B619" s="99" t="s">
        <v>1444</v>
      </c>
      <c r="C619" s="65" t="s">
        <v>169</v>
      </c>
      <c r="D619" s="66" t="s">
        <v>532</v>
      </c>
      <c r="E619" s="67"/>
      <c r="F619" s="67">
        <v>40237</v>
      </c>
      <c r="G619" s="64" t="str">
        <f>IF(stdProdLT(Main[[#This Row],[Comments]])=0.1,"N/A",IF(stdProdLT(Main[[#This Row],[Comments]])=0,"",stdProdLT(Main[[#This Row],[Comments]])))</f>
        <v/>
      </c>
      <c r="H619" s="68" t="str">
        <f>IF(AND(Main[[#This Row],[In Stock Date]]&lt;&gt;"",Main[[#This Row],[Revised Due Date]]&lt;&gt;""),Main[[#This Row],[In Stock Date]]-Main[[#This Row],[Revised Due Date]],"")</f>
        <v/>
      </c>
      <c r="I619" s="65" t="s">
        <v>4</v>
      </c>
      <c r="J619" s="65" t="s">
        <v>4</v>
      </c>
      <c r="K619" s="65" t="s">
        <v>4</v>
      </c>
      <c r="L619" s="67"/>
      <c r="M619" s="69" t="str">
        <f>IF(Main[[#This Row],[Tech Start Date]]&lt;1/1/1990,"",IF(Main[[#This Row],[Class]]="C",WORKDAY(Main[[#This Row],[Tech Start Date]],9),IF(Main[[#This Row],[Class]]="B", WORKDAY(Main[[#This Row],[Tech Start Date]],6),IF(Main[[#This Row],[Class]]="A",WORKDAY(Main[[#This Row],[Tech Start Date]],2),""))))</f>
        <v/>
      </c>
      <c r="N619" s="69" t="str">
        <f>IF(Main[[#This Row],[Tech Start Date]]&lt;1/1/1990,"",IF(Main[[#This Row],[Class]]="C",WORKDAY(Main[[#This Row],[Tech Start Date]],19),IF(Main[[#This Row],[Class]]="B", WORKDAY(Main[[#This Row],[Tech Start Date]],12),IF(Main[[#This Row],[Class]]="A",WORKDAY(Main[[#This Row],[Tech Start Date]],4),""))))</f>
        <v/>
      </c>
      <c r="O619" s="69" t="str">
        <f>IF(Main[[#This Row],[Tech Start Date]]&lt;1/1/1990,"",IF(Main[[#This Row],[Class]]="C",WORKDAY(Main[[#This Row],[Tech Start Date]],23),IF(Main[[#This Row],[Class]]="B", WORKDAY(Main[[#This Row],[Tech Start Date]],15),IF(Main[[#This Row],[Class]]="A",WORKDAY(Main[[#This Row],[Tech Start Date]],5),""))))</f>
        <v/>
      </c>
      <c r="P619" s="69" t="str">
        <f>IF(Main[[#This Row],[Tech Start Date]]&lt;1/1/1990,"",IF(Main[[#This Row],[Class]]="C",WORKDAY(Main[[#This Row],[Tech Start Date]],28),IF(Main[[#This Row],[Class]]="B", WORKDAY(Main[[#This Row],[Tech Start Date]],19),IF(Main[[#This Row],[Class]]="A",WORKDAY(Main[[#This Row],[Tech Start Date]],9),""))))</f>
        <v/>
      </c>
      <c r="Q619" s="67">
        <v>40132</v>
      </c>
      <c r="R619" s="67"/>
      <c r="S619" s="65" t="s">
        <v>11</v>
      </c>
      <c r="T619" s="70" t="s">
        <v>4</v>
      </c>
      <c r="U619" s="65" t="s">
        <v>14</v>
      </c>
      <c r="V619" s="65" t="s">
        <v>1917</v>
      </c>
      <c r="W619" s="65" t="s">
        <v>1922</v>
      </c>
      <c r="X619" s="65" t="s">
        <v>2864</v>
      </c>
      <c r="Y619" s="65" t="s">
        <v>4</v>
      </c>
      <c r="Z619" s="65" t="s">
        <v>4</v>
      </c>
      <c r="AA619" s="65" t="s">
        <v>2864</v>
      </c>
    </row>
    <row r="620" spans="1:27" ht="17.45" customHeight="1">
      <c r="A620" s="131" t="str">
        <f>IF(priority(Main[[#This Row],[Comments]])&lt;&gt;0, priority(Main[[#This Row],[Comments]]),"")</f>
        <v/>
      </c>
      <c r="B620" s="99" t="s">
        <v>3272</v>
      </c>
      <c r="C620" s="65" t="s">
        <v>3273</v>
      </c>
      <c r="D620" s="66" t="s">
        <v>3372</v>
      </c>
      <c r="E620" s="67"/>
      <c r="F620" s="67">
        <v>41090</v>
      </c>
      <c r="G620" s="64" t="str">
        <f>IF(stdProdLT(Main[[#This Row],[Comments]])=0.1,"N/A",IF(stdProdLT(Main[[#This Row],[Comments]])=0,"",stdProdLT(Main[[#This Row],[Comments]])))</f>
        <v/>
      </c>
      <c r="H620" s="68" t="str">
        <f>IF(AND(Main[[#This Row],[In Stock Date]]&lt;&gt;"",Main[[#This Row],[Revised Due Date]]&lt;&gt;""),Main[[#This Row],[In Stock Date]]-Main[[#This Row],[Revised Due Date]],"")</f>
        <v/>
      </c>
      <c r="I620" s="65" t="s">
        <v>4</v>
      </c>
      <c r="J620" s="65" t="s">
        <v>4</v>
      </c>
      <c r="K620" s="65" t="s">
        <v>4</v>
      </c>
      <c r="L620" s="67"/>
      <c r="M620" s="69" t="str">
        <f>IF(Main[[#This Row],[Tech Start Date]]&lt;1/1/1990,"",IF(Main[[#This Row],[Class]]="C",WORKDAY(Main[[#This Row],[Tech Start Date]],9),IF(Main[[#This Row],[Class]]="B", WORKDAY(Main[[#This Row],[Tech Start Date]],6),IF(Main[[#This Row],[Class]]="A",WORKDAY(Main[[#This Row],[Tech Start Date]],2),""))))</f>
        <v/>
      </c>
      <c r="N620" s="69" t="str">
        <f>IF(Main[[#This Row],[Tech Start Date]]&lt;1/1/1990,"",IF(Main[[#This Row],[Class]]="C",WORKDAY(Main[[#This Row],[Tech Start Date]],19),IF(Main[[#This Row],[Class]]="B", WORKDAY(Main[[#This Row],[Tech Start Date]],12),IF(Main[[#This Row],[Class]]="A",WORKDAY(Main[[#This Row],[Tech Start Date]],4),""))))</f>
        <v/>
      </c>
      <c r="O620" s="69" t="str">
        <f>IF(Main[[#This Row],[Tech Start Date]]&lt;1/1/1990,"",IF(Main[[#This Row],[Class]]="C",WORKDAY(Main[[#This Row],[Tech Start Date]],23),IF(Main[[#This Row],[Class]]="B", WORKDAY(Main[[#This Row],[Tech Start Date]],15),IF(Main[[#This Row],[Class]]="A",WORKDAY(Main[[#This Row],[Tech Start Date]],5),""))))</f>
        <v/>
      </c>
      <c r="P620" s="69" t="str">
        <f>IF(Main[[#This Row],[Tech Start Date]]&lt;1/1/1990,"",IF(Main[[#This Row],[Class]]="C",WORKDAY(Main[[#This Row],[Tech Start Date]],28),IF(Main[[#This Row],[Class]]="B", WORKDAY(Main[[#This Row],[Tech Start Date]],19),IF(Main[[#This Row],[Class]]="A",WORKDAY(Main[[#This Row],[Tech Start Date]],9),""))))</f>
        <v/>
      </c>
      <c r="Q620" s="67"/>
      <c r="R620" s="67"/>
      <c r="S620" s="65" t="s">
        <v>11</v>
      </c>
      <c r="T620" s="70" t="s">
        <v>3274</v>
      </c>
      <c r="U620" s="65" t="s">
        <v>14</v>
      </c>
      <c r="V620" s="65" t="s">
        <v>1918</v>
      </c>
      <c r="W620" s="65" t="s">
        <v>1925</v>
      </c>
      <c r="X620" s="65" t="s">
        <v>2858</v>
      </c>
      <c r="Y620" s="65" t="s">
        <v>2996</v>
      </c>
      <c r="Z620" s="65" t="s">
        <v>4</v>
      </c>
      <c r="AA620" s="65" t="s">
        <v>2858</v>
      </c>
    </row>
    <row r="621" spans="1:27" ht="17.45" customHeight="1">
      <c r="A621" s="131" t="str">
        <f>IF(priority(Main[[#This Row],[Comments]])&lt;&gt;0, priority(Main[[#This Row],[Comments]]),"")</f>
        <v/>
      </c>
      <c r="B621" s="99" t="s">
        <v>1445</v>
      </c>
      <c r="C621" s="65" t="s">
        <v>4</v>
      </c>
      <c r="D621" s="66" t="s">
        <v>533</v>
      </c>
      <c r="E621" s="67">
        <v>40108.684525462966</v>
      </c>
      <c r="F621" s="67"/>
      <c r="G621" s="64" t="str">
        <f>IF(stdProdLT(Main[[#This Row],[Comments]])=0.1,"N/A",IF(stdProdLT(Main[[#This Row],[Comments]])=0,"",stdProdLT(Main[[#This Row],[Comments]])))</f>
        <v/>
      </c>
      <c r="H621" s="68" t="str">
        <f>IF(AND(Main[[#This Row],[In Stock Date]]&lt;&gt;"",Main[[#This Row],[Revised Due Date]]&lt;&gt;""),Main[[#This Row],[In Stock Date]]-Main[[#This Row],[Revised Due Date]],"")</f>
        <v/>
      </c>
      <c r="I621" s="65" t="s">
        <v>4</v>
      </c>
      <c r="J621" s="65" t="s">
        <v>4</v>
      </c>
      <c r="K621" s="65" t="s">
        <v>4</v>
      </c>
      <c r="L621" s="67"/>
      <c r="M621" s="69" t="str">
        <f>IF(Main[[#This Row],[Tech Start Date]]&lt;1/1/1990,"",IF(Main[[#This Row],[Class]]="C",WORKDAY(Main[[#This Row],[Tech Start Date]],9),IF(Main[[#This Row],[Class]]="B", WORKDAY(Main[[#This Row],[Tech Start Date]],6),IF(Main[[#This Row],[Class]]="A",WORKDAY(Main[[#This Row],[Tech Start Date]],2),""))))</f>
        <v/>
      </c>
      <c r="N621" s="69" t="str">
        <f>IF(Main[[#This Row],[Tech Start Date]]&lt;1/1/1990,"",IF(Main[[#This Row],[Class]]="C",WORKDAY(Main[[#This Row],[Tech Start Date]],19),IF(Main[[#This Row],[Class]]="B", WORKDAY(Main[[#This Row],[Tech Start Date]],12),IF(Main[[#This Row],[Class]]="A",WORKDAY(Main[[#This Row],[Tech Start Date]],4),""))))</f>
        <v/>
      </c>
      <c r="O621" s="69" t="str">
        <f>IF(Main[[#This Row],[Tech Start Date]]&lt;1/1/1990,"",IF(Main[[#This Row],[Class]]="C",WORKDAY(Main[[#This Row],[Tech Start Date]],23),IF(Main[[#This Row],[Class]]="B", WORKDAY(Main[[#This Row],[Tech Start Date]],15),IF(Main[[#This Row],[Class]]="A",WORKDAY(Main[[#This Row],[Tech Start Date]],5),""))))</f>
        <v/>
      </c>
      <c r="P621" s="69" t="str">
        <f>IF(Main[[#This Row],[Tech Start Date]]&lt;1/1/1990,"",IF(Main[[#This Row],[Class]]="C",WORKDAY(Main[[#This Row],[Tech Start Date]],28),IF(Main[[#This Row],[Class]]="B", WORKDAY(Main[[#This Row],[Tech Start Date]],19),IF(Main[[#This Row],[Class]]="A",WORKDAY(Main[[#This Row],[Tech Start Date]],9),""))))</f>
        <v/>
      </c>
      <c r="Q621" s="67">
        <v>40208</v>
      </c>
      <c r="R621" s="67"/>
      <c r="S621" s="65" t="s">
        <v>17</v>
      </c>
      <c r="T621" s="70" t="s">
        <v>4</v>
      </c>
      <c r="U621" s="65" t="s">
        <v>534</v>
      </c>
      <c r="V621" s="65" t="s">
        <v>1918</v>
      </c>
      <c r="W621" s="65" t="s">
        <v>4</v>
      </c>
      <c r="X621" s="65" t="s">
        <v>2868</v>
      </c>
      <c r="Y621" s="65" t="s">
        <v>3012</v>
      </c>
      <c r="Z621" s="65" t="s">
        <v>4</v>
      </c>
      <c r="AA621" s="65" t="s">
        <v>2868</v>
      </c>
    </row>
    <row r="622" spans="1:27" ht="17.45" customHeight="1">
      <c r="A622" s="131" t="str">
        <f>IF(priority(Main[[#This Row],[Comments]])&lt;&gt;0, priority(Main[[#This Row],[Comments]]),"")</f>
        <v/>
      </c>
      <c r="B622" s="99" t="s">
        <v>1446</v>
      </c>
      <c r="C622" s="65" t="s">
        <v>79</v>
      </c>
      <c r="D622" s="66" t="s">
        <v>535</v>
      </c>
      <c r="E622" s="67"/>
      <c r="F622" s="67"/>
      <c r="G622" s="64" t="str">
        <f>IF(stdProdLT(Main[[#This Row],[Comments]])=0.1,"N/A",IF(stdProdLT(Main[[#This Row],[Comments]])=0,"",stdProdLT(Main[[#This Row],[Comments]])))</f>
        <v/>
      </c>
      <c r="H622" s="68" t="str">
        <f>IF(AND(Main[[#This Row],[In Stock Date]]&lt;&gt;"",Main[[#This Row],[Revised Due Date]]&lt;&gt;""),Main[[#This Row],[In Stock Date]]-Main[[#This Row],[Revised Due Date]],"")</f>
        <v/>
      </c>
      <c r="I622" s="65" t="s">
        <v>4</v>
      </c>
      <c r="J622" s="65" t="s">
        <v>4</v>
      </c>
      <c r="K622" s="65" t="s">
        <v>4</v>
      </c>
      <c r="L622" s="67"/>
      <c r="M622" s="69" t="str">
        <f>IF(Main[[#This Row],[Tech Start Date]]&lt;1/1/1990,"",IF(Main[[#This Row],[Class]]="C",WORKDAY(Main[[#This Row],[Tech Start Date]],9),IF(Main[[#This Row],[Class]]="B", WORKDAY(Main[[#This Row],[Tech Start Date]],6),IF(Main[[#This Row],[Class]]="A",WORKDAY(Main[[#This Row],[Tech Start Date]],2),""))))</f>
        <v/>
      </c>
      <c r="N622" s="69" t="str">
        <f>IF(Main[[#This Row],[Tech Start Date]]&lt;1/1/1990,"",IF(Main[[#This Row],[Class]]="C",WORKDAY(Main[[#This Row],[Tech Start Date]],19),IF(Main[[#This Row],[Class]]="B", WORKDAY(Main[[#This Row],[Tech Start Date]],12),IF(Main[[#This Row],[Class]]="A",WORKDAY(Main[[#This Row],[Tech Start Date]],4),""))))</f>
        <v/>
      </c>
      <c r="O622" s="69" t="str">
        <f>IF(Main[[#This Row],[Tech Start Date]]&lt;1/1/1990,"",IF(Main[[#This Row],[Class]]="C",WORKDAY(Main[[#This Row],[Tech Start Date]],23),IF(Main[[#This Row],[Class]]="B", WORKDAY(Main[[#This Row],[Tech Start Date]],15),IF(Main[[#This Row],[Class]]="A",WORKDAY(Main[[#This Row],[Tech Start Date]],5),""))))</f>
        <v/>
      </c>
      <c r="P622" s="69" t="str">
        <f>IF(Main[[#This Row],[Tech Start Date]]&lt;1/1/1990,"",IF(Main[[#This Row],[Class]]="C",WORKDAY(Main[[#This Row],[Tech Start Date]],28),IF(Main[[#This Row],[Class]]="B", WORKDAY(Main[[#This Row],[Tech Start Date]],19),IF(Main[[#This Row],[Class]]="A",WORKDAY(Main[[#This Row],[Tech Start Date]],9),""))))</f>
        <v/>
      </c>
      <c r="Q622" s="67">
        <v>40044</v>
      </c>
      <c r="R622" s="67"/>
      <c r="S622" s="65" t="s">
        <v>11</v>
      </c>
      <c r="T622" s="70" t="s">
        <v>4</v>
      </c>
      <c r="U622" s="65" t="s">
        <v>12</v>
      </c>
      <c r="V622" s="65" t="s">
        <v>1927</v>
      </c>
      <c r="W622" s="65" t="s">
        <v>1928</v>
      </c>
      <c r="X622" s="65" t="s">
        <v>2826</v>
      </c>
      <c r="Y622" s="65" t="s">
        <v>2962</v>
      </c>
      <c r="Z622" s="65" t="s">
        <v>81</v>
      </c>
      <c r="AA622" s="65" t="s">
        <v>2867</v>
      </c>
    </row>
    <row r="623" spans="1:27" ht="17.45" customHeight="1">
      <c r="A623" s="131" t="str">
        <f>IF(priority(Main[[#This Row],[Comments]])&lt;&gt;0, priority(Main[[#This Row],[Comments]]),"")</f>
        <v/>
      </c>
      <c r="B623" s="99" t="s">
        <v>1447</v>
      </c>
      <c r="C623" s="65" t="s">
        <v>4</v>
      </c>
      <c r="D623" s="66" t="s">
        <v>536</v>
      </c>
      <c r="E623" s="67"/>
      <c r="F623" s="67"/>
      <c r="G623" s="64" t="str">
        <f>IF(stdProdLT(Main[[#This Row],[Comments]])=0.1,"N/A",IF(stdProdLT(Main[[#This Row],[Comments]])=0,"",stdProdLT(Main[[#This Row],[Comments]])))</f>
        <v/>
      </c>
      <c r="H623" s="68" t="str">
        <f>IF(AND(Main[[#This Row],[In Stock Date]]&lt;&gt;"",Main[[#This Row],[Revised Due Date]]&lt;&gt;""),Main[[#This Row],[In Stock Date]]-Main[[#This Row],[Revised Due Date]],"")</f>
        <v/>
      </c>
      <c r="I623" s="65" t="s">
        <v>4</v>
      </c>
      <c r="J623" s="65" t="s">
        <v>4</v>
      </c>
      <c r="K623" s="65" t="s">
        <v>4</v>
      </c>
      <c r="L623" s="67"/>
      <c r="M623" s="69" t="str">
        <f>IF(Main[[#This Row],[Tech Start Date]]&lt;1/1/1990,"",IF(Main[[#This Row],[Class]]="C",WORKDAY(Main[[#This Row],[Tech Start Date]],9),IF(Main[[#This Row],[Class]]="B", WORKDAY(Main[[#This Row],[Tech Start Date]],6),IF(Main[[#This Row],[Class]]="A",WORKDAY(Main[[#This Row],[Tech Start Date]],2),""))))</f>
        <v/>
      </c>
      <c r="N623" s="69" t="str">
        <f>IF(Main[[#This Row],[Tech Start Date]]&lt;1/1/1990,"",IF(Main[[#This Row],[Class]]="C",WORKDAY(Main[[#This Row],[Tech Start Date]],19),IF(Main[[#This Row],[Class]]="B", WORKDAY(Main[[#This Row],[Tech Start Date]],12),IF(Main[[#This Row],[Class]]="A",WORKDAY(Main[[#This Row],[Tech Start Date]],4),""))))</f>
        <v/>
      </c>
      <c r="O623" s="69" t="str">
        <f>IF(Main[[#This Row],[Tech Start Date]]&lt;1/1/1990,"",IF(Main[[#This Row],[Class]]="C",WORKDAY(Main[[#This Row],[Tech Start Date]],23),IF(Main[[#This Row],[Class]]="B", WORKDAY(Main[[#This Row],[Tech Start Date]],15),IF(Main[[#This Row],[Class]]="A",WORKDAY(Main[[#This Row],[Tech Start Date]],5),""))))</f>
        <v/>
      </c>
      <c r="P623" s="69" t="str">
        <f>IF(Main[[#This Row],[Tech Start Date]]&lt;1/1/1990,"",IF(Main[[#This Row],[Class]]="C",WORKDAY(Main[[#This Row],[Tech Start Date]],28),IF(Main[[#This Row],[Class]]="B", WORKDAY(Main[[#This Row],[Tech Start Date]],19),IF(Main[[#This Row],[Class]]="A",WORKDAY(Main[[#This Row],[Tech Start Date]],9),""))))</f>
        <v/>
      </c>
      <c r="Q623" s="67"/>
      <c r="R623" s="67"/>
      <c r="S623" s="65" t="s">
        <v>6</v>
      </c>
      <c r="T623" s="70" t="s">
        <v>4</v>
      </c>
      <c r="U623" s="65" t="s">
        <v>14</v>
      </c>
      <c r="V623" s="65" t="s">
        <v>1920</v>
      </c>
      <c r="W623" s="65" t="s">
        <v>4</v>
      </c>
      <c r="X623" s="65" t="s">
        <v>2893</v>
      </c>
      <c r="Y623" s="65" t="s">
        <v>3049</v>
      </c>
      <c r="Z623" s="65" t="s">
        <v>4</v>
      </c>
      <c r="AA623" s="65" t="s">
        <v>2893</v>
      </c>
    </row>
    <row r="624" spans="1:27" ht="17.45" customHeight="1">
      <c r="A624" s="131" t="str">
        <f>IF(priority(Main[[#This Row],[Comments]])&lt;&gt;0, priority(Main[[#This Row],[Comments]]),"")</f>
        <v/>
      </c>
      <c r="B624" s="99" t="s">
        <v>1450</v>
      </c>
      <c r="C624" s="65" t="s">
        <v>4</v>
      </c>
      <c r="D624" s="66" t="s">
        <v>539</v>
      </c>
      <c r="E624" s="67"/>
      <c r="F624" s="67">
        <v>40390</v>
      </c>
      <c r="G624" s="64" t="str">
        <f>IF(stdProdLT(Main[[#This Row],[Comments]])=0.1,"N/A",IF(stdProdLT(Main[[#This Row],[Comments]])=0,"",stdProdLT(Main[[#This Row],[Comments]])))</f>
        <v/>
      </c>
      <c r="H624" s="68" t="str">
        <f>IF(AND(Main[[#This Row],[In Stock Date]]&lt;&gt;"",Main[[#This Row],[Revised Due Date]]&lt;&gt;""),Main[[#This Row],[In Stock Date]]-Main[[#This Row],[Revised Due Date]],"")</f>
        <v/>
      </c>
      <c r="I624" s="65" t="s">
        <v>4</v>
      </c>
      <c r="J624" s="65" t="s">
        <v>4</v>
      </c>
      <c r="K624" s="65" t="s">
        <v>4</v>
      </c>
      <c r="L624" s="67"/>
      <c r="M624" s="69" t="str">
        <f>IF(Main[[#This Row],[Tech Start Date]]&lt;1/1/1990,"",IF(Main[[#This Row],[Class]]="C",WORKDAY(Main[[#This Row],[Tech Start Date]],9),IF(Main[[#This Row],[Class]]="B", WORKDAY(Main[[#This Row],[Tech Start Date]],6),IF(Main[[#This Row],[Class]]="A",WORKDAY(Main[[#This Row],[Tech Start Date]],2),""))))</f>
        <v/>
      </c>
      <c r="N624" s="69" t="str">
        <f>IF(Main[[#This Row],[Tech Start Date]]&lt;1/1/1990,"",IF(Main[[#This Row],[Class]]="C",WORKDAY(Main[[#This Row],[Tech Start Date]],19),IF(Main[[#This Row],[Class]]="B", WORKDAY(Main[[#This Row],[Tech Start Date]],12),IF(Main[[#This Row],[Class]]="A",WORKDAY(Main[[#This Row],[Tech Start Date]],4),""))))</f>
        <v/>
      </c>
      <c r="O624" s="69" t="str">
        <f>IF(Main[[#This Row],[Tech Start Date]]&lt;1/1/1990,"",IF(Main[[#This Row],[Class]]="C",WORKDAY(Main[[#This Row],[Tech Start Date]],23),IF(Main[[#This Row],[Class]]="B", WORKDAY(Main[[#This Row],[Tech Start Date]],15),IF(Main[[#This Row],[Class]]="A",WORKDAY(Main[[#This Row],[Tech Start Date]],5),""))))</f>
        <v/>
      </c>
      <c r="P624" s="69" t="str">
        <f>IF(Main[[#This Row],[Tech Start Date]]&lt;1/1/1990,"",IF(Main[[#This Row],[Class]]="C",WORKDAY(Main[[#This Row],[Tech Start Date]],28),IF(Main[[#This Row],[Class]]="B", WORKDAY(Main[[#This Row],[Tech Start Date]],19),IF(Main[[#This Row],[Class]]="A",WORKDAY(Main[[#This Row],[Tech Start Date]],9),""))))</f>
        <v/>
      </c>
      <c r="Q624" s="67">
        <v>40329</v>
      </c>
      <c r="R624" s="67"/>
      <c r="S624" s="65" t="s">
        <v>11</v>
      </c>
      <c r="T624" s="70" t="s">
        <v>4</v>
      </c>
      <c r="U624" s="65" t="s">
        <v>12</v>
      </c>
      <c r="V624" s="65" t="s">
        <v>1927</v>
      </c>
      <c r="W624" s="65" t="s">
        <v>1923</v>
      </c>
      <c r="X624" s="65" t="s">
        <v>2878</v>
      </c>
      <c r="Y624" s="65" t="s">
        <v>3002</v>
      </c>
      <c r="Z624" s="65" t="s">
        <v>4</v>
      </c>
      <c r="AA624" s="65" t="s">
        <v>2878</v>
      </c>
    </row>
    <row r="625" spans="1:27" ht="17.45" customHeight="1">
      <c r="A625" s="131" t="str">
        <f>IF(priority(Main[[#This Row],[Comments]])&lt;&gt;0, priority(Main[[#This Row],[Comments]]),"")</f>
        <v/>
      </c>
      <c r="B625" s="99" t="s">
        <v>2723</v>
      </c>
      <c r="C625" s="65" t="s">
        <v>4</v>
      </c>
      <c r="D625" s="66" t="s">
        <v>2724</v>
      </c>
      <c r="E625" s="67">
        <v>40884.602025462962</v>
      </c>
      <c r="F625" s="67"/>
      <c r="G625" s="64" t="str">
        <f>IF(stdProdLT(Main[[#This Row],[Comments]])=0.1,"N/A",IF(stdProdLT(Main[[#This Row],[Comments]])=0,"",stdProdLT(Main[[#This Row],[Comments]])))</f>
        <v/>
      </c>
      <c r="H625" s="68" t="str">
        <f>IF(AND(Main[[#This Row],[In Stock Date]]&lt;&gt;"",Main[[#This Row],[Revised Due Date]]&lt;&gt;""),Main[[#This Row],[In Stock Date]]-Main[[#This Row],[Revised Due Date]],"")</f>
        <v/>
      </c>
      <c r="I625" s="65" t="s">
        <v>4</v>
      </c>
      <c r="J625" s="65" t="s">
        <v>4</v>
      </c>
      <c r="K625" s="65" t="s">
        <v>4</v>
      </c>
      <c r="L625" s="67"/>
      <c r="M625" s="69" t="str">
        <f>IF(Main[[#This Row],[Tech Start Date]]&lt;1/1/1990,"",IF(Main[[#This Row],[Class]]="C",WORKDAY(Main[[#This Row],[Tech Start Date]],9),IF(Main[[#This Row],[Class]]="B", WORKDAY(Main[[#This Row],[Tech Start Date]],6),IF(Main[[#This Row],[Class]]="A",WORKDAY(Main[[#This Row],[Tech Start Date]],2),""))))</f>
        <v/>
      </c>
      <c r="N625" s="69" t="str">
        <f>IF(Main[[#This Row],[Tech Start Date]]&lt;1/1/1990,"",IF(Main[[#This Row],[Class]]="C",WORKDAY(Main[[#This Row],[Tech Start Date]],19),IF(Main[[#This Row],[Class]]="B", WORKDAY(Main[[#This Row],[Tech Start Date]],12),IF(Main[[#This Row],[Class]]="A",WORKDAY(Main[[#This Row],[Tech Start Date]],4),""))))</f>
        <v/>
      </c>
      <c r="O625" s="69" t="str">
        <f>IF(Main[[#This Row],[Tech Start Date]]&lt;1/1/1990,"",IF(Main[[#This Row],[Class]]="C",WORKDAY(Main[[#This Row],[Tech Start Date]],23),IF(Main[[#This Row],[Class]]="B", WORKDAY(Main[[#This Row],[Tech Start Date]],15),IF(Main[[#This Row],[Class]]="A",WORKDAY(Main[[#This Row],[Tech Start Date]],5),""))))</f>
        <v/>
      </c>
      <c r="P625" s="69" t="str">
        <f>IF(Main[[#This Row],[Tech Start Date]]&lt;1/1/1990,"",IF(Main[[#This Row],[Class]]="C",WORKDAY(Main[[#This Row],[Tech Start Date]],28),IF(Main[[#This Row],[Class]]="B", WORKDAY(Main[[#This Row],[Tech Start Date]],19),IF(Main[[#This Row],[Class]]="A",WORKDAY(Main[[#This Row],[Tech Start Date]],9),""))))</f>
        <v/>
      </c>
      <c r="Q625" s="67"/>
      <c r="R625" s="67"/>
      <c r="S625" s="65" t="s">
        <v>17</v>
      </c>
      <c r="T625" s="70" t="s">
        <v>4</v>
      </c>
      <c r="U625" s="65" t="s">
        <v>7</v>
      </c>
      <c r="V625" s="65" t="s">
        <v>1932</v>
      </c>
      <c r="W625" s="65" t="s">
        <v>1922</v>
      </c>
      <c r="X625" s="65" t="s">
        <v>924</v>
      </c>
      <c r="Y625" s="65" t="s">
        <v>3023</v>
      </c>
      <c r="Z625" s="65" t="s">
        <v>4</v>
      </c>
      <c r="AA625" s="65" t="s">
        <v>909</v>
      </c>
    </row>
    <row r="626" spans="1:27" ht="17.45" customHeight="1">
      <c r="A626" s="131" t="str">
        <f>IF(priority(Main[[#This Row],[Comments]])&lt;&gt;0, priority(Main[[#This Row],[Comments]]),"")</f>
        <v/>
      </c>
      <c r="B626" s="99" t="s">
        <v>1451</v>
      </c>
      <c r="C626" s="65" t="s">
        <v>4</v>
      </c>
      <c r="D626" s="66" t="s">
        <v>540</v>
      </c>
      <c r="E626" s="67"/>
      <c r="F626" s="67"/>
      <c r="G626" s="64" t="str">
        <f>IF(stdProdLT(Main[[#This Row],[Comments]])=0.1,"N/A",IF(stdProdLT(Main[[#This Row],[Comments]])=0,"",stdProdLT(Main[[#This Row],[Comments]])))</f>
        <v/>
      </c>
      <c r="H626" s="68" t="str">
        <f>IF(AND(Main[[#This Row],[In Stock Date]]&lt;&gt;"",Main[[#This Row],[Revised Due Date]]&lt;&gt;""),Main[[#This Row],[In Stock Date]]-Main[[#This Row],[Revised Due Date]],"")</f>
        <v/>
      </c>
      <c r="I626" s="65" t="s">
        <v>4</v>
      </c>
      <c r="J626" s="65" t="s">
        <v>4</v>
      </c>
      <c r="K626" s="65" t="s">
        <v>4</v>
      </c>
      <c r="L626" s="67"/>
      <c r="M626" s="69" t="str">
        <f>IF(Main[[#This Row],[Tech Start Date]]&lt;1/1/1990,"",IF(Main[[#This Row],[Class]]="C",WORKDAY(Main[[#This Row],[Tech Start Date]],9),IF(Main[[#This Row],[Class]]="B", WORKDAY(Main[[#This Row],[Tech Start Date]],6),IF(Main[[#This Row],[Class]]="A",WORKDAY(Main[[#This Row],[Tech Start Date]],2),""))))</f>
        <v/>
      </c>
      <c r="N626" s="69" t="str">
        <f>IF(Main[[#This Row],[Tech Start Date]]&lt;1/1/1990,"",IF(Main[[#This Row],[Class]]="C",WORKDAY(Main[[#This Row],[Tech Start Date]],19),IF(Main[[#This Row],[Class]]="B", WORKDAY(Main[[#This Row],[Tech Start Date]],12),IF(Main[[#This Row],[Class]]="A",WORKDAY(Main[[#This Row],[Tech Start Date]],4),""))))</f>
        <v/>
      </c>
      <c r="O626" s="69" t="str">
        <f>IF(Main[[#This Row],[Tech Start Date]]&lt;1/1/1990,"",IF(Main[[#This Row],[Class]]="C",WORKDAY(Main[[#This Row],[Tech Start Date]],23),IF(Main[[#This Row],[Class]]="B", WORKDAY(Main[[#This Row],[Tech Start Date]],15),IF(Main[[#This Row],[Class]]="A",WORKDAY(Main[[#This Row],[Tech Start Date]],5),""))))</f>
        <v/>
      </c>
      <c r="P626" s="69" t="str">
        <f>IF(Main[[#This Row],[Tech Start Date]]&lt;1/1/1990,"",IF(Main[[#This Row],[Class]]="C",WORKDAY(Main[[#This Row],[Tech Start Date]],28),IF(Main[[#This Row],[Class]]="B", WORKDAY(Main[[#This Row],[Tech Start Date]],19),IF(Main[[#This Row],[Class]]="A",WORKDAY(Main[[#This Row],[Tech Start Date]],9),""))))</f>
        <v/>
      </c>
      <c r="Q626" s="67"/>
      <c r="R626" s="67"/>
      <c r="S626" s="65" t="s">
        <v>11</v>
      </c>
      <c r="T626" s="70" t="s">
        <v>4</v>
      </c>
      <c r="U626" s="65" t="s">
        <v>12</v>
      </c>
      <c r="V626" s="65" t="s">
        <v>1917</v>
      </c>
      <c r="W626" s="65" t="s">
        <v>1925</v>
      </c>
      <c r="X626" s="65" t="s">
        <v>909</v>
      </c>
      <c r="Y626" s="65" t="s">
        <v>4</v>
      </c>
      <c r="Z626" s="65" t="s">
        <v>4</v>
      </c>
      <c r="AA626" s="65" t="s">
        <v>4</v>
      </c>
    </row>
    <row r="627" spans="1:27" ht="17.45" customHeight="1">
      <c r="A627" s="131" t="str">
        <f>IF(priority(Main[[#This Row],[Comments]])&lt;&gt;0, priority(Main[[#This Row],[Comments]]),"")</f>
        <v/>
      </c>
      <c r="B627" s="99" t="s">
        <v>1452</v>
      </c>
      <c r="C627" s="65" t="s">
        <v>284</v>
      </c>
      <c r="D627" s="66" t="s">
        <v>541</v>
      </c>
      <c r="E627" s="67"/>
      <c r="F627" s="67"/>
      <c r="G627" s="64" t="str">
        <f>IF(stdProdLT(Main[[#This Row],[Comments]])=0.1,"N/A",IF(stdProdLT(Main[[#This Row],[Comments]])=0,"",stdProdLT(Main[[#This Row],[Comments]])))</f>
        <v/>
      </c>
      <c r="H627" s="68" t="str">
        <f>IF(AND(Main[[#This Row],[In Stock Date]]&lt;&gt;"",Main[[#This Row],[Revised Due Date]]&lt;&gt;""),Main[[#This Row],[In Stock Date]]-Main[[#This Row],[Revised Due Date]],"")</f>
        <v/>
      </c>
      <c r="I627" s="65" t="s">
        <v>4</v>
      </c>
      <c r="J627" s="65" t="s">
        <v>4</v>
      </c>
      <c r="K627" s="65" t="s">
        <v>4</v>
      </c>
      <c r="L627" s="67"/>
      <c r="M627" s="69" t="str">
        <f>IF(Main[[#This Row],[Tech Start Date]]&lt;1/1/1990,"",IF(Main[[#This Row],[Class]]="C",WORKDAY(Main[[#This Row],[Tech Start Date]],9),IF(Main[[#This Row],[Class]]="B", WORKDAY(Main[[#This Row],[Tech Start Date]],6),IF(Main[[#This Row],[Class]]="A",WORKDAY(Main[[#This Row],[Tech Start Date]],2),""))))</f>
        <v/>
      </c>
      <c r="N627" s="69" t="str">
        <f>IF(Main[[#This Row],[Tech Start Date]]&lt;1/1/1990,"",IF(Main[[#This Row],[Class]]="C",WORKDAY(Main[[#This Row],[Tech Start Date]],19),IF(Main[[#This Row],[Class]]="B", WORKDAY(Main[[#This Row],[Tech Start Date]],12),IF(Main[[#This Row],[Class]]="A",WORKDAY(Main[[#This Row],[Tech Start Date]],4),""))))</f>
        <v/>
      </c>
      <c r="O627" s="69" t="str">
        <f>IF(Main[[#This Row],[Tech Start Date]]&lt;1/1/1990,"",IF(Main[[#This Row],[Class]]="C",WORKDAY(Main[[#This Row],[Tech Start Date]],23),IF(Main[[#This Row],[Class]]="B", WORKDAY(Main[[#This Row],[Tech Start Date]],15),IF(Main[[#This Row],[Class]]="A",WORKDAY(Main[[#This Row],[Tech Start Date]],5),""))))</f>
        <v/>
      </c>
      <c r="P627" s="69" t="str">
        <f>IF(Main[[#This Row],[Tech Start Date]]&lt;1/1/1990,"",IF(Main[[#This Row],[Class]]="C",WORKDAY(Main[[#This Row],[Tech Start Date]],28),IF(Main[[#This Row],[Class]]="B", WORKDAY(Main[[#This Row],[Tech Start Date]],19),IF(Main[[#This Row],[Class]]="A",WORKDAY(Main[[#This Row],[Tech Start Date]],9),""))))</f>
        <v/>
      </c>
      <c r="Q627" s="67">
        <v>40147</v>
      </c>
      <c r="R627" s="67"/>
      <c r="S627" s="65" t="s">
        <v>11</v>
      </c>
      <c r="T627" s="70" t="s">
        <v>4</v>
      </c>
      <c r="U627" s="65" t="s">
        <v>14</v>
      </c>
      <c r="V627" s="65" t="s">
        <v>1927</v>
      </c>
      <c r="W627" s="65" t="s">
        <v>1925</v>
      </c>
      <c r="X627" s="65" t="s">
        <v>2823</v>
      </c>
      <c r="Y627" s="65" t="s">
        <v>4</v>
      </c>
      <c r="Z627" s="65" t="s">
        <v>4</v>
      </c>
      <c r="AA627" s="65" t="s">
        <v>2823</v>
      </c>
    </row>
    <row r="628" spans="1:27" ht="17.45" customHeight="1">
      <c r="A628" s="131" t="str">
        <f>IF(priority(Main[[#This Row],[Comments]])&lt;&gt;0, priority(Main[[#This Row],[Comments]]),"")</f>
        <v/>
      </c>
      <c r="B628" s="99" t="s">
        <v>1453</v>
      </c>
      <c r="C628" s="65" t="s">
        <v>31</v>
      </c>
      <c r="D628" s="66" t="s">
        <v>542</v>
      </c>
      <c r="E628" s="67"/>
      <c r="F628" s="67">
        <v>40512</v>
      </c>
      <c r="G628" s="64" t="str">
        <f>IF(stdProdLT(Main[[#This Row],[Comments]])=0.1,"N/A",IF(stdProdLT(Main[[#This Row],[Comments]])=0,"",stdProdLT(Main[[#This Row],[Comments]])))</f>
        <v/>
      </c>
      <c r="H628" s="68" t="str">
        <f>IF(AND(Main[[#This Row],[In Stock Date]]&lt;&gt;"",Main[[#This Row],[Revised Due Date]]&lt;&gt;""),Main[[#This Row],[In Stock Date]]-Main[[#This Row],[Revised Due Date]],"")</f>
        <v/>
      </c>
      <c r="I628" s="65" t="s">
        <v>4</v>
      </c>
      <c r="J628" s="65" t="s">
        <v>4</v>
      </c>
      <c r="K628" s="65" t="s">
        <v>4</v>
      </c>
      <c r="L628" s="67"/>
      <c r="M628" s="69" t="str">
        <f>IF(Main[[#This Row],[Tech Start Date]]&lt;1/1/1990,"",IF(Main[[#This Row],[Class]]="C",WORKDAY(Main[[#This Row],[Tech Start Date]],9),IF(Main[[#This Row],[Class]]="B", WORKDAY(Main[[#This Row],[Tech Start Date]],6),IF(Main[[#This Row],[Class]]="A",WORKDAY(Main[[#This Row],[Tech Start Date]],2),""))))</f>
        <v/>
      </c>
      <c r="N628" s="69" t="str">
        <f>IF(Main[[#This Row],[Tech Start Date]]&lt;1/1/1990,"",IF(Main[[#This Row],[Class]]="C",WORKDAY(Main[[#This Row],[Tech Start Date]],19),IF(Main[[#This Row],[Class]]="B", WORKDAY(Main[[#This Row],[Tech Start Date]],12),IF(Main[[#This Row],[Class]]="A",WORKDAY(Main[[#This Row],[Tech Start Date]],4),""))))</f>
        <v/>
      </c>
      <c r="O628" s="69" t="str">
        <f>IF(Main[[#This Row],[Tech Start Date]]&lt;1/1/1990,"",IF(Main[[#This Row],[Class]]="C",WORKDAY(Main[[#This Row],[Tech Start Date]],23),IF(Main[[#This Row],[Class]]="B", WORKDAY(Main[[#This Row],[Tech Start Date]],15),IF(Main[[#This Row],[Class]]="A",WORKDAY(Main[[#This Row],[Tech Start Date]],5),""))))</f>
        <v/>
      </c>
      <c r="P628" s="69" t="str">
        <f>IF(Main[[#This Row],[Tech Start Date]]&lt;1/1/1990,"",IF(Main[[#This Row],[Class]]="C",WORKDAY(Main[[#This Row],[Tech Start Date]],28),IF(Main[[#This Row],[Class]]="B", WORKDAY(Main[[#This Row],[Tech Start Date]],19),IF(Main[[#This Row],[Class]]="A",WORKDAY(Main[[#This Row],[Tech Start Date]],9),""))))</f>
        <v/>
      </c>
      <c r="Q628" s="67">
        <v>40415</v>
      </c>
      <c r="R628" s="67"/>
      <c r="S628" s="65" t="s">
        <v>11</v>
      </c>
      <c r="T628" s="70" t="s">
        <v>4</v>
      </c>
      <c r="U628" s="65" t="s">
        <v>14</v>
      </c>
      <c r="V628" s="65" t="s">
        <v>1920</v>
      </c>
      <c r="W628" s="65" t="s">
        <v>1923</v>
      </c>
      <c r="X628" s="65" t="s">
        <v>2836</v>
      </c>
      <c r="Y628" s="65" t="s">
        <v>2959</v>
      </c>
      <c r="Z628" s="65" t="s">
        <v>4</v>
      </c>
      <c r="AA628" s="65" t="s">
        <v>2836</v>
      </c>
    </row>
    <row r="629" spans="1:27" ht="17.45" customHeight="1">
      <c r="A629" s="131" t="str">
        <f>IF(priority(Main[[#This Row],[Comments]])&lt;&gt;0, priority(Main[[#This Row],[Comments]]),"")</f>
        <v/>
      </c>
      <c r="B629" s="99" t="s">
        <v>1454</v>
      </c>
      <c r="C629" s="65" t="s">
        <v>543</v>
      </c>
      <c r="D629" s="66" t="s">
        <v>544</v>
      </c>
      <c r="E629" s="67"/>
      <c r="F629" s="67">
        <v>40179</v>
      </c>
      <c r="G629" s="64" t="str">
        <f>IF(stdProdLT(Main[[#This Row],[Comments]])=0.1,"N/A",IF(stdProdLT(Main[[#This Row],[Comments]])=0,"",stdProdLT(Main[[#This Row],[Comments]])))</f>
        <v/>
      </c>
      <c r="H629" s="68" t="str">
        <f>IF(AND(Main[[#This Row],[In Stock Date]]&lt;&gt;"",Main[[#This Row],[Revised Due Date]]&lt;&gt;""),Main[[#This Row],[In Stock Date]]-Main[[#This Row],[Revised Due Date]],"")</f>
        <v/>
      </c>
      <c r="I629" s="65" t="s">
        <v>4</v>
      </c>
      <c r="J629" s="65" t="s">
        <v>4</v>
      </c>
      <c r="K629" s="65" t="s">
        <v>4</v>
      </c>
      <c r="L629" s="67"/>
      <c r="M629" s="69" t="str">
        <f>IF(Main[[#This Row],[Tech Start Date]]&lt;1/1/1990,"",IF(Main[[#This Row],[Class]]="C",WORKDAY(Main[[#This Row],[Tech Start Date]],9),IF(Main[[#This Row],[Class]]="B", WORKDAY(Main[[#This Row],[Tech Start Date]],6),IF(Main[[#This Row],[Class]]="A",WORKDAY(Main[[#This Row],[Tech Start Date]],2),""))))</f>
        <v/>
      </c>
      <c r="N629" s="69" t="str">
        <f>IF(Main[[#This Row],[Tech Start Date]]&lt;1/1/1990,"",IF(Main[[#This Row],[Class]]="C",WORKDAY(Main[[#This Row],[Tech Start Date]],19),IF(Main[[#This Row],[Class]]="B", WORKDAY(Main[[#This Row],[Tech Start Date]],12),IF(Main[[#This Row],[Class]]="A",WORKDAY(Main[[#This Row],[Tech Start Date]],4),""))))</f>
        <v/>
      </c>
      <c r="O629" s="69" t="str">
        <f>IF(Main[[#This Row],[Tech Start Date]]&lt;1/1/1990,"",IF(Main[[#This Row],[Class]]="C",WORKDAY(Main[[#This Row],[Tech Start Date]],23),IF(Main[[#This Row],[Class]]="B", WORKDAY(Main[[#This Row],[Tech Start Date]],15),IF(Main[[#This Row],[Class]]="A",WORKDAY(Main[[#This Row],[Tech Start Date]],5),""))))</f>
        <v/>
      </c>
      <c r="P629" s="69" t="str">
        <f>IF(Main[[#This Row],[Tech Start Date]]&lt;1/1/1990,"",IF(Main[[#This Row],[Class]]="C",WORKDAY(Main[[#This Row],[Tech Start Date]],28),IF(Main[[#This Row],[Class]]="B", WORKDAY(Main[[#This Row],[Tech Start Date]],19),IF(Main[[#This Row],[Class]]="A",WORKDAY(Main[[#This Row],[Tech Start Date]],9),""))))</f>
        <v/>
      </c>
      <c r="Q629" s="67">
        <v>40179</v>
      </c>
      <c r="R629" s="67"/>
      <c r="S629" s="65" t="s">
        <v>11</v>
      </c>
      <c r="T629" s="70" t="s">
        <v>4</v>
      </c>
      <c r="U629" s="65" t="s">
        <v>14</v>
      </c>
      <c r="V629" s="65" t="s">
        <v>1917</v>
      </c>
      <c r="W629" s="65" t="s">
        <v>1925</v>
      </c>
      <c r="X629" s="65" t="s">
        <v>2856</v>
      </c>
      <c r="Y629" s="65" t="s">
        <v>4</v>
      </c>
      <c r="Z629" s="65" t="s">
        <v>4</v>
      </c>
      <c r="AA629" s="65" t="s">
        <v>2856</v>
      </c>
    </row>
    <row r="630" spans="1:27" ht="17.45" customHeight="1">
      <c r="A630" s="131" t="str">
        <f>IF(priority(Main[[#This Row],[Comments]])&lt;&gt;0, priority(Main[[#This Row],[Comments]]),"")</f>
        <v/>
      </c>
      <c r="B630" s="99" t="s">
        <v>1455</v>
      </c>
      <c r="C630" s="65" t="s">
        <v>4</v>
      </c>
      <c r="D630" s="66" t="s">
        <v>545</v>
      </c>
      <c r="E630" s="67">
        <v>40675.613807870373</v>
      </c>
      <c r="F630" s="67"/>
      <c r="G630" s="64" t="str">
        <f>IF(stdProdLT(Main[[#This Row],[Comments]])=0.1,"N/A",IF(stdProdLT(Main[[#This Row],[Comments]])=0,"",stdProdLT(Main[[#This Row],[Comments]])))</f>
        <v/>
      </c>
      <c r="H630" s="68" t="str">
        <f>IF(AND(Main[[#This Row],[In Stock Date]]&lt;&gt;"",Main[[#This Row],[Revised Due Date]]&lt;&gt;""),Main[[#This Row],[In Stock Date]]-Main[[#This Row],[Revised Due Date]],"")</f>
        <v/>
      </c>
      <c r="I630" s="65" t="s">
        <v>4</v>
      </c>
      <c r="J630" s="65" t="s">
        <v>4</v>
      </c>
      <c r="K630" s="65" t="s">
        <v>4</v>
      </c>
      <c r="L630" s="67"/>
      <c r="M630" s="69" t="str">
        <f>IF(Main[[#This Row],[Tech Start Date]]&lt;1/1/1990,"",IF(Main[[#This Row],[Class]]="C",WORKDAY(Main[[#This Row],[Tech Start Date]],9),IF(Main[[#This Row],[Class]]="B", WORKDAY(Main[[#This Row],[Tech Start Date]],6),IF(Main[[#This Row],[Class]]="A",WORKDAY(Main[[#This Row],[Tech Start Date]],2),""))))</f>
        <v/>
      </c>
      <c r="N630" s="69" t="str">
        <f>IF(Main[[#This Row],[Tech Start Date]]&lt;1/1/1990,"",IF(Main[[#This Row],[Class]]="C",WORKDAY(Main[[#This Row],[Tech Start Date]],19),IF(Main[[#This Row],[Class]]="B", WORKDAY(Main[[#This Row],[Tech Start Date]],12),IF(Main[[#This Row],[Class]]="A",WORKDAY(Main[[#This Row],[Tech Start Date]],4),""))))</f>
        <v/>
      </c>
      <c r="O630" s="69" t="str">
        <f>IF(Main[[#This Row],[Tech Start Date]]&lt;1/1/1990,"",IF(Main[[#This Row],[Class]]="C",WORKDAY(Main[[#This Row],[Tech Start Date]],23),IF(Main[[#This Row],[Class]]="B", WORKDAY(Main[[#This Row],[Tech Start Date]],15),IF(Main[[#This Row],[Class]]="A",WORKDAY(Main[[#This Row],[Tech Start Date]],5),""))))</f>
        <v/>
      </c>
      <c r="P630" s="69" t="str">
        <f>IF(Main[[#This Row],[Tech Start Date]]&lt;1/1/1990,"",IF(Main[[#This Row],[Class]]="C",WORKDAY(Main[[#This Row],[Tech Start Date]],28),IF(Main[[#This Row],[Class]]="B", WORKDAY(Main[[#This Row],[Tech Start Date]],19),IF(Main[[#This Row],[Class]]="A",WORKDAY(Main[[#This Row],[Tech Start Date]],9),""))))</f>
        <v/>
      </c>
      <c r="Q630" s="67">
        <v>40676</v>
      </c>
      <c r="R630" s="67"/>
      <c r="S630" s="65" t="s">
        <v>6</v>
      </c>
      <c r="T630" s="70" t="s">
        <v>4</v>
      </c>
      <c r="U630" s="65" t="s">
        <v>7</v>
      </c>
      <c r="V630" s="65" t="s">
        <v>1917</v>
      </c>
      <c r="W630" s="65" t="s">
        <v>1921</v>
      </c>
      <c r="X630" s="65" t="s">
        <v>126</v>
      </c>
      <c r="Y630" s="65" t="s">
        <v>3039</v>
      </c>
      <c r="Z630" s="65" t="s">
        <v>4</v>
      </c>
      <c r="AA630" s="65" t="s">
        <v>126</v>
      </c>
    </row>
    <row r="631" spans="1:27" ht="17.45" customHeight="1">
      <c r="A631" s="131" t="str">
        <f>IF(priority(Main[[#This Row],[Comments]])&lt;&gt;0, priority(Main[[#This Row],[Comments]]),"")</f>
        <v/>
      </c>
      <c r="B631" s="99" t="s">
        <v>1456</v>
      </c>
      <c r="C631" s="65" t="s">
        <v>4</v>
      </c>
      <c r="D631" s="66" t="s">
        <v>546</v>
      </c>
      <c r="E631" s="67">
        <v>40519.5781712963</v>
      </c>
      <c r="F631" s="67"/>
      <c r="G631" s="64" t="str">
        <f>IF(stdProdLT(Main[[#This Row],[Comments]])=0.1,"N/A",IF(stdProdLT(Main[[#This Row],[Comments]])=0,"",stdProdLT(Main[[#This Row],[Comments]])))</f>
        <v/>
      </c>
      <c r="H631" s="68" t="str">
        <f>IF(AND(Main[[#This Row],[In Stock Date]]&lt;&gt;"",Main[[#This Row],[Revised Due Date]]&lt;&gt;""),Main[[#This Row],[In Stock Date]]-Main[[#This Row],[Revised Due Date]],"")</f>
        <v/>
      </c>
      <c r="I631" s="65" t="s">
        <v>4</v>
      </c>
      <c r="J631" s="65" t="s">
        <v>28</v>
      </c>
      <c r="K631" s="65" t="s">
        <v>4</v>
      </c>
      <c r="L631" s="67"/>
      <c r="M631" s="69" t="str">
        <f>IF(Main[[#This Row],[Tech Start Date]]&lt;1/1/1990,"",IF(Main[[#This Row],[Class]]="C",WORKDAY(Main[[#This Row],[Tech Start Date]],9),IF(Main[[#This Row],[Class]]="B", WORKDAY(Main[[#This Row],[Tech Start Date]],6),IF(Main[[#This Row],[Class]]="A",WORKDAY(Main[[#This Row],[Tech Start Date]],2),""))))</f>
        <v/>
      </c>
      <c r="N631" s="69" t="str">
        <f>IF(Main[[#This Row],[Tech Start Date]]&lt;1/1/1990,"",IF(Main[[#This Row],[Class]]="C",WORKDAY(Main[[#This Row],[Tech Start Date]],19),IF(Main[[#This Row],[Class]]="B", WORKDAY(Main[[#This Row],[Tech Start Date]],12),IF(Main[[#This Row],[Class]]="A",WORKDAY(Main[[#This Row],[Tech Start Date]],4),""))))</f>
        <v/>
      </c>
      <c r="O631" s="69" t="str">
        <f>IF(Main[[#This Row],[Tech Start Date]]&lt;1/1/1990,"",IF(Main[[#This Row],[Class]]="C",WORKDAY(Main[[#This Row],[Tech Start Date]],23),IF(Main[[#This Row],[Class]]="B", WORKDAY(Main[[#This Row],[Tech Start Date]],15),IF(Main[[#This Row],[Class]]="A",WORKDAY(Main[[#This Row],[Tech Start Date]],5),""))))</f>
        <v/>
      </c>
      <c r="P631" s="69" t="str">
        <f>IF(Main[[#This Row],[Tech Start Date]]&lt;1/1/1990,"",IF(Main[[#This Row],[Class]]="C",WORKDAY(Main[[#This Row],[Tech Start Date]],28),IF(Main[[#This Row],[Class]]="B", WORKDAY(Main[[#This Row],[Tech Start Date]],19),IF(Main[[#This Row],[Class]]="A",WORKDAY(Main[[#This Row],[Tech Start Date]],9),""))))</f>
        <v/>
      </c>
      <c r="Q631" s="67"/>
      <c r="R631" s="67"/>
      <c r="S631" s="65" t="s">
        <v>6</v>
      </c>
      <c r="T631" s="70" t="s">
        <v>4</v>
      </c>
      <c r="U631" s="65" t="s">
        <v>7</v>
      </c>
      <c r="V631" s="65" t="s">
        <v>1917</v>
      </c>
      <c r="W631" s="65" t="s">
        <v>1919</v>
      </c>
      <c r="X631" s="65" t="s">
        <v>2825</v>
      </c>
      <c r="Y631" s="65" t="s">
        <v>2938</v>
      </c>
      <c r="Z631" s="65" t="s">
        <v>129</v>
      </c>
      <c r="AA631" s="65" t="s">
        <v>2825</v>
      </c>
    </row>
    <row r="632" spans="1:27" ht="17.45" customHeight="1">
      <c r="A632" s="131" t="str">
        <f>IF(priority(Main[[#This Row],[Comments]])&lt;&gt;0, priority(Main[[#This Row],[Comments]]),"")</f>
        <v/>
      </c>
      <c r="B632" s="99" t="s">
        <v>1457</v>
      </c>
      <c r="C632" s="65" t="s">
        <v>547</v>
      </c>
      <c r="D632" s="66" t="s">
        <v>548</v>
      </c>
      <c r="E632" s="67"/>
      <c r="F632" s="67">
        <v>40549</v>
      </c>
      <c r="G632" s="64" t="str">
        <f>IF(stdProdLT(Main[[#This Row],[Comments]])=0.1,"N/A",IF(stdProdLT(Main[[#This Row],[Comments]])=0,"",stdProdLT(Main[[#This Row],[Comments]])))</f>
        <v/>
      </c>
      <c r="H632" s="68" t="str">
        <f>IF(AND(Main[[#This Row],[In Stock Date]]&lt;&gt;"",Main[[#This Row],[Revised Due Date]]&lt;&gt;""),Main[[#This Row],[In Stock Date]]-Main[[#This Row],[Revised Due Date]],"")</f>
        <v/>
      </c>
      <c r="I632" s="65" t="s">
        <v>4</v>
      </c>
      <c r="J632" s="65" t="s">
        <v>4</v>
      </c>
      <c r="K632" s="65" t="s">
        <v>4</v>
      </c>
      <c r="L632" s="67"/>
      <c r="M632" s="69" t="str">
        <f>IF(Main[[#This Row],[Tech Start Date]]&lt;1/1/1990,"",IF(Main[[#This Row],[Class]]="C",WORKDAY(Main[[#This Row],[Tech Start Date]],9),IF(Main[[#This Row],[Class]]="B", WORKDAY(Main[[#This Row],[Tech Start Date]],6),IF(Main[[#This Row],[Class]]="A",WORKDAY(Main[[#This Row],[Tech Start Date]],2),""))))</f>
        <v/>
      </c>
      <c r="N632" s="69" t="str">
        <f>IF(Main[[#This Row],[Tech Start Date]]&lt;1/1/1990,"",IF(Main[[#This Row],[Class]]="C",WORKDAY(Main[[#This Row],[Tech Start Date]],19),IF(Main[[#This Row],[Class]]="B", WORKDAY(Main[[#This Row],[Tech Start Date]],12),IF(Main[[#This Row],[Class]]="A",WORKDAY(Main[[#This Row],[Tech Start Date]],4),""))))</f>
        <v/>
      </c>
      <c r="O632" s="69" t="str">
        <f>IF(Main[[#This Row],[Tech Start Date]]&lt;1/1/1990,"",IF(Main[[#This Row],[Class]]="C",WORKDAY(Main[[#This Row],[Tech Start Date]],23),IF(Main[[#This Row],[Class]]="B", WORKDAY(Main[[#This Row],[Tech Start Date]],15),IF(Main[[#This Row],[Class]]="A",WORKDAY(Main[[#This Row],[Tech Start Date]],5),""))))</f>
        <v/>
      </c>
      <c r="P632" s="69" t="str">
        <f>IF(Main[[#This Row],[Tech Start Date]]&lt;1/1/1990,"",IF(Main[[#This Row],[Class]]="C",WORKDAY(Main[[#This Row],[Tech Start Date]],28),IF(Main[[#This Row],[Class]]="B", WORKDAY(Main[[#This Row],[Tech Start Date]],19),IF(Main[[#This Row],[Class]]="A",WORKDAY(Main[[#This Row],[Tech Start Date]],9),""))))</f>
        <v/>
      </c>
      <c r="Q632" s="67">
        <v>40464</v>
      </c>
      <c r="R632" s="67"/>
      <c r="S632" s="65" t="s">
        <v>11</v>
      </c>
      <c r="T632" s="70" t="s">
        <v>4</v>
      </c>
      <c r="U632" s="65" t="s">
        <v>14</v>
      </c>
      <c r="V632" s="65" t="s">
        <v>1920</v>
      </c>
      <c r="W632" s="65" t="s">
        <v>1923</v>
      </c>
      <c r="X632" s="65" t="s">
        <v>2836</v>
      </c>
      <c r="Y632" s="65" t="s">
        <v>2959</v>
      </c>
      <c r="Z632" s="65" t="s">
        <v>4</v>
      </c>
      <c r="AA632" s="65" t="s">
        <v>2836</v>
      </c>
    </row>
    <row r="633" spans="1:27" ht="17.45" customHeight="1">
      <c r="A633" s="131" t="str">
        <f>IF(priority(Main[[#This Row],[Comments]])&lt;&gt;0, priority(Main[[#This Row],[Comments]]),"")</f>
        <v/>
      </c>
      <c r="B633" s="99" t="s">
        <v>1469</v>
      </c>
      <c r="C633" s="65" t="s">
        <v>72</v>
      </c>
      <c r="D633" s="66" t="s">
        <v>549</v>
      </c>
      <c r="E633" s="67"/>
      <c r="F633" s="67">
        <v>40030</v>
      </c>
      <c r="G633" s="64" t="str">
        <f>IF(stdProdLT(Main[[#This Row],[Comments]])=0.1,"N/A",IF(stdProdLT(Main[[#This Row],[Comments]])=0,"",stdProdLT(Main[[#This Row],[Comments]])))</f>
        <v/>
      </c>
      <c r="H633" s="68" t="str">
        <f>IF(AND(Main[[#This Row],[In Stock Date]]&lt;&gt;"",Main[[#This Row],[Revised Due Date]]&lt;&gt;""),Main[[#This Row],[In Stock Date]]-Main[[#This Row],[Revised Due Date]],"")</f>
        <v/>
      </c>
      <c r="I633" s="65" t="s">
        <v>4</v>
      </c>
      <c r="J633" s="65" t="s">
        <v>4</v>
      </c>
      <c r="K633" s="65" t="s">
        <v>4</v>
      </c>
      <c r="L633" s="67"/>
      <c r="M633" s="69" t="str">
        <f>IF(Main[[#This Row],[Tech Start Date]]&lt;1/1/1990,"",IF(Main[[#This Row],[Class]]="C",WORKDAY(Main[[#This Row],[Tech Start Date]],9),IF(Main[[#This Row],[Class]]="B", WORKDAY(Main[[#This Row],[Tech Start Date]],6),IF(Main[[#This Row],[Class]]="A",WORKDAY(Main[[#This Row],[Tech Start Date]],2),""))))</f>
        <v/>
      </c>
      <c r="N633" s="69" t="str">
        <f>IF(Main[[#This Row],[Tech Start Date]]&lt;1/1/1990,"",IF(Main[[#This Row],[Class]]="C",WORKDAY(Main[[#This Row],[Tech Start Date]],19),IF(Main[[#This Row],[Class]]="B", WORKDAY(Main[[#This Row],[Tech Start Date]],12),IF(Main[[#This Row],[Class]]="A",WORKDAY(Main[[#This Row],[Tech Start Date]],4),""))))</f>
        <v/>
      </c>
      <c r="O633" s="69" t="str">
        <f>IF(Main[[#This Row],[Tech Start Date]]&lt;1/1/1990,"",IF(Main[[#This Row],[Class]]="C",WORKDAY(Main[[#This Row],[Tech Start Date]],23),IF(Main[[#This Row],[Class]]="B", WORKDAY(Main[[#This Row],[Tech Start Date]],15),IF(Main[[#This Row],[Class]]="A",WORKDAY(Main[[#This Row],[Tech Start Date]],5),""))))</f>
        <v/>
      </c>
      <c r="P633" s="69" t="str">
        <f>IF(Main[[#This Row],[Tech Start Date]]&lt;1/1/1990,"",IF(Main[[#This Row],[Class]]="C",WORKDAY(Main[[#This Row],[Tech Start Date]],28),IF(Main[[#This Row],[Class]]="B", WORKDAY(Main[[#This Row],[Tech Start Date]],19),IF(Main[[#This Row],[Class]]="A",WORKDAY(Main[[#This Row],[Tech Start Date]],9),""))))</f>
        <v/>
      </c>
      <c r="Q633" s="67">
        <v>39959</v>
      </c>
      <c r="R633" s="67"/>
      <c r="S633" s="65" t="s">
        <v>11</v>
      </c>
      <c r="T633" s="70" t="s">
        <v>4</v>
      </c>
      <c r="U633" s="65" t="s">
        <v>14</v>
      </c>
      <c r="V633" s="65" t="s">
        <v>1927</v>
      </c>
      <c r="W633" s="65" t="s">
        <v>4</v>
      </c>
      <c r="X633" s="65" t="s">
        <v>2830</v>
      </c>
      <c r="Y633" s="65" t="s">
        <v>2949</v>
      </c>
      <c r="Z633" s="65" t="s">
        <v>4</v>
      </c>
      <c r="AA633" s="65" t="s">
        <v>2830</v>
      </c>
    </row>
    <row r="634" spans="1:27" ht="17.45" customHeight="1">
      <c r="A634" s="131" t="str">
        <f>IF(priority(Main[[#This Row],[Comments]])&lt;&gt;0, priority(Main[[#This Row],[Comments]]),"")</f>
        <v/>
      </c>
      <c r="B634" s="99" t="s">
        <v>1471</v>
      </c>
      <c r="C634" s="65" t="s">
        <v>4</v>
      </c>
      <c r="D634" s="66" t="s">
        <v>550</v>
      </c>
      <c r="E634" s="67"/>
      <c r="F634" s="67"/>
      <c r="G634" s="64" t="str">
        <f>IF(stdProdLT(Main[[#This Row],[Comments]])=0.1,"N/A",IF(stdProdLT(Main[[#This Row],[Comments]])=0,"",stdProdLT(Main[[#This Row],[Comments]])))</f>
        <v/>
      </c>
      <c r="H634" s="68" t="str">
        <f>IF(AND(Main[[#This Row],[In Stock Date]]&lt;&gt;"",Main[[#This Row],[Revised Due Date]]&lt;&gt;""),Main[[#This Row],[In Stock Date]]-Main[[#This Row],[Revised Due Date]],"")</f>
        <v/>
      </c>
      <c r="I634" s="65" t="s">
        <v>4</v>
      </c>
      <c r="J634" s="65" t="s">
        <v>4</v>
      </c>
      <c r="K634" s="65" t="s">
        <v>4</v>
      </c>
      <c r="L634" s="67"/>
      <c r="M634" s="69" t="str">
        <f>IF(Main[[#This Row],[Tech Start Date]]&lt;1/1/1990,"",IF(Main[[#This Row],[Class]]="C",WORKDAY(Main[[#This Row],[Tech Start Date]],9),IF(Main[[#This Row],[Class]]="B", WORKDAY(Main[[#This Row],[Tech Start Date]],6),IF(Main[[#This Row],[Class]]="A",WORKDAY(Main[[#This Row],[Tech Start Date]],2),""))))</f>
        <v/>
      </c>
      <c r="N634" s="69" t="str">
        <f>IF(Main[[#This Row],[Tech Start Date]]&lt;1/1/1990,"",IF(Main[[#This Row],[Class]]="C",WORKDAY(Main[[#This Row],[Tech Start Date]],19),IF(Main[[#This Row],[Class]]="B", WORKDAY(Main[[#This Row],[Tech Start Date]],12),IF(Main[[#This Row],[Class]]="A",WORKDAY(Main[[#This Row],[Tech Start Date]],4),""))))</f>
        <v/>
      </c>
      <c r="O634" s="69" t="str">
        <f>IF(Main[[#This Row],[Tech Start Date]]&lt;1/1/1990,"",IF(Main[[#This Row],[Class]]="C",WORKDAY(Main[[#This Row],[Tech Start Date]],23),IF(Main[[#This Row],[Class]]="B", WORKDAY(Main[[#This Row],[Tech Start Date]],15),IF(Main[[#This Row],[Class]]="A",WORKDAY(Main[[#This Row],[Tech Start Date]],5),""))))</f>
        <v/>
      </c>
      <c r="P634" s="69" t="str">
        <f>IF(Main[[#This Row],[Tech Start Date]]&lt;1/1/1990,"",IF(Main[[#This Row],[Class]]="C",WORKDAY(Main[[#This Row],[Tech Start Date]],28),IF(Main[[#This Row],[Class]]="B", WORKDAY(Main[[#This Row],[Tech Start Date]],19),IF(Main[[#This Row],[Class]]="A",WORKDAY(Main[[#This Row],[Tech Start Date]],9),""))))</f>
        <v/>
      </c>
      <c r="Q634" s="67"/>
      <c r="R634" s="67"/>
      <c r="S634" s="65" t="s">
        <v>6</v>
      </c>
      <c r="T634" s="70" t="s">
        <v>4</v>
      </c>
      <c r="U634" s="65" t="s">
        <v>14</v>
      </c>
      <c r="V634" s="65" t="s">
        <v>1920</v>
      </c>
      <c r="W634" s="65" t="s">
        <v>4</v>
      </c>
      <c r="X634" s="65" t="s">
        <v>2893</v>
      </c>
      <c r="Y634" s="65" t="s">
        <v>3049</v>
      </c>
      <c r="Z634" s="65" t="s">
        <v>4</v>
      </c>
      <c r="AA634" s="65" t="s">
        <v>2893</v>
      </c>
    </row>
    <row r="635" spans="1:27" ht="17.45" customHeight="1">
      <c r="A635" s="131" t="str">
        <f>IF(priority(Main[[#This Row],[Comments]])&lt;&gt;0, priority(Main[[#This Row],[Comments]]),"")</f>
        <v/>
      </c>
      <c r="B635" s="99" t="s">
        <v>1472</v>
      </c>
      <c r="C635" s="65" t="s">
        <v>33</v>
      </c>
      <c r="D635" s="66" t="s">
        <v>551</v>
      </c>
      <c r="E635" s="67"/>
      <c r="F635" s="67"/>
      <c r="G635" s="64" t="str">
        <f>IF(stdProdLT(Main[[#This Row],[Comments]])=0.1,"N/A",IF(stdProdLT(Main[[#This Row],[Comments]])=0,"",stdProdLT(Main[[#This Row],[Comments]])))</f>
        <v/>
      </c>
      <c r="H635" s="68" t="str">
        <f>IF(AND(Main[[#This Row],[In Stock Date]]&lt;&gt;"",Main[[#This Row],[Revised Due Date]]&lt;&gt;""),Main[[#This Row],[In Stock Date]]-Main[[#This Row],[Revised Due Date]],"")</f>
        <v/>
      </c>
      <c r="I635" s="65" t="s">
        <v>4</v>
      </c>
      <c r="J635" s="65" t="s">
        <v>4</v>
      </c>
      <c r="K635" s="65" t="s">
        <v>4</v>
      </c>
      <c r="L635" s="67"/>
      <c r="M635" s="69" t="str">
        <f>IF(Main[[#This Row],[Tech Start Date]]&lt;1/1/1990,"",IF(Main[[#This Row],[Class]]="C",WORKDAY(Main[[#This Row],[Tech Start Date]],9),IF(Main[[#This Row],[Class]]="B", WORKDAY(Main[[#This Row],[Tech Start Date]],6),IF(Main[[#This Row],[Class]]="A",WORKDAY(Main[[#This Row],[Tech Start Date]],2),""))))</f>
        <v/>
      </c>
      <c r="N635" s="69" t="str">
        <f>IF(Main[[#This Row],[Tech Start Date]]&lt;1/1/1990,"",IF(Main[[#This Row],[Class]]="C",WORKDAY(Main[[#This Row],[Tech Start Date]],19),IF(Main[[#This Row],[Class]]="B", WORKDAY(Main[[#This Row],[Tech Start Date]],12),IF(Main[[#This Row],[Class]]="A",WORKDAY(Main[[#This Row],[Tech Start Date]],4),""))))</f>
        <v/>
      </c>
      <c r="O635" s="69" t="str">
        <f>IF(Main[[#This Row],[Tech Start Date]]&lt;1/1/1990,"",IF(Main[[#This Row],[Class]]="C",WORKDAY(Main[[#This Row],[Tech Start Date]],23),IF(Main[[#This Row],[Class]]="B", WORKDAY(Main[[#This Row],[Tech Start Date]],15),IF(Main[[#This Row],[Class]]="A",WORKDAY(Main[[#This Row],[Tech Start Date]],5),""))))</f>
        <v/>
      </c>
      <c r="P635" s="69" t="str">
        <f>IF(Main[[#This Row],[Tech Start Date]]&lt;1/1/1990,"",IF(Main[[#This Row],[Class]]="C",WORKDAY(Main[[#This Row],[Tech Start Date]],28),IF(Main[[#This Row],[Class]]="B", WORKDAY(Main[[#This Row],[Tech Start Date]],19),IF(Main[[#This Row],[Class]]="A",WORKDAY(Main[[#This Row],[Tech Start Date]],9),""))))</f>
        <v/>
      </c>
      <c r="Q635" s="67">
        <v>40004</v>
      </c>
      <c r="R635" s="67"/>
      <c r="S635" s="65" t="s">
        <v>11</v>
      </c>
      <c r="T635" s="70" t="s">
        <v>4</v>
      </c>
      <c r="U635" s="65" t="s">
        <v>14</v>
      </c>
      <c r="V635" s="65" t="s">
        <v>1917</v>
      </c>
      <c r="W635" s="65" t="s">
        <v>1925</v>
      </c>
      <c r="X635" s="65" t="s">
        <v>2859</v>
      </c>
      <c r="Y635" s="65" t="s">
        <v>2997</v>
      </c>
      <c r="Z635" s="65" t="s">
        <v>4</v>
      </c>
      <c r="AA635" s="65" t="s">
        <v>2859</v>
      </c>
    </row>
    <row r="636" spans="1:27" ht="17.45" customHeight="1">
      <c r="A636" s="131" t="str">
        <f>IF(priority(Main[[#This Row],[Comments]])&lt;&gt;0, priority(Main[[#This Row],[Comments]]),"")</f>
        <v/>
      </c>
      <c r="B636" s="99" t="s">
        <v>1473</v>
      </c>
      <c r="C636" s="65" t="s">
        <v>552</v>
      </c>
      <c r="D636" s="66" t="s">
        <v>553</v>
      </c>
      <c r="E636" s="67"/>
      <c r="F636" s="67"/>
      <c r="G636" s="64" t="str">
        <f>IF(stdProdLT(Main[[#This Row],[Comments]])=0.1,"N/A",IF(stdProdLT(Main[[#This Row],[Comments]])=0,"",stdProdLT(Main[[#This Row],[Comments]])))</f>
        <v/>
      </c>
      <c r="H636" s="68" t="str">
        <f>IF(AND(Main[[#This Row],[In Stock Date]]&lt;&gt;"",Main[[#This Row],[Revised Due Date]]&lt;&gt;""),Main[[#This Row],[In Stock Date]]-Main[[#This Row],[Revised Due Date]],"")</f>
        <v/>
      </c>
      <c r="I636" s="65" t="s">
        <v>554</v>
      </c>
      <c r="J636" s="65" t="s">
        <v>28</v>
      </c>
      <c r="K636" s="65" t="s">
        <v>4</v>
      </c>
      <c r="L636" s="67"/>
      <c r="M636" s="69" t="str">
        <f>IF(Main[[#This Row],[Tech Start Date]]&lt;1/1/1990,"",IF(Main[[#This Row],[Class]]="C",WORKDAY(Main[[#This Row],[Tech Start Date]],9),IF(Main[[#This Row],[Class]]="B", WORKDAY(Main[[#This Row],[Tech Start Date]],6),IF(Main[[#This Row],[Class]]="A",WORKDAY(Main[[#This Row],[Tech Start Date]],2),""))))</f>
        <v/>
      </c>
      <c r="N636" s="69" t="str">
        <f>IF(Main[[#This Row],[Tech Start Date]]&lt;1/1/1990,"",IF(Main[[#This Row],[Class]]="C",WORKDAY(Main[[#This Row],[Tech Start Date]],19),IF(Main[[#This Row],[Class]]="B", WORKDAY(Main[[#This Row],[Tech Start Date]],12),IF(Main[[#This Row],[Class]]="A",WORKDAY(Main[[#This Row],[Tech Start Date]],4),""))))</f>
        <v/>
      </c>
      <c r="O636" s="69" t="str">
        <f>IF(Main[[#This Row],[Tech Start Date]]&lt;1/1/1990,"",IF(Main[[#This Row],[Class]]="C",WORKDAY(Main[[#This Row],[Tech Start Date]],23),IF(Main[[#This Row],[Class]]="B", WORKDAY(Main[[#This Row],[Tech Start Date]],15),IF(Main[[#This Row],[Class]]="A",WORKDAY(Main[[#This Row],[Tech Start Date]],5),""))))</f>
        <v/>
      </c>
      <c r="P636" s="69" t="str">
        <f>IF(Main[[#This Row],[Tech Start Date]]&lt;1/1/1990,"",IF(Main[[#This Row],[Class]]="C",WORKDAY(Main[[#This Row],[Tech Start Date]],28),IF(Main[[#This Row],[Class]]="B", WORKDAY(Main[[#This Row],[Tech Start Date]],19),IF(Main[[#This Row],[Class]]="A",WORKDAY(Main[[#This Row],[Tech Start Date]],9),""))))</f>
        <v/>
      </c>
      <c r="Q636" s="67">
        <v>40401</v>
      </c>
      <c r="R636" s="67"/>
      <c r="S636" s="65" t="s">
        <v>11</v>
      </c>
      <c r="T636" s="70" t="s">
        <v>4</v>
      </c>
      <c r="U636" s="65" t="s">
        <v>14</v>
      </c>
      <c r="V636" s="65" t="s">
        <v>1927</v>
      </c>
      <c r="W636" s="65" t="s">
        <v>1919</v>
      </c>
      <c r="X636" s="65" t="s">
        <v>2860</v>
      </c>
      <c r="Y636" s="65" t="s">
        <v>3060</v>
      </c>
      <c r="Z636" s="65" t="s">
        <v>530</v>
      </c>
      <c r="AA636" s="65" t="s">
        <v>2860</v>
      </c>
    </row>
    <row r="637" spans="1:27" ht="17.45" customHeight="1">
      <c r="A637" s="131" t="str">
        <f>IF(priority(Main[[#This Row],[Comments]])&lt;&gt;0, priority(Main[[#This Row],[Comments]]),"")</f>
        <v/>
      </c>
      <c r="B637" s="99" t="s">
        <v>1474</v>
      </c>
      <c r="C637" s="65" t="s">
        <v>4</v>
      </c>
      <c r="D637" s="66" t="s">
        <v>555</v>
      </c>
      <c r="E637" s="67"/>
      <c r="F637" s="67"/>
      <c r="G637" s="64" t="str">
        <f>IF(stdProdLT(Main[[#This Row],[Comments]])=0.1,"N/A",IF(stdProdLT(Main[[#This Row],[Comments]])=0,"",stdProdLT(Main[[#This Row],[Comments]])))</f>
        <v/>
      </c>
      <c r="H637" s="68" t="str">
        <f>IF(AND(Main[[#This Row],[In Stock Date]]&lt;&gt;"",Main[[#This Row],[Revised Due Date]]&lt;&gt;""),Main[[#This Row],[In Stock Date]]-Main[[#This Row],[Revised Due Date]],"")</f>
        <v/>
      </c>
      <c r="I637" s="65" t="s">
        <v>4</v>
      </c>
      <c r="J637" s="65" t="s">
        <v>4</v>
      </c>
      <c r="K637" s="65" t="s">
        <v>4</v>
      </c>
      <c r="L637" s="67"/>
      <c r="M637" s="69" t="str">
        <f>IF(Main[[#This Row],[Tech Start Date]]&lt;1/1/1990,"",IF(Main[[#This Row],[Class]]="C",WORKDAY(Main[[#This Row],[Tech Start Date]],9),IF(Main[[#This Row],[Class]]="B", WORKDAY(Main[[#This Row],[Tech Start Date]],6),IF(Main[[#This Row],[Class]]="A",WORKDAY(Main[[#This Row],[Tech Start Date]],2),""))))</f>
        <v/>
      </c>
      <c r="N637" s="69" t="str">
        <f>IF(Main[[#This Row],[Tech Start Date]]&lt;1/1/1990,"",IF(Main[[#This Row],[Class]]="C",WORKDAY(Main[[#This Row],[Tech Start Date]],19),IF(Main[[#This Row],[Class]]="B", WORKDAY(Main[[#This Row],[Tech Start Date]],12),IF(Main[[#This Row],[Class]]="A",WORKDAY(Main[[#This Row],[Tech Start Date]],4),""))))</f>
        <v/>
      </c>
      <c r="O637" s="69" t="str">
        <f>IF(Main[[#This Row],[Tech Start Date]]&lt;1/1/1990,"",IF(Main[[#This Row],[Class]]="C",WORKDAY(Main[[#This Row],[Tech Start Date]],23),IF(Main[[#This Row],[Class]]="B", WORKDAY(Main[[#This Row],[Tech Start Date]],15),IF(Main[[#This Row],[Class]]="A",WORKDAY(Main[[#This Row],[Tech Start Date]],5),""))))</f>
        <v/>
      </c>
      <c r="P637" s="69" t="str">
        <f>IF(Main[[#This Row],[Tech Start Date]]&lt;1/1/1990,"",IF(Main[[#This Row],[Class]]="C",WORKDAY(Main[[#This Row],[Tech Start Date]],28),IF(Main[[#This Row],[Class]]="B", WORKDAY(Main[[#This Row],[Tech Start Date]],19),IF(Main[[#This Row],[Class]]="A",WORKDAY(Main[[#This Row],[Tech Start Date]],9),""))))</f>
        <v/>
      </c>
      <c r="Q637" s="67">
        <v>40385</v>
      </c>
      <c r="R637" s="67"/>
      <c r="S637" s="65" t="s">
        <v>6</v>
      </c>
      <c r="T637" s="70" t="s">
        <v>4</v>
      </c>
      <c r="U637" s="65" t="s">
        <v>14</v>
      </c>
      <c r="V637" s="65" t="s">
        <v>1917</v>
      </c>
      <c r="W637" s="65" t="s">
        <v>1919</v>
      </c>
      <c r="X637" s="65" t="s">
        <v>102</v>
      </c>
      <c r="Y637" s="65" t="s">
        <v>3038</v>
      </c>
      <c r="Z637" s="65" t="s">
        <v>4</v>
      </c>
      <c r="AA637" s="65" t="s">
        <v>3408</v>
      </c>
    </row>
    <row r="638" spans="1:27" ht="17.45" customHeight="1">
      <c r="A638" s="131" t="str">
        <f>IF(priority(Main[[#This Row],[Comments]])&lt;&gt;0, priority(Main[[#This Row],[Comments]]),"")</f>
        <v/>
      </c>
      <c r="B638" s="99" t="s">
        <v>1476</v>
      </c>
      <c r="C638" s="65" t="s">
        <v>4</v>
      </c>
      <c r="D638" s="66" t="s">
        <v>97</v>
      </c>
      <c r="E638" s="67"/>
      <c r="F638" s="67"/>
      <c r="G638" s="64" t="str">
        <f>IF(stdProdLT(Main[[#This Row],[Comments]])=0.1,"N/A",IF(stdProdLT(Main[[#This Row],[Comments]])=0,"",stdProdLT(Main[[#This Row],[Comments]])))</f>
        <v/>
      </c>
      <c r="H638" s="68" t="str">
        <f>IF(AND(Main[[#This Row],[In Stock Date]]&lt;&gt;"",Main[[#This Row],[Revised Due Date]]&lt;&gt;""),Main[[#This Row],[In Stock Date]]-Main[[#This Row],[Revised Due Date]],"")</f>
        <v/>
      </c>
      <c r="I638" s="65" t="s">
        <v>4</v>
      </c>
      <c r="J638" s="65" t="s">
        <v>4</v>
      </c>
      <c r="K638" s="65" t="s">
        <v>4</v>
      </c>
      <c r="L638" s="67"/>
      <c r="M638" s="69" t="str">
        <f>IF(Main[[#This Row],[Tech Start Date]]&lt;1/1/1990,"",IF(Main[[#This Row],[Class]]="C",WORKDAY(Main[[#This Row],[Tech Start Date]],9),IF(Main[[#This Row],[Class]]="B", WORKDAY(Main[[#This Row],[Tech Start Date]],6),IF(Main[[#This Row],[Class]]="A",WORKDAY(Main[[#This Row],[Tech Start Date]],2),""))))</f>
        <v/>
      </c>
      <c r="N638" s="69" t="str">
        <f>IF(Main[[#This Row],[Tech Start Date]]&lt;1/1/1990,"",IF(Main[[#This Row],[Class]]="C",WORKDAY(Main[[#This Row],[Tech Start Date]],19),IF(Main[[#This Row],[Class]]="B", WORKDAY(Main[[#This Row],[Tech Start Date]],12),IF(Main[[#This Row],[Class]]="A",WORKDAY(Main[[#This Row],[Tech Start Date]],4),""))))</f>
        <v/>
      </c>
      <c r="O638" s="69" t="str">
        <f>IF(Main[[#This Row],[Tech Start Date]]&lt;1/1/1990,"",IF(Main[[#This Row],[Class]]="C",WORKDAY(Main[[#This Row],[Tech Start Date]],23),IF(Main[[#This Row],[Class]]="B", WORKDAY(Main[[#This Row],[Tech Start Date]],15),IF(Main[[#This Row],[Class]]="A",WORKDAY(Main[[#This Row],[Tech Start Date]],5),""))))</f>
        <v/>
      </c>
      <c r="P638" s="69" t="str">
        <f>IF(Main[[#This Row],[Tech Start Date]]&lt;1/1/1990,"",IF(Main[[#This Row],[Class]]="C",WORKDAY(Main[[#This Row],[Tech Start Date]],28),IF(Main[[#This Row],[Class]]="B", WORKDAY(Main[[#This Row],[Tech Start Date]],19),IF(Main[[#This Row],[Class]]="A",WORKDAY(Main[[#This Row],[Tech Start Date]],9),""))))</f>
        <v/>
      </c>
      <c r="Q638" s="67">
        <v>40858</v>
      </c>
      <c r="R638" s="67"/>
      <c r="S638" s="65" t="s">
        <v>17</v>
      </c>
      <c r="T638" s="70" t="s">
        <v>4</v>
      </c>
      <c r="U638" s="65" t="s">
        <v>14</v>
      </c>
      <c r="V638" s="65" t="s">
        <v>1917</v>
      </c>
      <c r="W638" s="65" t="s">
        <v>1922</v>
      </c>
      <c r="X638" s="65" t="s">
        <v>50</v>
      </c>
      <c r="Y638" s="65" t="s">
        <v>2965</v>
      </c>
      <c r="Z638" s="65" t="s">
        <v>4</v>
      </c>
      <c r="AA638" s="65" t="s">
        <v>2834</v>
      </c>
    </row>
    <row r="639" spans="1:27" ht="17.45" customHeight="1">
      <c r="A639" s="131" t="str">
        <f>IF(priority(Main[[#This Row],[Comments]])&lt;&gt;0, priority(Main[[#This Row],[Comments]]),"")</f>
        <v/>
      </c>
      <c r="B639" s="99" t="s">
        <v>1477</v>
      </c>
      <c r="C639" s="65" t="s">
        <v>4</v>
      </c>
      <c r="D639" s="66" t="s">
        <v>556</v>
      </c>
      <c r="E639" s="67">
        <v>40382.376319444447</v>
      </c>
      <c r="F639" s="67"/>
      <c r="G639" s="64" t="str">
        <f>IF(stdProdLT(Main[[#This Row],[Comments]])=0.1,"N/A",IF(stdProdLT(Main[[#This Row],[Comments]])=0,"",stdProdLT(Main[[#This Row],[Comments]])))</f>
        <v/>
      </c>
      <c r="H639" s="68" t="str">
        <f>IF(AND(Main[[#This Row],[In Stock Date]]&lt;&gt;"",Main[[#This Row],[Revised Due Date]]&lt;&gt;""),Main[[#This Row],[In Stock Date]]-Main[[#This Row],[Revised Due Date]],"")</f>
        <v/>
      </c>
      <c r="I639" s="65" t="s">
        <v>4</v>
      </c>
      <c r="J639" s="65" t="s">
        <v>4</v>
      </c>
      <c r="K639" s="65" t="s">
        <v>4</v>
      </c>
      <c r="L639" s="67"/>
      <c r="M639" s="69" t="str">
        <f>IF(Main[[#This Row],[Tech Start Date]]&lt;1/1/1990,"",IF(Main[[#This Row],[Class]]="C",WORKDAY(Main[[#This Row],[Tech Start Date]],9),IF(Main[[#This Row],[Class]]="B", WORKDAY(Main[[#This Row],[Tech Start Date]],6),IF(Main[[#This Row],[Class]]="A",WORKDAY(Main[[#This Row],[Tech Start Date]],2),""))))</f>
        <v/>
      </c>
      <c r="N639" s="69" t="str">
        <f>IF(Main[[#This Row],[Tech Start Date]]&lt;1/1/1990,"",IF(Main[[#This Row],[Class]]="C",WORKDAY(Main[[#This Row],[Tech Start Date]],19),IF(Main[[#This Row],[Class]]="B", WORKDAY(Main[[#This Row],[Tech Start Date]],12),IF(Main[[#This Row],[Class]]="A",WORKDAY(Main[[#This Row],[Tech Start Date]],4),""))))</f>
        <v/>
      </c>
      <c r="O639" s="69" t="str">
        <f>IF(Main[[#This Row],[Tech Start Date]]&lt;1/1/1990,"",IF(Main[[#This Row],[Class]]="C",WORKDAY(Main[[#This Row],[Tech Start Date]],23),IF(Main[[#This Row],[Class]]="B", WORKDAY(Main[[#This Row],[Tech Start Date]],15),IF(Main[[#This Row],[Class]]="A",WORKDAY(Main[[#This Row],[Tech Start Date]],5),""))))</f>
        <v/>
      </c>
      <c r="P639" s="69" t="str">
        <f>IF(Main[[#This Row],[Tech Start Date]]&lt;1/1/1990,"",IF(Main[[#This Row],[Class]]="C",WORKDAY(Main[[#This Row],[Tech Start Date]],28),IF(Main[[#This Row],[Class]]="B", WORKDAY(Main[[#This Row],[Tech Start Date]],19),IF(Main[[#This Row],[Class]]="A",WORKDAY(Main[[#This Row],[Tech Start Date]],9),""))))</f>
        <v/>
      </c>
      <c r="Q639" s="67">
        <v>40451</v>
      </c>
      <c r="R639" s="67"/>
      <c r="S639" s="65" t="s">
        <v>6</v>
      </c>
      <c r="T639" s="70" t="s">
        <v>4</v>
      </c>
      <c r="U639" s="65" t="s">
        <v>7</v>
      </c>
      <c r="V639" s="65" t="s">
        <v>1917</v>
      </c>
      <c r="W639" s="65" t="s">
        <v>4</v>
      </c>
      <c r="X639" s="65" t="s">
        <v>2893</v>
      </c>
      <c r="Y639" s="65" t="s">
        <v>3049</v>
      </c>
      <c r="Z639" s="65" t="s">
        <v>4</v>
      </c>
      <c r="AA639" s="65" t="s">
        <v>2893</v>
      </c>
    </row>
    <row r="640" spans="1:27" ht="17.45" customHeight="1">
      <c r="A640" s="131" t="str">
        <f>IF(priority(Main[[#This Row],[Comments]])&lt;&gt;0, priority(Main[[#This Row],[Comments]]),"")</f>
        <v/>
      </c>
      <c r="B640" s="99" t="s">
        <v>1478</v>
      </c>
      <c r="C640" s="65" t="s">
        <v>180</v>
      </c>
      <c r="D640" s="66" t="s">
        <v>557</v>
      </c>
      <c r="E640" s="67"/>
      <c r="F640" s="67">
        <v>40389</v>
      </c>
      <c r="G640" s="64" t="str">
        <f>IF(stdProdLT(Main[[#This Row],[Comments]])=0.1,"N/A",IF(stdProdLT(Main[[#This Row],[Comments]])=0,"",stdProdLT(Main[[#This Row],[Comments]])))</f>
        <v/>
      </c>
      <c r="H640" s="68" t="str">
        <f>IF(AND(Main[[#This Row],[In Stock Date]]&lt;&gt;"",Main[[#This Row],[Revised Due Date]]&lt;&gt;""),Main[[#This Row],[In Stock Date]]-Main[[#This Row],[Revised Due Date]],"")</f>
        <v/>
      </c>
      <c r="I640" s="65" t="s">
        <v>4</v>
      </c>
      <c r="J640" s="65" t="s">
        <v>4</v>
      </c>
      <c r="K640" s="65" t="s">
        <v>4</v>
      </c>
      <c r="L640" s="67"/>
      <c r="M640" s="69" t="str">
        <f>IF(Main[[#This Row],[Tech Start Date]]&lt;1/1/1990,"",IF(Main[[#This Row],[Class]]="C",WORKDAY(Main[[#This Row],[Tech Start Date]],9),IF(Main[[#This Row],[Class]]="B", WORKDAY(Main[[#This Row],[Tech Start Date]],6),IF(Main[[#This Row],[Class]]="A",WORKDAY(Main[[#This Row],[Tech Start Date]],2),""))))</f>
        <v/>
      </c>
      <c r="N640" s="69" t="str">
        <f>IF(Main[[#This Row],[Tech Start Date]]&lt;1/1/1990,"",IF(Main[[#This Row],[Class]]="C",WORKDAY(Main[[#This Row],[Tech Start Date]],19),IF(Main[[#This Row],[Class]]="B", WORKDAY(Main[[#This Row],[Tech Start Date]],12),IF(Main[[#This Row],[Class]]="A",WORKDAY(Main[[#This Row],[Tech Start Date]],4),""))))</f>
        <v/>
      </c>
      <c r="O640" s="69" t="str">
        <f>IF(Main[[#This Row],[Tech Start Date]]&lt;1/1/1990,"",IF(Main[[#This Row],[Class]]="C",WORKDAY(Main[[#This Row],[Tech Start Date]],23),IF(Main[[#This Row],[Class]]="B", WORKDAY(Main[[#This Row],[Tech Start Date]],15),IF(Main[[#This Row],[Class]]="A",WORKDAY(Main[[#This Row],[Tech Start Date]],5),""))))</f>
        <v/>
      </c>
      <c r="P640" s="69" t="str">
        <f>IF(Main[[#This Row],[Tech Start Date]]&lt;1/1/1990,"",IF(Main[[#This Row],[Class]]="C",WORKDAY(Main[[#This Row],[Tech Start Date]],28),IF(Main[[#This Row],[Class]]="B", WORKDAY(Main[[#This Row],[Tech Start Date]],19),IF(Main[[#This Row],[Class]]="A",WORKDAY(Main[[#This Row],[Tech Start Date]],9),""))))</f>
        <v/>
      </c>
      <c r="Q640" s="67">
        <v>40298</v>
      </c>
      <c r="R640" s="67"/>
      <c r="S640" s="65" t="s">
        <v>11</v>
      </c>
      <c r="T640" s="70" t="s">
        <v>4</v>
      </c>
      <c r="U640" s="65" t="s">
        <v>14</v>
      </c>
      <c r="V640" s="65" t="s">
        <v>1917</v>
      </c>
      <c r="W640" s="65" t="s">
        <v>1923</v>
      </c>
      <c r="X640" s="65" t="s">
        <v>2830</v>
      </c>
      <c r="Y640" s="65" t="s">
        <v>2949</v>
      </c>
      <c r="Z640" s="65" t="s">
        <v>4</v>
      </c>
      <c r="AA640" s="65" t="s">
        <v>2830</v>
      </c>
    </row>
    <row r="641" spans="1:27" ht="17.45" customHeight="1">
      <c r="A641" s="131" t="str">
        <f>IF(priority(Main[[#This Row],[Comments]])&lt;&gt;0, priority(Main[[#This Row],[Comments]]),"")</f>
        <v/>
      </c>
      <c r="B641" s="99" t="s">
        <v>1480</v>
      </c>
      <c r="C641" s="65" t="s">
        <v>573</v>
      </c>
      <c r="D641" s="66" t="s">
        <v>574</v>
      </c>
      <c r="E641" s="67"/>
      <c r="F641" s="67"/>
      <c r="G641" s="64" t="str">
        <f>IF(stdProdLT(Main[[#This Row],[Comments]])=0.1,"N/A",IF(stdProdLT(Main[[#This Row],[Comments]])=0,"",stdProdLT(Main[[#This Row],[Comments]])))</f>
        <v/>
      </c>
      <c r="H641" s="68" t="str">
        <f>IF(AND(Main[[#This Row],[In Stock Date]]&lt;&gt;"",Main[[#This Row],[Revised Due Date]]&lt;&gt;""),Main[[#This Row],[In Stock Date]]-Main[[#This Row],[Revised Due Date]],"")</f>
        <v/>
      </c>
      <c r="I641" s="65" t="s">
        <v>4</v>
      </c>
      <c r="J641" s="65" t="s">
        <v>4</v>
      </c>
      <c r="K641" s="65" t="s">
        <v>4</v>
      </c>
      <c r="L641" s="67"/>
      <c r="M641" s="69" t="str">
        <f>IF(Main[[#This Row],[Tech Start Date]]&lt;1/1/1990,"",IF(Main[[#This Row],[Class]]="C",WORKDAY(Main[[#This Row],[Tech Start Date]],9),IF(Main[[#This Row],[Class]]="B", WORKDAY(Main[[#This Row],[Tech Start Date]],6),IF(Main[[#This Row],[Class]]="A",WORKDAY(Main[[#This Row],[Tech Start Date]],2),""))))</f>
        <v/>
      </c>
      <c r="N641" s="69" t="str">
        <f>IF(Main[[#This Row],[Tech Start Date]]&lt;1/1/1990,"",IF(Main[[#This Row],[Class]]="C",WORKDAY(Main[[#This Row],[Tech Start Date]],19),IF(Main[[#This Row],[Class]]="B", WORKDAY(Main[[#This Row],[Tech Start Date]],12),IF(Main[[#This Row],[Class]]="A",WORKDAY(Main[[#This Row],[Tech Start Date]],4),""))))</f>
        <v/>
      </c>
      <c r="O641" s="69" t="str">
        <f>IF(Main[[#This Row],[Tech Start Date]]&lt;1/1/1990,"",IF(Main[[#This Row],[Class]]="C",WORKDAY(Main[[#This Row],[Tech Start Date]],23),IF(Main[[#This Row],[Class]]="B", WORKDAY(Main[[#This Row],[Tech Start Date]],15),IF(Main[[#This Row],[Class]]="A",WORKDAY(Main[[#This Row],[Tech Start Date]],5),""))))</f>
        <v/>
      </c>
      <c r="P641" s="69" t="str">
        <f>IF(Main[[#This Row],[Tech Start Date]]&lt;1/1/1990,"",IF(Main[[#This Row],[Class]]="C",WORKDAY(Main[[#This Row],[Tech Start Date]],28),IF(Main[[#This Row],[Class]]="B", WORKDAY(Main[[#This Row],[Tech Start Date]],19),IF(Main[[#This Row],[Class]]="A",WORKDAY(Main[[#This Row],[Tech Start Date]],9),""))))</f>
        <v/>
      </c>
      <c r="Q641" s="67">
        <v>40473</v>
      </c>
      <c r="R641" s="67"/>
      <c r="S641" s="65" t="s">
        <v>11</v>
      </c>
      <c r="T641" s="70" t="s">
        <v>4</v>
      </c>
      <c r="U641" s="65" t="s">
        <v>14</v>
      </c>
      <c r="V641" s="65" t="s">
        <v>1920</v>
      </c>
      <c r="W641" s="65" t="s">
        <v>1919</v>
      </c>
      <c r="X641" s="65" t="s">
        <v>554</v>
      </c>
      <c r="Y641" s="65" t="s">
        <v>4</v>
      </c>
      <c r="Z641" s="65" t="s">
        <v>4</v>
      </c>
      <c r="AA641" s="65" t="s">
        <v>554</v>
      </c>
    </row>
    <row r="642" spans="1:27" ht="17.45" customHeight="1">
      <c r="A642" s="131" t="str">
        <f>IF(priority(Main[[#This Row],[Comments]])&lt;&gt;0, priority(Main[[#This Row],[Comments]]),"")</f>
        <v/>
      </c>
      <c r="B642" s="99" t="s">
        <v>1481</v>
      </c>
      <c r="C642" s="65" t="s">
        <v>4</v>
      </c>
      <c r="D642" s="66" t="s">
        <v>575</v>
      </c>
      <c r="E642" s="67">
        <v>40463.687627314815</v>
      </c>
      <c r="F642" s="67"/>
      <c r="G642" s="64" t="str">
        <f>IF(stdProdLT(Main[[#This Row],[Comments]])=0.1,"N/A",IF(stdProdLT(Main[[#This Row],[Comments]])=0,"",stdProdLT(Main[[#This Row],[Comments]])))</f>
        <v/>
      </c>
      <c r="H642" s="68" t="str">
        <f>IF(AND(Main[[#This Row],[In Stock Date]]&lt;&gt;"",Main[[#This Row],[Revised Due Date]]&lt;&gt;""),Main[[#This Row],[In Stock Date]]-Main[[#This Row],[Revised Due Date]],"")</f>
        <v/>
      </c>
      <c r="I642" s="65" t="s">
        <v>4</v>
      </c>
      <c r="J642" s="65" t="s">
        <v>28</v>
      </c>
      <c r="K642" s="65" t="s">
        <v>4</v>
      </c>
      <c r="L642" s="67"/>
      <c r="M642" s="69" t="str">
        <f>IF(Main[[#This Row],[Tech Start Date]]&lt;1/1/1990,"",IF(Main[[#This Row],[Class]]="C",WORKDAY(Main[[#This Row],[Tech Start Date]],9),IF(Main[[#This Row],[Class]]="B", WORKDAY(Main[[#This Row],[Tech Start Date]],6),IF(Main[[#This Row],[Class]]="A",WORKDAY(Main[[#This Row],[Tech Start Date]],2),""))))</f>
        <v/>
      </c>
      <c r="N642" s="69" t="str">
        <f>IF(Main[[#This Row],[Tech Start Date]]&lt;1/1/1990,"",IF(Main[[#This Row],[Class]]="C",WORKDAY(Main[[#This Row],[Tech Start Date]],19),IF(Main[[#This Row],[Class]]="B", WORKDAY(Main[[#This Row],[Tech Start Date]],12),IF(Main[[#This Row],[Class]]="A",WORKDAY(Main[[#This Row],[Tech Start Date]],4),""))))</f>
        <v/>
      </c>
      <c r="O642" s="69" t="str">
        <f>IF(Main[[#This Row],[Tech Start Date]]&lt;1/1/1990,"",IF(Main[[#This Row],[Class]]="C",WORKDAY(Main[[#This Row],[Tech Start Date]],23),IF(Main[[#This Row],[Class]]="B", WORKDAY(Main[[#This Row],[Tech Start Date]],15),IF(Main[[#This Row],[Class]]="A",WORKDAY(Main[[#This Row],[Tech Start Date]],5),""))))</f>
        <v/>
      </c>
      <c r="P642" s="69" t="str">
        <f>IF(Main[[#This Row],[Tech Start Date]]&lt;1/1/1990,"",IF(Main[[#This Row],[Class]]="C",WORKDAY(Main[[#This Row],[Tech Start Date]],28),IF(Main[[#This Row],[Class]]="B", WORKDAY(Main[[#This Row],[Tech Start Date]],19),IF(Main[[#This Row],[Class]]="A",WORKDAY(Main[[#This Row],[Tech Start Date]],9),""))))</f>
        <v/>
      </c>
      <c r="Q642" s="67"/>
      <c r="R642" s="67"/>
      <c r="S642" s="65" t="s">
        <v>6</v>
      </c>
      <c r="T642" s="70" t="s">
        <v>4</v>
      </c>
      <c r="U642" s="65" t="s">
        <v>7</v>
      </c>
      <c r="V642" s="65" t="s">
        <v>1917</v>
      </c>
      <c r="W642" s="65" t="s">
        <v>1925</v>
      </c>
      <c r="X642" s="65" t="s">
        <v>885</v>
      </c>
      <c r="Y642" s="65" t="s">
        <v>2969</v>
      </c>
      <c r="Z642" s="65" t="s">
        <v>129</v>
      </c>
      <c r="AA642" s="65" t="s">
        <v>885</v>
      </c>
    </row>
    <row r="643" spans="1:27" ht="17.45" customHeight="1">
      <c r="A643" s="131" t="str">
        <f>IF(priority(Main[[#This Row],[Comments]])&lt;&gt;0, priority(Main[[#This Row],[Comments]]),"")</f>
        <v/>
      </c>
      <c r="B643" s="99" t="s">
        <v>2728</v>
      </c>
      <c r="C643" s="65" t="s">
        <v>122</v>
      </c>
      <c r="D643" s="66" t="s">
        <v>2729</v>
      </c>
      <c r="E643" s="67">
        <v>40889.572662037041</v>
      </c>
      <c r="F643" s="67"/>
      <c r="G643" s="64" t="str">
        <f>IF(stdProdLT(Main[[#This Row],[Comments]])=0.1,"N/A",IF(stdProdLT(Main[[#This Row],[Comments]])=0,"",stdProdLT(Main[[#This Row],[Comments]])))</f>
        <v/>
      </c>
      <c r="H643" s="68" t="str">
        <f>IF(AND(Main[[#This Row],[In Stock Date]]&lt;&gt;"",Main[[#This Row],[Revised Due Date]]&lt;&gt;""),Main[[#This Row],[In Stock Date]]-Main[[#This Row],[Revised Due Date]],"")</f>
        <v/>
      </c>
      <c r="I643" s="65" t="s">
        <v>4</v>
      </c>
      <c r="J643" s="65" t="s">
        <v>4</v>
      </c>
      <c r="K643" s="65" t="s">
        <v>4</v>
      </c>
      <c r="L643" s="67"/>
      <c r="M643" s="69" t="str">
        <f>IF(Main[[#This Row],[Tech Start Date]]&lt;1/1/1990,"",IF(Main[[#This Row],[Class]]="C",WORKDAY(Main[[#This Row],[Tech Start Date]],9),IF(Main[[#This Row],[Class]]="B", WORKDAY(Main[[#This Row],[Tech Start Date]],6),IF(Main[[#This Row],[Class]]="A",WORKDAY(Main[[#This Row],[Tech Start Date]],2),""))))</f>
        <v/>
      </c>
      <c r="N643" s="69" t="str">
        <f>IF(Main[[#This Row],[Tech Start Date]]&lt;1/1/1990,"",IF(Main[[#This Row],[Class]]="C",WORKDAY(Main[[#This Row],[Tech Start Date]],19),IF(Main[[#This Row],[Class]]="B", WORKDAY(Main[[#This Row],[Tech Start Date]],12),IF(Main[[#This Row],[Class]]="A",WORKDAY(Main[[#This Row],[Tech Start Date]],4),""))))</f>
        <v/>
      </c>
      <c r="O643" s="69" t="str">
        <f>IF(Main[[#This Row],[Tech Start Date]]&lt;1/1/1990,"",IF(Main[[#This Row],[Class]]="C",WORKDAY(Main[[#This Row],[Tech Start Date]],23),IF(Main[[#This Row],[Class]]="B", WORKDAY(Main[[#This Row],[Tech Start Date]],15),IF(Main[[#This Row],[Class]]="A",WORKDAY(Main[[#This Row],[Tech Start Date]],5),""))))</f>
        <v/>
      </c>
      <c r="P643" s="69" t="str">
        <f>IF(Main[[#This Row],[Tech Start Date]]&lt;1/1/1990,"",IF(Main[[#This Row],[Class]]="C",WORKDAY(Main[[#This Row],[Tech Start Date]],28),IF(Main[[#This Row],[Class]]="B", WORKDAY(Main[[#This Row],[Tech Start Date]],19),IF(Main[[#This Row],[Class]]="A",WORKDAY(Main[[#This Row],[Tech Start Date]],9),""))))</f>
        <v/>
      </c>
      <c r="Q643" s="67">
        <v>40910</v>
      </c>
      <c r="R643" s="67"/>
      <c r="S643" s="65" t="s">
        <v>6</v>
      </c>
      <c r="T643" s="70" t="s">
        <v>4</v>
      </c>
      <c r="U643" s="65" t="s">
        <v>7</v>
      </c>
      <c r="V643" s="65" t="s">
        <v>1917</v>
      </c>
      <c r="W643" s="65" t="s">
        <v>1923</v>
      </c>
      <c r="X643" s="65" t="s">
        <v>885</v>
      </c>
      <c r="Y643" s="65" t="s">
        <v>2969</v>
      </c>
      <c r="Z643" s="65" t="s">
        <v>4</v>
      </c>
      <c r="AA643" s="65" t="s">
        <v>885</v>
      </c>
    </row>
    <row r="644" spans="1:27" ht="17.45" customHeight="1">
      <c r="A644" s="131" t="str">
        <f>IF(priority(Main[[#This Row],[Comments]])&lt;&gt;0, priority(Main[[#This Row],[Comments]]),"")</f>
        <v/>
      </c>
      <c r="B644" s="99" t="s">
        <v>1125</v>
      </c>
      <c r="C644" s="65" t="s">
        <v>4</v>
      </c>
      <c r="D644" s="66" t="s">
        <v>175</v>
      </c>
      <c r="E644" s="67">
        <v>40421.149710648147</v>
      </c>
      <c r="F644" s="67"/>
      <c r="G644" s="64" t="str">
        <f>IF(stdProdLT(Main[[#This Row],[Comments]])=0.1,"N/A",IF(stdProdLT(Main[[#This Row],[Comments]])=0,"",stdProdLT(Main[[#This Row],[Comments]])))</f>
        <v/>
      </c>
      <c r="H644" s="68" t="str">
        <f>IF(AND(Main[[#This Row],[In Stock Date]]&lt;&gt;"",Main[[#This Row],[Revised Due Date]]&lt;&gt;""),Main[[#This Row],[In Stock Date]]-Main[[#This Row],[Revised Due Date]],"")</f>
        <v/>
      </c>
      <c r="I644" s="65" t="s">
        <v>81</v>
      </c>
      <c r="J644" s="65" t="s">
        <v>52</v>
      </c>
      <c r="K644" s="65" t="s">
        <v>4</v>
      </c>
      <c r="L644" s="67"/>
      <c r="M644" s="69" t="str">
        <f>IF(Main[[#This Row],[Tech Start Date]]&lt;1/1/1990,"",IF(Main[[#This Row],[Class]]="C",WORKDAY(Main[[#This Row],[Tech Start Date]],9),IF(Main[[#This Row],[Class]]="B", WORKDAY(Main[[#This Row],[Tech Start Date]],6),IF(Main[[#This Row],[Class]]="A",WORKDAY(Main[[#This Row],[Tech Start Date]],2),""))))</f>
        <v/>
      </c>
      <c r="N644" s="69" t="str">
        <f>IF(Main[[#This Row],[Tech Start Date]]&lt;1/1/1990,"",IF(Main[[#This Row],[Class]]="C",WORKDAY(Main[[#This Row],[Tech Start Date]],19),IF(Main[[#This Row],[Class]]="B", WORKDAY(Main[[#This Row],[Tech Start Date]],12),IF(Main[[#This Row],[Class]]="A",WORKDAY(Main[[#This Row],[Tech Start Date]],4),""))))</f>
        <v/>
      </c>
      <c r="O644" s="69" t="str">
        <f>IF(Main[[#This Row],[Tech Start Date]]&lt;1/1/1990,"",IF(Main[[#This Row],[Class]]="C",WORKDAY(Main[[#This Row],[Tech Start Date]],23),IF(Main[[#This Row],[Class]]="B", WORKDAY(Main[[#This Row],[Tech Start Date]],15),IF(Main[[#This Row],[Class]]="A",WORKDAY(Main[[#This Row],[Tech Start Date]],5),""))))</f>
        <v/>
      </c>
      <c r="P644" s="69" t="str">
        <f>IF(Main[[#This Row],[Tech Start Date]]&lt;1/1/1990,"",IF(Main[[#This Row],[Class]]="C",WORKDAY(Main[[#This Row],[Tech Start Date]],28),IF(Main[[#This Row],[Class]]="B", WORKDAY(Main[[#This Row],[Tech Start Date]],19),IF(Main[[#This Row],[Class]]="A",WORKDAY(Main[[#This Row],[Tech Start Date]],9),""))))</f>
        <v/>
      </c>
      <c r="Q644" s="67">
        <v>40451</v>
      </c>
      <c r="R644" s="67"/>
      <c r="S644" s="65" t="s">
        <v>6</v>
      </c>
      <c r="T644" s="70" t="s">
        <v>4</v>
      </c>
      <c r="U644" s="65" t="s">
        <v>29</v>
      </c>
      <c r="V644" s="65" t="s">
        <v>1927</v>
      </c>
      <c r="W644" s="65" t="s">
        <v>1919</v>
      </c>
      <c r="X644" s="65" t="s">
        <v>2828</v>
      </c>
      <c r="Y644" s="65" t="s">
        <v>2944</v>
      </c>
      <c r="Z644" s="65" t="s">
        <v>415</v>
      </c>
      <c r="AA644" s="65" t="s">
        <v>2828</v>
      </c>
    </row>
    <row r="645" spans="1:27" ht="17.45" customHeight="1">
      <c r="A645" s="131" t="str">
        <f>IF(priority(Main[[#This Row],[Comments]])&lt;&gt;0, priority(Main[[#This Row],[Comments]]),"")</f>
        <v/>
      </c>
      <c r="B645" s="99" t="s">
        <v>1482</v>
      </c>
      <c r="C645" s="65" t="s">
        <v>230</v>
      </c>
      <c r="D645" s="66" t="s">
        <v>564</v>
      </c>
      <c r="E645" s="67"/>
      <c r="F645" s="67">
        <v>40662</v>
      </c>
      <c r="G645" s="64" t="str">
        <f>IF(stdProdLT(Main[[#This Row],[Comments]])=0.1,"N/A",IF(stdProdLT(Main[[#This Row],[Comments]])=0,"",stdProdLT(Main[[#This Row],[Comments]])))</f>
        <v/>
      </c>
      <c r="H645" s="68" t="str">
        <f>IF(AND(Main[[#This Row],[In Stock Date]]&lt;&gt;"",Main[[#This Row],[Revised Due Date]]&lt;&gt;""),Main[[#This Row],[In Stock Date]]-Main[[#This Row],[Revised Due Date]],"")</f>
        <v/>
      </c>
      <c r="I645" s="65" t="s">
        <v>4</v>
      </c>
      <c r="J645" s="65" t="s">
        <v>4</v>
      </c>
      <c r="K645" s="65" t="s">
        <v>4</v>
      </c>
      <c r="L645" s="67"/>
      <c r="M645" s="69" t="str">
        <f>IF(Main[[#This Row],[Tech Start Date]]&lt;1/1/1990,"",IF(Main[[#This Row],[Class]]="C",WORKDAY(Main[[#This Row],[Tech Start Date]],9),IF(Main[[#This Row],[Class]]="B", WORKDAY(Main[[#This Row],[Tech Start Date]],6),IF(Main[[#This Row],[Class]]="A",WORKDAY(Main[[#This Row],[Tech Start Date]],2),""))))</f>
        <v/>
      </c>
      <c r="N645" s="69" t="str">
        <f>IF(Main[[#This Row],[Tech Start Date]]&lt;1/1/1990,"",IF(Main[[#This Row],[Class]]="C",WORKDAY(Main[[#This Row],[Tech Start Date]],19),IF(Main[[#This Row],[Class]]="B", WORKDAY(Main[[#This Row],[Tech Start Date]],12),IF(Main[[#This Row],[Class]]="A",WORKDAY(Main[[#This Row],[Tech Start Date]],4),""))))</f>
        <v/>
      </c>
      <c r="O645" s="69" t="str">
        <f>IF(Main[[#This Row],[Tech Start Date]]&lt;1/1/1990,"",IF(Main[[#This Row],[Class]]="C",WORKDAY(Main[[#This Row],[Tech Start Date]],23),IF(Main[[#This Row],[Class]]="B", WORKDAY(Main[[#This Row],[Tech Start Date]],15),IF(Main[[#This Row],[Class]]="A",WORKDAY(Main[[#This Row],[Tech Start Date]],5),""))))</f>
        <v/>
      </c>
      <c r="P645" s="69" t="str">
        <f>IF(Main[[#This Row],[Tech Start Date]]&lt;1/1/1990,"",IF(Main[[#This Row],[Class]]="C",WORKDAY(Main[[#This Row],[Tech Start Date]],28),IF(Main[[#This Row],[Class]]="B", WORKDAY(Main[[#This Row],[Tech Start Date]],19),IF(Main[[#This Row],[Class]]="A",WORKDAY(Main[[#This Row],[Tech Start Date]],9),""))))</f>
        <v/>
      </c>
      <c r="Q645" s="67">
        <v>40480</v>
      </c>
      <c r="R645" s="67"/>
      <c r="S645" s="65" t="s">
        <v>11</v>
      </c>
      <c r="T645" s="70" t="s">
        <v>4</v>
      </c>
      <c r="U645" s="65" t="s">
        <v>14</v>
      </c>
      <c r="V645" s="65" t="s">
        <v>1920</v>
      </c>
      <c r="W645" s="65" t="s">
        <v>1925</v>
      </c>
      <c r="X645" s="65" t="s">
        <v>2866</v>
      </c>
      <c r="Y645" s="65" t="s">
        <v>4</v>
      </c>
      <c r="Z645" s="65" t="s">
        <v>4</v>
      </c>
      <c r="AA645" s="65" t="s">
        <v>2866</v>
      </c>
    </row>
    <row r="646" spans="1:27" ht="17.45" customHeight="1">
      <c r="A646" s="131" t="str">
        <f>IF(priority(Main[[#This Row],[Comments]])&lt;&gt;0, priority(Main[[#This Row],[Comments]]),"")</f>
        <v/>
      </c>
      <c r="B646" s="99" t="s">
        <v>1483</v>
      </c>
      <c r="C646" s="65" t="s">
        <v>4</v>
      </c>
      <c r="D646" s="66" t="s">
        <v>39</v>
      </c>
      <c r="E646" s="67"/>
      <c r="F646" s="67"/>
      <c r="G646" s="64" t="str">
        <f>IF(stdProdLT(Main[[#This Row],[Comments]])=0.1,"N/A",IF(stdProdLT(Main[[#This Row],[Comments]])=0,"",stdProdLT(Main[[#This Row],[Comments]])))</f>
        <v/>
      </c>
      <c r="H646" s="68" t="str">
        <f>IF(AND(Main[[#This Row],[In Stock Date]]&lt;&gt;"",Main[[#This Row],[Revised Due Date]]&lt;&gt;""),Main[[#This Row],[In Stock Date]]-Main[[#This Row],[Revised Due Date]],"")</f>
        <v/>
      </c>
      <c r="I646" s="65" t="s">
        <v>4</v>
      </c>
      <c r="J646" s="65" t="s">
        <v>4</v>
      </c>
      <c r="K646" s="65" t="s">
        <v>4</v>
      </c>
      <c r="L646" s="67"/>
      <c r="M646" s="69" t="str">
        <f>IF(Main[[#This Row],[Tech Start Date]]&lt;1/1/1990,"",IF(Main[[#This Row],[Class]]="C",WORKDAY(Main[[#This Row],[Tech Start Date]],9),IF(Main[[#This Row],[Class]]="B", WORKDAY(Main[[#This Row],[Tech Start Date]],6),IF(Main[[#This Row],[Class]]="A",WORKDAY(Main[[#This Row],[Tech Start Date]],2),""))))</f>
        <v/>
      </c>
      <c r="N646" s="69" t="str">
        <f>IF(Main[[#This Row],[Tech Start Date]]&lt;1/1/1990,"",IF(Main[[#This Row],[Class]]="C",WORKDAY(Main[[#This Row],[Tech Start Date]],19),IF(Main[[#This Row],[Class]]="B", WORKDAY(Main[[#This Row],[Tech Start Date]],12),IF(Main[[#This Row],[Class]]="A",WORKDAY(Main[[#This Row],[Tech Start Date]],4),""))))</f>
        <v/>
      </c>
      <c r="O646" s="69" t="str">
        <f>IF(Main[[#This Row],[Tech Start Date]]&lt;1/1/1990,"",IF(Main[[#This Row],[Class]]="C",WORKDAY(Main[[#This Row],[Tech Start Date]],23),IF(Main[[#This Row],[Class]]="B", WORKDAY(Main[[#This Row],[Tech Start Date]],15),IF(Main[[#This Row],[Class]]="A",WORKDAY(Main[[#This Row],[Tech Start Date]],5),""))))</f>
        <v/>
      </c>
      <c r="P646" s="69" t="str">
        <f>IF(Main[[#This Row],[Tech Start Date]]&lt;1/1/1990,"",IF(Main[[#This Row],[Class]]="C",WORKDAY(Main[[#This Row],[Tech Start Date]],28),IF(Main[[#This Row],[Class]]="B", WORKDAY(Main[[#This Row],[Tech Start Date]],19),IF(Main[[#This Row],[Class]]="A",WORKDAY(Main[[#This Row],[Tech Start Date]],9),""))))</f>
        <v/>
      </c>
      <c r="Q646" s="67">
        <v>40669</v>
      </c>
      <c r="R646" s="67"/>
      <c r="S646" s="65" t="s">
        <v>6</v>
      </c>
      <c r="T646" s="70" t="s">
        <v>4</v>
      </c>
      <c r="U646" s="65" t="s">
        <v>14</v>
      </c>
      <c r="V646" s="65" t="s">
        <v>1920</v>
      </c>
      <c r="W646" s="65" t="s">
        <v>4</v>
      </c>
      <c r="X646" s="65" t="s">
        <v>2824</v>
      </c>
      <c r="Y646" s="65" t="s">
        <v>2935</v>
      </c>
      <c r="Z646" s="65" t="s">
        <v>4</v>
      </c>
      <c r="AA646" s="65" t="s">
        <v>2824</v>
      </c>
    </row>
    <row r="647" spans="1:27" ht="17.45" customHeight="1">
      <c r="A647" s="131" t="str">
        <f>IF(priority(Main[[#This Row],[Comments]])&lt;&gt;0, priority(Main[[#This Row],[Comments]]),"")</f>
        <v/>
      </c>
      <c r="B647" s="99" t="s">
        <v>1484</v>
      </c>
      <c r="C647" s="65" t="s">
        <v>565</v>
      </c>
      <c r="D647" s="66" t="s">
        <v>566</v>
      </c>
      <c r="E647" s="67"/>
      <c r="F647" s="67">
        <v>40168</v>
      </c>
      <c r="G647" s="64" t="str">
        <f>IF(stdProdLT(Main[[#This Row],[Comments]])=0.1,"N/A",IF(stdProdLT(Main[[#This Row],[Comments]])=0,"",stdProdLT(Main[[#This Row],[Comments]])))</f>
        <v/>
      </c>
      <c r="H647" s="68" t="str">
        <f>IF(AND(Main[[#This Row],[In Stock Date]]&lt;&gt;"",Main[[#This Row],[Revised Due Date]]&lt;&gt;""),Main[[#This Row],[In Stock Date]]-Main[[#This Row],[Revised Due Date]],"")</f>
        <v/>
      </c>
      <c r="I647" s="65" t="s">
        <v>4</v>
      </c>
      <c r="J647" s="65" t="s">
        <v>4</v>
      </c>
      <c r="K647" s="71" t="s">
        <v>4</v>
      </c>
      <c r="L647" s="67"/>
      <c r="M647" s="69" t="str">
        <f>IF(Main[[#This Row],[Tech Start Date]]&lt;1/1/1990,"",IF(Main[[#This Row],[Class]]="C",WORKDAY(Main[[#This Row],[Tech Start Date]],9),IF(Main[[#This Row],[Class]]="B", WORKDAY(Main[[#This Row],[Tech Start Date]],6),IF(Main[[#This Row],[Class]]="A",WORKDAY(Main[[#This Row],[Tech Start Date]],2),""))))</f>
        <v/>
      </c>
      <c r="N647" s="69" t="str">
        <f>IF(Main[[#This Row],[Tech Start Date]]&lt;1/1/1990,"",IF(Main[[#This Row],[Class]]="C",WORKDAY(Main[[#This Row],[Tech Start Date]],19),IF(Main[[#This Row],[Class]]="B", WORKDAY(Main[[#This Row],[Tech Start Date]],12),IF(Main[[#This Row],[Class]]="A",WORKDAY(Main[[#This Row],[Tech Start Date]],4),""))))</f>
        <v/>
      </c>
      <c r="O647" s="69" t="str">
        <f>IF(Main[[#This Row],[Tech Start Date]]&lt;1/1/1990,"",IF(Main[[#This Row],[Class]]="C",WORKDAY(Main[[#This Row],[Tech Start Date]],23),IF(Main[[#This Row],[Class]]="B", WORKDAY(Main[[#This Row],[Tech Start Date]],15),IF(Main[[#This Row],[Class]]="A",WORKDAY(Main[[#This Row],[Tech Start Date]],5),""))))</f>
        <v/>
      </c>
      <c r="P647" s="69" t="str">
        <f>IF(Main[[#This Row],[Tech Start Date]]&lt;1/1/1990,"",IF(Main[[#This Row],[Class]]="C",WORKDAY(Main[[#This Row],[Tech Start Date]],28),IF(Main[[#This Row],[Class]]="B", WORKDAY(Main[[#This Row],[Tech Start Date]],19),IF(Main[[#This Row],[Class]]="A",WORKDAY(Main[[#This Row],[Tech Start Date]],9),""))))</f>
        <v/>
      </c>
      <c r="Q647" s="67"/>
      <c r="R647" s="67"/>
      <c r="S647" s="65" t="s">
        <v>17</v>
      </c>
      <c r="T647" s="70" t="s">
        <v>4</v>
      </c>
      <c r="U647" s="65" t="s">
        <v>14</v>
      </c>
      <c r="V647" s="65" t="s">
        <v>1918</v>
      </c>
      <c r="W647" s="65" t="s">
        <v>4</v>
      </c>
      <c r="X647" s="65" t="s">
        <v>2867</v>
      </c>
      <c r="Y647" s="65" t="s">
        <v>4</v>
      </c>
      <c r="Z647" s="65" t="s">
        <v>4</v>
      </c>
      <c r="AA647" s="65" t="s">
        <v>4</v>
      </c>
    </row>
    <row r="648" spans="1:27" ht="17.45" customHeight="1">
      <c r="A648" s="131" t="str">
        <f>IF(priority(Main[[#This Row],[Comments]])&lt;&gt;0, priority(Main[[#This Row],[Comments]]),"")</f>
        <v/>
      </c>
      <c r="B648" s="99" t="s">
        <v>1485</v>
      </c>
      <c r="C648" s="65" t="s">
        <v>567</v>
      </c>
      <c r="D648" s="66" t="s">
        <v>568</v>
      </c>
      <c r="E648" s="67"/>
      <c r="F648" s="67">
        <v>40389</v>
      </c>
      <c r="G648" s="64" t="str">
        <f>IF(stdProdLT(Main[[#This Row],[Comments]])=0.1,"N/A",IF(stdProdLT(Main[[#This Row],[Comments]])=0,"",stdProdLT(Main[[#This Row],[Comments]])))</f>
        <v/>
      </c>
      <c r="H648" s="68" t="str">
        <f>IF(AND(Main[[#This Row],[In Stock Date]]&lt;&gt;"",Main[[#This Row],[Revised Due Date]]&lt;&gt;""),Main[[#This Row],[In Stock Date]]-Main[[#This Row],[Revised Due Date]],"")</f>
        <v/>
      </c>
      <c r="I648" s="65" t="s">
        <v>4</v>
      </c>
      <c r="J648" s="65" t="s">
        <v>75</v>
      </c>
      <c r="K648" s="65" t="s">
        <v>4</v>
      </c>
      <c r="L648" s="67"/>
      <c r="M648" s="69" t="str">
        <f>IF(Main[[#This Row],[Tech Start Date]]&lt;1/1/1990,"",IF(Main[[#This Row],[Class]]="C",WORKDAY(Main[[#This Row],[Tech Start Date]],9),IF(Main[[#This Row],[Class]]="B", WORKDAY(Main[[#This Row],[Tech Start Date]],6),IF(Main[[#This Row],[Class]]="A",WORKDAY(Main[[#This Row],[Tech Start Date]],2),""))))</f>
        <v/>
      </c>
      <c r="N648" s="69" t="str">
        <f>IF(Main[[#This Row],[Tech Start Date]]&lt;1/1/1990,"",IF(Main[[#This Row],[Class]]="C",WORKDAY(Main[[#This Row],[Tech Start Date]],19),IF(Main[[#This Row],[Class]]="B", WORKDAY(Main[[#This Row],[Tech Start Date]],12),IF(Main[[#This Row],[Class]]="A",WORKDAY(Main[[#This Row],[Tech Start Date]],4),""))))</f>
        <v/>
      </c>
      <c r="O648" s="69" t="str">
        <f>IF(Main[[#This Row],[Tech Start Date]]&lt;1/1/1990,"",IF(Main[[#This Row],[Class]]="C",WORKDAY(Main[[#This Row],[Tech Start Date]],23),IF(Main[[#This Row],[Class]]="B", WORKDAY(Main[[#This Row],[Tech Start Date]],15),IF(Main[[#This Row],[Class]]="A",WORKDAY(Main[[#This Row],[Tech Start Date]],5),""))))</f>
        <v/>
      </c>
      <c r="P648" s="69" t="str">
        <f>IF(Main[[#This Row],[Tech Start Date]]&lt;1/1/1990,"",IF(Main[[#This Row],[Class]]="C",WORKDAY(Main[[#This Row],[Tech Start Date]],28),IF(Main[[#This Row],[Class]]="B", WORKDAY(Main[[#This Row],[Tech Start Date]],19),IF(Main[[#This Row],[Class]]="A",WORKDAY(Main[[#This Row],[Tech Start Date]],9),""))))</f>
        <v/>
      </c>
      <c r="Q648" s="67">
        <v>40298</v>
      </c>
      <c r="R648" s="67"/>
      <c r="S648" s="65" t="s">
        <v>11</v>
      </c>
      <c r="T648" s="70" t="s">
        <v>4</v>
      </c>
      <c r="U648" s="65" t="s">
        <v>14</v>
      </c>
      <c r="V648" s="65" t="s">
        <v>1917</v>
      </c>
      <c r="W648" s="65" t="s">
        <v>1923</v>
      </c>
      <c r="X648" s="65" t="s">
        <v>2830</v>
      </c>
      <c r="Y648" s="65" t="s">
        <v>2949</v>
      </c>
      <c r="Z648" s="65" t="s">
        <v>306</v>
      </c>
      <c r="AA648" s="65" t="s">
        <v>2830</v>
      </c>
    </row>
    <row r="649" spans="1:27" ht="17.45" customHeight="1">
      <c r="A649" s="131" t="str">
        <f>IF(priority(Main[[#This Row],[Comments]])&lt;&gt;0, priority(Main[[#This Row],[Comments]]),"")</f>
        <v/>
      </c>
      <c r="B649" s="99" t="s">
        <v>1486</v>
      </c>
      <c r="C649" s="65" t="s">
        <v>93</v>
      </c>
      <c r="D649" s="66" t="s">
        <v>569</v>
      </c>
      <c r="E649" s="67"/>
      <c r="F649" s="67">
        <v>40132</v>
      </c>
      <c r="G649" s="64" t="str">
        <f>IF(stdProdLT(Main[[#This Row],[Comments]])=0.1,"N/A",IF(stdProdLT(Main[[#This Row],[Comments]])=0,"",stdProdLT(Main[[#This Row],[Comments]])))</f>
        <v/>
      </c>
      <c r="H649" s="68" t="str">
        <f>IF(AND(Main[[#This Row],[In Stock Date]]&lt;&gt;"",Main[[#This Row],[Revised Due Date]]&lt;&gt;""),Main[[#This Row],[In Stock Date]]-Main[[#This Row],[Revised Due Date]],"")</f>
        <v/>
      </c>
      <c r="I649" s="65" t="s">
        <v>4</v>
      </c>
      <c r="J649" s="65" t="s">
        <v>4</v>
      </c>
      <c r="K649" s="65" t="s">
        <v>4</v>
      </c>
      <c r="L649" s="67"/>
      <c r="M649" s="69" t="str">
        <f>IF(Main[[#This Row],[Tech Start Date]]&lt;1/1/1990,"",IF(Main[[#This Row],[Class]]="C",WORKDAY(Main[[#This Row],[Tech Start Date]],9),IF(Main[[#This Row],[Class]]="B", WORKDAY(Main[[#This Row],[Tech Start Date]],6),IF(Main[[#This Row],[Class]]="A",WORKDAY(Main[[#This Row],[Tech Start Date]],2),""))))</f>
        <v/>
      </c>
      <c r="N649" s="69" t="str">
        <f>IF(Main[[#This Row],[Tech Start Date]]&lt;1/1/1990,"",IF(Main[[#This Row],[Class]]="C",WORKDAY(Main[[#This Row],[Tech Start Date]],19),IF(Main[[#This Row],[Class]]="B", WORKDAY(Main[[#This Row],[Tech Start Date]],12),IF(Main[[#This Row],[Class]]="A",WORKDAY(Main[[#This Row],[Tech Start Date]],4),""))))</f>
        <v/>
      </c>
      <c r="O649" s="69" t="str">
        <f>IF(Main[[#This Row],[Tech Start Date]]&lt;1/1/1990,"",IF(Main[[#This Row],[Class]]="C",WORKDAY(Main[[#This Row],[Tech Start Date]],23),IF(Main[[#This Row],[Class]]="B", WORKDAY(Main[[#This Row],[Tech Start Date]],15),IF(Main[[#This Row],[Class]]="A",WORKDAY(Main[[#This Row],[Tech Start Date]],5),""))))</f>
        <v/>
      </c>
      <c r="P649" s="69" t="str">
        <f>IF(Main[[#This Row],[Tech Start Date]]&lt;1/1/1990,"",IF(Main[[#This Row],[Class]]="C",WORKDAY(Main[[#This Row],[Tech Start Date]],28),IF(Main[[#This Row],[Class]]="B", WORKDAY(Main[[#This Row],[Tech Start Date]],19),IF(Main[[#This Row],[Class]]="A",WORKDAY(Main[[#This Row],[Tech Start Date]],9),""))))</f>
        <v/>
      </c>
      <c r="Q649" s="67">
        <v>40132</v>
      </c>
      <c r="R649" s="67"/>
      <c r="S649" s="65" t="s">
        <v>11</v>
      </c>
      <c r="T649" s="70" t="s">
        <v>4</v>
      </c>
      <c r="U649" s="65" t="s">
        <v>14</v>
      </c>
      <c r="V649" s="65" t="s">
        <v>1927</v>
      </c>
      <c r="W649" s="65" t="s">
        <v>1928</v>
      </c>
      <c r="X649" s="65" t="s">
        <v>2862</v>
      </c>
      <c r="Y649" s="65" t="s">
        <v>4</v>
      </c>
      <c r="Z649" s="65" t="s">
        <v>4</v>
      </c>
      <c r="AA649" s="65" t="s">
        <v>2862</v>
      </c>
    </row>
    <row r="650" spans="1:27" ht="17.45" customHeight="1">
      <c r="A650" s="131" t="str">
        <f>IF(priority(Main[[#This Row],[Comments]])&lt;&gt;0, priority(Main[[#This Row],[Comments]]),"")</f>
        <v/>
      </c>
      <c r="B650" s="99" t="s">
        <v>1487</v>
      </c>
      <c r="C650" s="65" t="s">
        <v>93</v>
      </c>
      <c r="D650" s="66" t="s">
        <v>570</v>
      </c>
      <c r="E650" s="67"/>
      <c r="F650" s="67">
        <v>40132</v>
      </c>
      <c r="G650" s="64" t="str">
        <f>IF(stdProdLT(Main[[#This Row],[Comments]])=0.1,"N/A",IF(stdProdLT(Main[[#This Row],[Comments]])=0,"",stdProdLT(Main[[#This Row],[Comments]])))</f>
        <v/>
      </c>
      <c r="H650" s="68" t="str">
        <f>IF(AND(Main[[#This Row],[In Stock Date]]&lt;&gt;"",Main[[#This Row],[Revised Due Date]]&lt;&gt;""),Main[[#This Row],[In Stock Date]]-Main[[#This Row],[Revised Due Date]],"")</f>
        <v/>
      </c>
      <c r="I650" s="65" t="s">
        <v>4</v>
      </c>
      <c r="J650" s="65" t="s">
        <v>4</v>
      </c>
      <c r="K650" s="65" t="s">
        <v>4</v>
      </c>
      <c r="L650" s="67"/>
      <c r="M650" s="69" t="str">
        <f>IF(Main[[#This Row],[Tech Start Date]]&lt;1/1/1990,"",IF(Main[[#This Row],[Class]]="C",WORKDAY(Main[[#This Row],[Tech Start Date]],9),IF(Main[[#This Row],[Class]]="B", WORKDAY(Main[[#This Row],[Tech Start Date]],6),IF(Main[[#This Row],[Class]]="A",WORKDAY(Main[[#This Row],[Tech Start Date]],2),""))))</f>
        <v/>
      </c>
      <c r="N650" s="69" t="str">
        <f>IF(Main[[#This Row],[Tech Start Date]]&lt;1/1/1990,"",IF(Main[[#This Row],[Class]]="C",WORKDAY(Main[[#This Row],[Tech Start Date]],19),IF(Main[[#This Row],[Class]]="B", WORKDAY(Main[[#This Row],[Tech Start Date]],12),IF(Main[[#This Row],[Class]]="A",WORKDAY(Main[[#This Row],[Tech Start Date]],4),""))))</f>
        <v/>
      </c>
      <c r="O650" s="69" t="str">
        <f>IF(Main[[#This Row],[Tech Start Date]]&lt;1/1/1990,"",IF(Main[[#This Row],[Class]]="C",WORKDAY(Main[[#This Row],[Tech Start Date]],23),IF(Main[[#This Row],[Class]]="B", WORKDAY(Main[[#This Row],[Tech Start Date]],15),IF(Main[[#This Row],[Class]]="A",WORKDAY(Main[[#This Row],[Tech Start Date]],5),""))))</f>
        <v/>
      </c>
      <c r="P650" s="69" t="str">
        <f>IF(Main[[#This Row],[Tech Start Date]]&lt;1/1/1990,"",IF(Main[[#This Row],[Class]]="C",WORKDAY(Main[[#This Row],[Tech Start Date]],28),IF(Main[[#This Row],[Class]]="B", WORKDAY(Main[[#This Row],[Tech Start Date]],19),IF(Main[[#This Row],[Class]]="A",WORKDAY(Main[[#This Row],[Tech Start Date]],9),""))))</f>
        <v/>
      </c>
      <c r="Q650" s="67">
        <v>40132</v>
      </c>
      <c r="R650" s="67"/>
      <c r="S650" s="65" t="s">
        <v>11</v>
      </c>
      <c r="T650" s="70" t="s">
        <v>4</v>
      </c>
      <c r="U650" s="65" t="s">
        <v>14</v>
      </c>
      <c r="V650" s="65" t="s">
        <v>1927</v>
      </c>
      <c r="W650" s="65" t="s">
        <v>1928</v>
      </c>
      <c r="X650" s="65" t="s">
        <v>2862</v>
      </c>
      <c r="Y650" s="65" t="s">
        <v>4</v>
      </c>
      <c r="Z650" s="65" t="s">
        <v>4</v>
      </c>
      <c r="AA650" s="65" t="s">
        <v>2862</v>
      </c>
    </row>
    <row r="651" spans="1:27" ht="17.45" customHeight="1">
      <c r="A651" s="131" t="str">
        <f>IF(priority(Main[[#This Row],[Comments]])&lt;&gt;0, priority(Main[[#This Row],[Comments]]),"")</f>
        <v/>
      </c>
      <c r="B651" s="99" t="s">
        <v>1488</v>
      </c>
      <c r="C651" s="65" t="s">
        <v>465</v>
      </c>
      <c r="D651" s="66" t="s">
        <v>571</v>
      </c>
      <c r="E651" s="67"/>
      <c r="F651" s="67">
        <v>40179</v>
      </c>
      <c r="G651" s="64" t="str">
        <f>IF(stdProdLT(Main[[#This Row],[Comments]])=0.1,"N/A",IF(stdProdLT(Main[[#This Row],[Comments]])=0,"",stdProdLT(Main[[#This Row],[Comments]])))</f>
        <v/>
      </c>
      <c r="H651" s="68" t="str">
        <f>IF(AND(Main[[#This Row],[In Stock Date]]&lt;&gt;"",Main[[#This Row],[Revised Due Date]]&lt;&gt;""),Main[[#This Row],[In Stock Date]]-Main[[#This Row],[Revised Due Date]],"")</f>
        <v/>
      </c>
      <c r="I651" s="65" t="s">
        <v>4</v>
      </c>
      <c r="J651" s="65" t="s">
        <v>4</v>
      </c>
      <c r="K651" s="65" t="s">
        <v>4</v>
      </c>
      <c r="L651" s="67"/>
      <c r="M651" s="69" t="str">
        <f>IF(Main[[#This Row],[Tech Start Date]]&lt;1/1/1990,"",IF(Main[[#This Row],[Class]]="C",WORKDAY(Main[[#This Row],[Tech Start Date]],9),IF(Main[[#This Row],[Class]]="B", WORKDAY(Main[[#This Row],[Tech Start Date]],6),IF(Main[[#This Row],[Class]]="A",WORKDAY(Main[[#This Row],[Tech Start Date]],2),""))))</f>
        <v/>
      </c>
      <c r="N651" s="69" t="str">
        <f>IF(Main[[#This Row],[Tech Start Date]]&lt;1/1/1990,"",IF(Main[[#This Row],[Class]]="C",WORKDAY(Main[[#This Row],[Tech Start Date]],19),IF(Main[[#This Row],[Class]]="B", WORKDAY(Main[[#This Row],[Tech Start Date]],12),IF(Main[[#This Row],[Class]]="A",WORKDAY(Main[[#This Row],[Tech Start Date]],4),""))))</f>
        <v/>
      </c>
      <c r="O651" s="69" t="str">
        <f>IF(Main[[#This Row],[Tech Start Date]]&lt;1/1/1990,"",IF(Main[[#This Row],[Class]]="C",WORKDAY(Main[[#This Row],[Tech Start Date]],23),IF(Main[[#This Row],[Class]]="B", WORKDAY(Main[[#This Row],[Tech Start Date]],15),IF(Main[[#This Row],[Class]]="A",WORKDAY(Main[[#This Row],[Tech Start Date]],5),""))))</f>
        <v/>
      </c>
      <c r="P651" s="69" t="str">
        <f>IF(Main[[#This Row],[Tech Start Date]]&lt;1/1/1990,"",IF(Main[[#This Row],[Class]]="C",WORKDAY(Main[[#This Row],[Tech Start Date]],28),IF(Main[[#This Row],[Class]]="B", WORKDAY(Main[[#This Row],[Tech Start Date]],19),IF(Main[[#This Row],[Class]]="A",WORKDAY(Main[[#This Row],[Tech Start Date]],9),""))))</f>
        <v/>
      </c>
      <c r="Q651" s="67">
        <v>40164</v>
      </c>
      <c r="R651" s="67"/>
      <c r="S651" s="65" t="s">
        <v>11</v>
      </c>
      <c r="T651" s="70" t="s">
        <v>4</v>
      </c>
      <c r="U651" s="65" t="s">
        <v>14</v>
      </c>
      <c r="V651" s="65" t="s">
        <v>1920</v>
      </c>
      <c r="W651" s="65" t="s">
        <v>1923</v>
      </c>
      <c r="X651" s="65" t="s">
        <v>2869</v>
      </c>
      <c r="Y651" s="65" t="s">
        <v>4</v>
      </c>
      <c r="Z651" s="65" t="s">
        <v>4</v>
      </c>
      <c r="AA651" s="65" t="s">
        <v>2869</v>
      </c>
    </row>
    <row r="652" spans="1:27" ht="17.45" customHeight="1">
      <c r="A652" s="131" t="str">
        <f>IF(priority(Main[[#This Row],[Comments]])&lt;&gt;0, priority(Main[[#This Row],[Comments]]),"")</f>
        <v/>
      </c>
      <c r="B652" s="99" t="s">
        <v>1146</v>
      </c>
      <c r="C652" s="65" t="s">
        <v>4</v>
      </c>
      <c r="D652" s="66" t="s">
        <v>199</v>
      </c>
      <c r="E652" s="67"/>
      <c r="F652" s="67"/>
      <c r="G652" s="64" t="str">
        <f>IF(stdProdLT(Main[[#This Row],[Comments]])=0.1,"N/A",IF(stdProdLT(Main[[#This Row],[Comments]])=0,"",stdProdLT(Main[[#This Row],[Comments]])))</f>
        <v/>
      </c>
      <c r="H652" s="68" t="str">
        <f>IF(AND(Main[[#This Row],[In Stock Date]]&lt;&gt;"",Main[[#This Row],[Revised Due Date]]&lt;&gt;""),Main[[#This Row],[In Stock Date]]-Main[[#This Row],[Revised Due Date]],"")</f>
        <v/>
      </c>
      <c r="I652" s="65" t="s">
        <v>4</v>
      </c>
      <c r="J652" s="65" t="s">
        <v>4</v>
      </c>
      <c r="K652" s="65" t="s">
        <v>4</v>
      </c>
      <c r="L652" s="67"/>
      <c r="M652" s="69" t="str">
        <f>IF(Main[[#This Row],[Tech Start Date]]&lt;1/1/1990,"",IF(Main[[#This Row],[Class]]="C",WORKDAY(Main[[#This Row],[Tech Start Date]],9),IF(Main[[#This Row],[Class]]="B", WORKDAY(Main[[#This Row],[Tech Start Date]],6),IF(Main[[#This Row],[Class]]="A",WORKDAY(Main[[#This Row],[Tech Start Date]],2),""))))</f>
        <v/>
      </c>
      <c r="N652" s="69" t="str">
        <f>IF(Main[[#This Row],[Tech Start Date]]&lt;1/1/1990,"",IF(Main[[#This Row],[Class]]="C",WORKDAY(Main[[#This Row],[Tech Start Date]],19),IF(Main[[#This Row],[Class]]="B", WORKDAY(Main[[#This Row],[Tech Start Date]],12),IF(Main[[#This Row],[Class]]="A",WORKDAY(Main[[#This Row],[Tech Start Date]],4),""))))</f>
        <v/>
      </c>
      <c r="O652" s="69" t="str">
        <f>IF(Main[[#This Row],[Tech Start Date]]&lt;1/1/1990,"",IF(Main[[#This Row],[Class]]="C",WORKDAY(Main[[#This Row],[Tech Start Date]],23),IF(Main[[#This Row],[Class]]="B", WORKDAY(Main[[#This Row],[Tech Start Date]],15),IF(Main[[#This Row],[Class]]="A",WORKDAY(Main[[#This Row],[Tech Start Date]],5),""))))</f>
        <v/>
      </c>
      <c r="P652" s="69" t="str">
        <f>IF(Main[[#This Row],[Tech Start Date]]&lt;1/1/1990,"",IF(Main[[#This Row],[Class]]="C",WORKDAY(Main[[#This Row],[Tech Start Date]],28),IF(Main[[#This Row],[Class]]="B", WORKDAY(Main[[#This Row],[Tech Start Date]],19),IF(Main[[#This Row],[Class]]="A",WORKDAY(Main[[#This Row],[Tech Start Date]],9),""))))</f>
        <v/>
      </c>
      <c r="Q652" s="67">
        <v>40597</v>
      </c>
      <c r="R652" s="67"/>
      <c r="S652" s="65" t="s">
        <v>49</v>
      </c>
      <c r="T652" s="70" t="s">
        <v>4</v>
      </c>
      <c r="U652" s="65" t="s">
        <v>12</v>
      </c>
      <c r="V652" s="65" t="s">
        <v>1918</v>
      </c>
      <c r="W652" s="65" t="s">
        <v>1919</v>
      </c>
      <c r="X652" s="65" t="s">
        <v>562</v>
      </c>
      <c r="Y652" s="65" t="s">
        <v>3062</v>
      </c>
      <c r="Z652" s="65" t="s">
        <v>4</v>
      </c>
      <c r="AA652" s="65" t="s">
        <v>562</v>
      </c>
    </row>
    <row r="653" spans="1:27" ht="17.45" customHeight="1">
      <c r="A653" s="131" t="str">
        <f>IF(priority(Main[[#This Row],[Comments]])&lt;&gt;0, priority(Main[[#This Row],[Comments]]),"")</f>
        <v/>
      </c>
      <c r="B653" s="99" t="s">
        <v>1543</v>
      </c>
      <c r="C653" s="65" t="s">
        <v>4</v>
      </c>
      <c r="D653" s="66" t="s">
        <v>576</v>
      </c>
      <c r="E653" s="67"/>
      <c r="F653" s="67"/>
      <c r="G653" s="64" t="str">
        <f>IF(stdProdLT(Main[[#This Row],[Comments]])=0.1,"N/A",IF(stdProdLT(Main[[#This Row],[Comments]])=0,"",stdProdLT(Main[[#This Row],[Comments]])))</f>
        <v/>
      </c>
      <c r="H653" s="68" t="str">
        <f>IF(AND(Main[[#This Row],[In Stock Date]]&lt;&gt;"",Main[[#This Row],[Revised Due Date]]&lt;&gt;""),Main[[#This Row],[In Stock Date]]-Main[[#This Row],[Revised Due Date]],"")</f>
        <v/>
      </c>
      <c r="I653" s="65" t="s">
        <v>4</v>
      </c>
      <c r="J653" s="65" t="s">
        <v>4</v>
      </c>
      <c r="K653" s="65" t="s">
        <v>4</v>
      </c>
      <c r="L653" s="67"/>
      <c r="M653" s="69" t="str">
        <f>IF(Main[[#This Row],[Tech Start Date]]&lt;1/1/1990,"",IF(Main[[#This Row],[Class]]="C",WORKDAY(Main[[#This Row],[Tech Start Date]],9),IF(Main[[#This Row],[Class]]="B", WORKDAY(Main[[#This Row],[Tech Start Date]],6),IF(Main[[#This Row],[Class]]="A",WORKDAY(Main[[#This Row],[Tech Start Date]],2),""))))</f>
        <v/>
      </c>
      <c r="N653" s="69" t="str">
        <f>IF(Main[[#This Row],[Tech Start Date]]&lt;1/1/1990,"",IF(Main[[#This Row],[Class]]="C",WORKDAY(Main[[#This Row],[Tech Start Date]],19),IF(Main[[#This Row],[Class]]="B", WORKDAY(Main[[#This Row],[Tech Start Date]],12),IF(Main[[#This Row],[Class]]="A",WORKDAY(Main[[#This Row],[Tech Start Date]],4),""))))</f>
        <v/>
      </c>
      <c r="O653" s="69" t="str">
        <f>IF(Main[[#This Row],[Tech Start Date]]&lt;1/1/1990,"",IF(Main[[#This Row],[Class]]="C",WORKDAY(Main[[#This Row],[Tech Start Date]],23),IF(Main[[#This Row],[Class]]="B", WORKDAY(Main[[#This Row],[Tech Start Date]],15),IF(Main[[#This Row],[Class]]="A",WORKDAY(Main[[#This Row],[Tech Start Date]],5),""))))</f>
        <v/>
      </c>
      <c r="P653" s="69" t="str">
        <f>IF(Main[[#This Row],[Tech Start Date]]&lt;1/1/1990,"",IF(Main[[#This Row],[Class]]="C",WORKDAY(Main[[#This Row],[Tech Start Date]],28),IF(Main[[#This Row],[Class]]="B", WORKDAY(Main[[#This Row],[Tech Start Date]],19),IF(Main[[#This Row],[Class]]="A",WORKDAY(Main[[#This Row],[Tech Start Date]],9),""))))</f>
        <v/>
      </c>
      <c r="Q653" s="67">
        <v>40165</v>
      </c>
      <c r="R653" s="67"/>
      <c r="S653" s="65" t="s">
        <v>11</v>
      </c>
      <c r="T653" s="70" t="s">
        <v>4</v>
      </c>
      <c r="U653" s="65" t="s">
        <v>14</v>
      </c>
      <c r="V653" s="65" t="s">
        <v>1918</v>
      </c>
      <c r="W653" s="65" t="s">
        <v>1922</v>
      </c>
      <c r="X653" s="65" t="s">
        <v>2056</v>
      </c>
      <c r="Y653" s="65" t="s">
        <v>3064</v>
      </c>
      <c r="Z653" s="65" t="s">
        <v>4</v>
      </c>
      <c r="AA653" s="65" t="s">
        <v>2056</v>
      </c>
    </row>
    <row r="654" spans="1:27" ht="17.45" customHeight="1">
      <c r="A654" s="131" t="str">
        <f>IF(priority(Main[[#This Row],[Comments]])&lt;&gt;0, priority(Main[[#This Row],[Comments]]),"")</f>
        <v/>
      </c>
      <c r="B654" s="99" t="s">
        <v>1819</v>
      </c>
      <c r="C654" s="65" t="s">
        <v>72</v>
      </c>
      <c r="D654" s="66" t="s">
        <v>868</v>
      </c>
      <c r="E654" s="67"/>
      <c r="F654" s="67">
        <v>40148</v>
      </c>
      <c r="G654" s="64" t="str">
        <f>IF(stdProdLT(Main[[#This Row],[Comments]])=0.1,"N/A",IF(stdProdLT(Main[[#This Row],[Comments]])=0,"",stdProdLT(Main[[#This Row],[Comments]])))</f>
        <v/>
      </c>
      <c r="H654" s="68">
        <f>IF(AND(Main[[#This Row],[In Stock Date]]&lt;&gt;"",Main[[#This Row],[Revised Due Date]]&lt;&gt;""),Main[[#This Row],[In Stock Date]]-Main[[#This Row],[Revised Due Date]],"")</f>
        <v>-143</v>
      </c>
      <c r="I654" s="65" t="s">
        <v>4</v>
      </c>
      <c r="J654" s="65" t="s">
        <v>4</v>
      </c>
      <c r="K654" s="65" t="s">
        <v>4</v>
      </c>
      <c r="L654" s="67"/>
      <c r="M654" s="69" t="str">
        <f>IF(Main[[#This Row],[Tech Start Date]]&lt;1/1/1990,"",IF(Main[[#This Row],[Class]]="C",WORKDAY(Main[[#This Row],[Tech Start Date]],9),IF(Main[[#This Row],[Class]]="B", WORKDAY(Main[[#This Row],[Tech Start Date]],6),IF(Main[[#This Row],[Class]]="A",WORKDAY(Main[[#This Row],[Tech Start Date]],2),""))))</f>
        <v/>
      </c>
      <c r="N654" s="69" t="str">
        <f>IF(Main[[#This Row],[Tech Start Date]]&lt;1/1/1990,"",IF(Main[[#This Row],[Class]]="C",WORKDAY(Main[[#This Row],[Tech Start Date]],19),IF(Main[[#This Row],[Class]]="B", WORKDAY(Main[[#This Row],[Tech Start Date]],12),IF(Main[[#This Row],[Class]]="A",WORKDAY(Main[[#This Row],[Tech Start Date]],4),""))))</f>
        <v/>
      </c>
      <c r="O654" s="69" t="str">
        <f>IF(Main[[#This Row],[Tech Start Date]]&lt;1/1/1990,"",IF(Main[[#This Row],[Class]]="C",WORKDAY(Main[[#This Row],[Tech Start Date]],23),IF(Main[[#This Row],[Class]]="B", WORKDAY(Main[[#This Row],[Tech Start Date]],15),IF(Main[[#This Row],[Class]]="A",WORKDAY(Main[[#This Row],[Tech Start Date]],5),""))))</f>
        <v/>
      </c>
      <c r="P654" s="69" t="str">
        <f>IF(Main[[#This Row],[Tech Start Date]]&lt;1/1/1990,"",IF(Main[[#This Row],[Class]]="C",WORKDAY(Main[[#This Row],[Tech Start Date]],28),IF(Main[[#This Row],[Class]]="B", WORKDAY(Main[[#This Row],[Tech Start Date]],19),IF(Main[[#This Row],[Class]]="A",WORKDAY(Main[[#This Row],[Tech Start Date]],9),""))))</f>
        <v/>
      </c>
      <c r="Q654" s="67">
        <v>40080</v>
      </c>
      <c r="R654" s="67">
        <v>40291</v>
      </c>
      <c r="S654" s="65" t="s">
        <v>6</v>
      </c>
      <c r="T654" s="70" t="s">
        <v>4</v>
      </c>
      <c r="U654" s="65" t="s">
        <v>14</v>
      </c>
      <c r="V654" s="65" t="s">
        <v>1918</v>
      </c>
      <c r="W654" s="65" t="s">
        <v>1925</v>
      </c>
      <c r="X654" s="65" t="s">
        <v>2830</v>
      </c>
      <c r="Y654" s="65" t="s">
        <v>2949</v>
      </c>
      <c r="Z654" s="65" t="s">
        <v>4</v>
      </c>
      <c r="AA654" s="65" t="s">
        <v>2830</v>
      </c>
    </row>
    <row r="655" spans="1:27" ht="17.45" customHeight="1">
      <c r="A655" s="131" t="str">
        <f>IF(priority(Main[[#This Row],[Comments]])&lt;&gt;0, priority(Main[[#This Row],[Comments]]),"")</f>
        <v/>
      </c>
      <c r="B655" s="99" t="s">
        <v>1491</v>
      </c>
      <c r="C655" s="65" t="s">
        <v>4</v>
      </c>
      <c r="D655" s="66" t="s">
        <v>621</v>
      </c>
      <c r="E655" s="67">
        <v>40549.433692129627</v>
      </c>
      <c r="F655" s="67"/>
      <c r="G655" s="64" t="str">
        <f>IF(stdProdLT(Main[[#This Row],[Comments]])=0.1,"N/A",IF(stdProdLT(Main[[#This Row],[Comments]])=0,"",stdProdLT(Main[[#This Row],[Comments]])))</f>
        <v/>
      </c>
      <c r="H655" s="68" t="str">
        <f>IF(AND(Main[[#This Row],[In Stock Date]]&lt;&gt;"",Main[[#This Row],[Revised Due Date]]&lt;&gt;""),Main[[#This Row],[In Stock Date]]-Main[[#This Row],[Revised Due Date]],"")</f>
        <v/>
      </c>
      <c r="I655" s="65" t="s">
        <v>4</v>
      </c>
      <c r="J655" s="65" t="s">
        <v>4</v>
      </c>
      <c r="K655" s="65" t="s">
        <v>4</v>
      </c>
      <c r="L655" s="67"/>
      <c r="M655" s="69" t="str">
        <f>IF(Main[[#This Row],[Tech Start Date]]&lt;1/1/1990,"",IF(Main[[#This Row],[Class]]="C",WORKDAY(Main[[#This Row],[Tech Start Date]],9),IF(Main[[#This Row],[Class]]="B", WORKDAY(Main[[#This Row],[Tech Start Date]],6),IF(Main[[#This Row],[Class]]="A",WORKDAY(Main[[#This Row],[Tech Start Date]],2),""))))</f>
        <v/>
      </c>
      <c r="N655" s="69" t="str">
        <f>IF(Main[[#This Row],[Tech Start Date]]&lt;1/1/1990,"",IF(Main[[#This Row],[Class]]="C",WORKDAY(Main[[#This Row],[Tech Start Date]],19),IF(Main[[#This Row],[Class]]="B", WORKDAY(Main[[#This Row],[Tech Start Date]],12),IF(Main[[#This Row],[Class]]="A",WORKDAY(Main[[#This Row],[Tech Start Date]],4),""))))</f>
        <v/>
      </c>
      <c r="O655" s="69" t="str">
        <f>IF(Main[[#This Row],[Tech Start Date]]&lt;1/1/1990,"",IF(Main[[#This Row],[Class]]="C",WORKDAY(Main[[#This Row],[Tech Start Date]],23),IF(Main[[#This Row],[Class]]="B", WORKDAY(Main[[#This Row],[Tech Start Date]],15),IF(Main[[#This Row],[Class]]="A",WORKDAY(Main[[#This Row],[Tech Start Date]],5),""))))</f>
        <v/>
      </c>
      <c r="P655" s="69" t="str">
        <f>IF(Main[[#This Row],[Tech Start Date]]&lt;1/1/1990,"",IF(Main[[#This Row],[Class]]="C",WORKDAY(Main[[#This Row],[Tech Start Date]],28),IF(Main[[#This Row],[Class]]="B", WORKDAY(Main[[#This Row],[Tech Start Date]],19),IF(Main[[#This Row],[Class]]="A",WORKDAY(Main[[#This Row],[Tech Start Date]],9),""))))</f>
        <v/>
      </c>
      <c r="Q655" s="67">
        <v>40577</v>
      </c>
      <c r="R655" s="67"/>
      <c r="S655" s="65" t="s">
        <v>6</v>
      </c>
      <c r="T655" s="70" t="s">
        <v>4</v>
      </c>
      <c r="U655" s="65" t="s">
        <v>7</v>
      </c>
      <c r="V655" s="65" t="s">
        <v>1917</v>
      </c>
      <c r="W655" s="65" t="s">
        <v>1919</v>
      </c>
      <c r="X655" s="65" t="s">
        <v>2827</v>
      </c>
      <c r="Y655" s="65" t="s">
        <v>2942</v>
      </c>
      <c r="Z655" s="65" t="s">
        <v>4</v>
      </c>
      <c r="AA655" s="65" t="s">
        <v>2827</v>
      </c>
    </row>
    <row r="656" spans="1:27" ht="17.45" customHeight="1">
      <c r="A656" s="131" t="str">
        <f>IF(priority(Main[[#This Row],[Comments]])&lt;&gt;0, priority(Main[[#This Row],[Comments]]),"")</f>
        <v/>
      </c>
      <c r="B656" s="99" t="s">
        <v>1492</v>
      </c>
      <c r="C656" s="65" t="s">
        <v>4</v>
      </c>
      <c r="D656" s="66" t="s">
        <v>622</v>
      </c>
      <c r="E656" s="67">
        <v>40371.36078703704</v>
      </c>
      <c r="F656" s="67"/>
      <c r="G656" s="64" t="str">
        <f>IF(stdProdLT(Main[[#This Row],[Comments]])=0.1,"N/A",IF(stdProdLT(Main[[#This Row],[Comments]])=0,"",stdProdLT(Main[[#This Row],[Comments]])))</f>
        <v/>
      </c>
      <c r="H656" s="68" t="str">
        <f>IF(AND(Main[[#This Row],[In Stock Date]]&lt;&gt;"",Main[[#This Row],[Revised Due Date]]&lt;&gt;""),Main[[#This Row],[In Stock Date]]-Main[[#This Row],[Revised Due Date]],"")</f>
        <v/>
      </c>
      <c r="I656" s="65" t="s">
        <v>4</v>
      </c>
      <c r="J656" s="65" t="s">
        <v>4</v>
      </c>
      <c r="K656" s="65" t="s">
        <v>4</v>
      </c>
      <c r="L656" s="67"/>
      <c r="M656" s="69" t="str">
        <f>IF(Main[[#This Row],[Tech Start Date]]&lt;1/1/1990,"",IF(Main[[#This Row],[Class]]="C",WORKDAY(Main[[#This Row],[Tech Start Date]],9),IF(Main[[#This Row],[Class]]="B", WORKDAY(Main[[#This Row],[Tech Start Date]],6),IF(Main[[#This Row],[Class]]="A",WORKDAY(Main[[#This Row],[Tech Start Date]],2),""))))</f>
        <v/>
      </c>
      <c r="N656" s="69" t="str">
        <f>IF(Main[[#This Row],[Tech Start Date]]&lt;1/1/1990,"",IF(Main[[#This Row],[Class]]="C",WORKDAY(Main[[#This Row],[Tech Start Date]],19),IF(Main[[#This Row],[Class]]="B", WORKDAY(Main[[#This Row],[Tech Start Date]],12),IF(Main[[#This Row],[Class]]="A",WORKDAY(Main[[#This Row],[Tech Start Date]],4),""))))</f>
        <v/>
      </c>
      <c r="O656" s="69" t="str">
        <f>IF(Main[[#This Row],[Tech Start Date]]&lt;1/1/1990,"",IF(Main[[#This Row],[Class]]="C",WORKDAY(Main[[#This Row],[Tech Start Date]],23),IF(Main[[#This Row],[Class]]="B", WORKDAY(Main[[#This Row],[Tech Start Date]],15),IF(Main[[#This Row],[Class]]="A",WORKDAY(Main[[#This Row],[Tech Start Date]],5),""))))</f>
        <v/>
      </c>
      <c r="P656" s="69" t="str">
        <f>IF(Main[[#This Row],[Tech Start Date]]&lt;1/1/1990,"",IF(Main[[#This Row],[Class]]="C",WORKDAY(Main[[#This Row],[Tech Start Date]],28),IF(Main[[#This Row],[Class]]="B", WORKDAY(Main[[#This Row],[Tech Start Date]],19),IF(Main[[#This Row],[Class]]="A",WORKDAY(Main[[#This Row],[Tech Start Date]],9),""))))</f>
        <v/>
      </c>
      <c r="Q656" s="67">
        <v>40385</v>
      </c>
      <c r="R656" s="67"/>
      <c r="S656" s="65" t="s">
        <v>6</v>
      </c>
      <c r="T656" s="70" t="s">
        <v>4</v>
      </c>
      <c r="U656" s="65" t="s">
        <v>7</v>
      </c>
      <c r="V656" s="65" t="s">
        <v>1917</v>
      </c>
      <c r="W656" s="65" t="s">
        <v>1919</v>
      </c>
      <c r="X656" s="65" t="s">
        <v>102</v>
      </c>
      <c r="Y656" s="65" t="s">
        <v>3038</v>
      </c>
      <c r="Z656" s="65" t="s">
        <v>4</v>
      </c>
      <c r="AA656" s="65" t="s">
        <v>3408</v>
      </c>
    </row>
    <row r="657" spans="1:27" ht="17.45" customHeight="1">
      <c r="A657" s="131" t="str">
        <f>IF(priority(Main[[#This Row],[Comments]])&lt;&gt;0, priority(Main[[#This Row],[Comments]]),"")</f>
        <v/>
      </c>
      <c r="B657" s="99" t="s">
        <v>1493</v>
      </c>
      <c r="C657" s="65" t="s">
        <v>623</v>
      </c>
      <c r="D657" s="66" t="s">
        <v>624</v>
      </c>
      <c r="E657" s="67"/>
      <c r="F657" s="67">
        <v>40396</v>
      </c>
      <c r="G657" s="64" t="str">
        <f>IF(stdProdLT(Main[[#This Row],[Comments]])=0.1,"N/A",IF(stdProdLT(Main[[#This Row],[Comments]])=0,"",stdProdLT(Main[[#This Row],[Comments]])))</f>
        <v/>
      </c>
      <c r="H657" s="68" t="str">
        <f>IF(AND(Main[[#This Row],[In Stock Date]]&lt;&gt;"",Main[[#This Row],[Revised Due Date]]&lt;&gt;""),Main[[#This Row],[In Stock Date]]-Main[[#This Row],[Revised Due Date]],"")</f>
        <v/>
      </c>
      <c r="I657" s="65" t="s">
        <v>4</v>
      </c>
      <c r="J657" s="65" t="s">
        <v>4</v>
      </c>
      <c r="K657" s="65" t="s">
        <v>4</v>
      </c>
      <c r="L657" s="67"/>
      <c r="M657" s="69" t="str">
        <f>IF(Main[[#This Row],[Tech Start Date]]&lt;1/1/1990,"",IF(Main[[#This Row],[Class]]="C",WORKDAY(Main[[#This Row],[Tech Start Date]],9),IF(Main[[#This Row],[Class]]="B", WORKDAY(Main[[#This Row],[Tech Start Date]],6),IF(Main[[#This Row],[Class]]="A",WORKDAY(Main[[#This Row],[Tech Start Date]],2),""))))</f>
        <v/>
      </c>
      <c r="N657" s="69" t="str">
        <f>IF(Main[[#This Row],[Tech Start Date]]&lt;1/1/1990,"",IF(Main[[#This Row],[Class]]="C",WORKDAY(Main[[#This Row],[Tech Start Date]],19),IF(Main[[#This Row],[Class]]="B", WORKDAY(Main[[#This Row],[Tech Start Date]],12),IF(Main[[#This Row],[Class]]="A",WORKDAY(Main[[#This Row],[Tech Start Date]],4),""))))</f>
        <v/>
      </c>
      <c r="O657" s="69" t="str">
        <f>IF(Main[[#This Row],[Tech Start Date]]&lt;1/1/1990,"",IF(Main[[#This Row],[Class]]="C",WORKDAY(Main[[#This Row],[Tech Start Date]],23),IF(Main[[#This Row],[Class]]="B", WORKDAY(Main[[#This Row],[Tech Start Date]],15),IF(Main[[#This Row],[Class]]="A",WORKDAY(Main[[#This Row],[Tech Start Date]],5),""))))</f>
        <v/>
      </c>
      <c r="P657" s="69" t="str">
        <f>IF(Main[[#This Row],[Tech Start Date]]&lt;1/1/1990,"",IF(Main[[#This Row],[Class]]="C",WORKDAY(Main[[#This Row],[Tech Start Date]],28),IF(Main[[#This Row],[Class]]="B", WORKDAY(Main[[#This Row],[Tech Start Date]],19),IF(Main[[#This Row],[Class]]="A",WORKDAY(Main[[#This Row],[Tech Start Date]],9),""))))</f>
        <v/>
      </c>
      <c r="Q657" s="67"/>
      <c r="R657" s="67"/>
      <c r="S657" s="65" t="s">
        <v>11</v>
      </c>
      <c r="T657" s="70" t="s">
        <v>4</v>
      </c>
      <c r="U657" s="65" t="s">
        <v>14</v>
      </c>
      <c r="V657" s="65" t="s">
        <v>1917</v>
      </c>
      <c r="W657" s="65" t="s">
        <v>1923</v>
      </c>
      <c r="X657" s="65" t="s">
        <v>2826</v>
      </c>
      <c r="Y657" s="65" t="s">
        <v>3065</v>
      </c>
      <c r="Z657" s="65" t="s">
        <v>4</v>
      </c>
      <c r="AA657" s="65" t="s">
        <v>2826</v>
      </c>
    </row>
    <row r="658" spans="1:27" ht="17.45" customHeight="1">
      <c r="A658" s="131" t="str">
        <f>IF(priority(Main[[#This Row],[Comments]])&lt;&gt;0, priority(Main[[#This Row],[Comments]]),"")</f>
        <v/>
      </c>
      <c r="B658" s="99" t="s">
        <v>1494</v>
      </c>
      <c r="C658" s="65" t="s">
        <v>93</v>
      </c>
      <c r="D658" s="66" t="s">
        <v>625</v>
      </c>
      <c r="E658" s="67"/>
      <c r="F658" s="67">
        <v>40238</v>
      </c>
      <c r="G658" s="64" t="str">
        <f>IF(stdProdLT(Main[[#This Row],[Comments]])=0.1,"N/A",IF(stdProdLT(Main[[#This Row],[Comments]])=0,"",stdProdLT(Main[[#This Row],[Comments]])))</f>
        <v/>
      </c>
      <c r="H658" s="68" t="str">
        <f>IF(AND(Main[[#This Row],[In Stock Date]]&lt;&gt;"",Main[[#This Row],[Revised Due Date]]&lt;&gt;""),Main[[#This Row],[In Stock Date]]-Main[[#This Row],[Revised Due Date]],"")</f>
        <v/>
      </c>
      <c r="I658" s="65" t="s">
        <v>4</v>
      </c>
      <c r="J658" s="65" t="s">
        <v>4</v>
      </c>
      <c r="K658" s="65" t="s">
        <v>4</v>
      </c>
      <c r="L658" s="67"/>
      <c r="M658" s="69" t="str">
        <f>IF(Main[[#This Row],[Tech Start Date]]&lt;1/1/1990,"",IF(Main[[#This Row],[Class]]="C",WORKDAY(Main[[#This Row],[Tech Start Date]],9),IF(Main[[#This Row],[Class]]="B", WORKDAY(Main[[#This Row],[Tech Start Date]],6),IF(Main[[#This Row],[Class]]="A",WORKDAY(Main[[#This Row],[Tech Start Date]],2),""))))</f>
        <v/>
      </c>
      <c r="N658" s="69" t="str">
        <f>IF(Main[[#This Row],[Tech Start Date]]&lt;1/1/1990,"",IF(Main[[#This Row],[Class]]="C",WORKDAY(Main[[#This Row],[Tech Start Date]],19),IF(Main[[#This Row],[Class]]="B", WORKDAY(Main[[#This Row],[Tech Start Date]],12),IF(Main[[#This Row],[Class]]="A",WORKDAY(Main[[#This Row],[Tech Start Date]],4),""))))</f>
        <v/>
      </c>
      <c r="O658" s="69" t="str">
        <f>IF(Main[[#This Row],[Tech Start Date]]&lt;1/1/1990,"",IF(Main[[#This Row],[Class]]="C",WORKDAY(Main[[#This Row],[Tech Start Date]],23),IF(Main[[#This Row],[Class]]="B", WORKDAY(Main[[#This Row],[Tech Start Date]],15),IF(Main[[#This Row],[Class]]="A",WORKDAY(Main[[#This Row],[Tech Start Date]],5),""))))</f>
        <v/>
      </c>
      <c r="P658" s="69" t="str">
        <f>IF(Main[[#This Row],[Tech Start Date]]&lt;1/1/1990,"",IF(Main[[#This Row],[Class]]="C",WORKDAY(Main[[#This Row],[Tech Start Date]],28),IF(Main[[#This Row],[Class]]="B", WORKDAY(Main[[#This Row],[Tech Start Date]],19),IF(Main[[#This Row],[Class]]="A",WORKDAY(Main[[#This Row],[Tech Start Date]],9),""))))</f>
        <v/>
      </c>
      <c r="Q658" s="67">
        <v>40173</v>
      </c>
      <c r="R658" s="67"/>
      <c r="S658" s="65" t="s">
        <v>11</v>
      </c>
      <c r="T658" s="70" t="s">
        <v>4</v>
      </c>
      <c r="U658" s="65" t="s">
        <v>14</v>
      </c>
      <c r="V658" s="65" t="s">
        <v>1917</v>
      </c>
      <c r="W658" s="65" t="s">
        <v>1923</v>
      </c>
      <c r="X658" s="65" t="s">
        <v>2877</v>
      </c>
      <c r="Y658" s="65" t="s">
        <v>4</v>
      </c>
      <c r="Z658" s="65" t="s">
        <v>4</v>
      </c>
      <c r="AA658" s="65" t="s">
        <v>2877</v>
      </c>
    </row>
    <row r="659" spans="1:27" ht="17.45" customHeight="1">
      <c r="A659" s="131" t="str">
        <f>IF(priority(Main[[#This Row],[Comments]])&lt;&gt;0, priority(Main[[#This Row],[Comments]]),"")</f>
        <v/>
      </c>
      <c r="B659" s="99" t="s">
        <v>1495</v>
      </c>
      <c r="C659" s="65" t="s">
        <v>4</v>
      </c>
      <c r="D659" s="66" t="s">
        <v>97</v>
      </c>
      <c r="E659" s="67"/>
      <c r="F659" s="67"/>
      <c r="G659" s="64" t="str">
        <f>IF(stdProdLT(Main[[#This Row],[Comments]])=0.1,"N/A",IF(stdProdLT(Main[[#This Row],[Comments]])=0,"",stdProdLT(Main[[#This Row],[Comments]])))</f>
        <v/>
      </c>
      <c r="H659" s="68" t="str">
        <f>IF(AND(Main[[#This Row],[In Stock Date]]&lt;&gt;"",Main[[#This Row],[Revised Due Date]]&lt;&gt;""),Main[[#This Row],[In Stock Date]]-Main[[#This Row],[Revised Due Date]],"")</f>
        <v/>
      </c>
      <c r="I659" s="65" t="s">
        <v>4</v>
      </c>
      <c r="J659" s="65" t="s">
        <v>4</v>
      </c>
      <c r="K659" s="65" t="s">
        <v>4</v>
      </c>
      <c r="L659" s="67"/>
      <c r="M659" s="69" t="str">
        <f>IF(Main[[#This Row],[Tech Start Date]]&lt;1/1/1990,"",IF(Main[[#This Row],[Class]]="C",WORKDAY(Main[[#This Row],[Tech Start Date]],9),IF(Main[[#This Row],[Class]]="B", WORKDAY(Main[[#This Row],[Tech Start Date]],6),IF(Main[[#This Row],[Class]]="A",WORKDAY(Main[[#This Row],[Tech Start Date]],2),""))))</f>
        <v/>
      </c>
      <c r="N659" s="69" t="str">
        <f>IF(Main[[#This Row],[Tech Start Date]]&lt;1/1/1990,"",IF(Main[[#This Row],[Class]]="C",WORKDAY(Main[[#This Row],[Tech Start Date]],19),IF(Main[[#This Row],[Class]]="B", WORKDAY(Main[[#This Row],[Tech Start Date]],12),IF(Main[[#This Row],[Class]]="A",WORKDAY(Main[[#This Row],[Tech Start Date]],4),""))))</f>
        <v/>
      </c>
      <c r="O659" s="69" t="str">
        <f>IF(Main[[#This Row],[Tech Start Date]]&lt;1/1/1990,"",IF(Main[[#This Row],[Class]]="C",WORKDAY(Main[[#This Row],[Tech Start Date]],23),IF(Main[[#This Row],[Class]]="B", WORKDAY(Main[[#This Row],[Tech Start Date]],15),IF(Main[[#This Row],[Class]]="A",WORKDAY(Main[[#This Row],[Tech Start Date]],5),""))))</f>
        <v/>
      </c>
      <c r="P659" s="69" t="str">
        <f>IF(Main[[#This Row],[Tech Start Date]]&lt;1/1/1990,"",IF(Main[[#This Row],[Class]]="C",WORKDAY(Main[[#This Row],[Tech Start Date]],28),IF(Main[[#This Row],[Class]]="B", WORKDAY(Main[[#This Row],[Tech Start Date]],19),IF(Main[[#This Row],[Class]]="A",WORKDAY(Main[[#This Row],[Tech Start Date]],9),""))))</f>
        <v/>
      </c>
      <c r="Q659" s="67">
        <v>40858</v>
      </c>
      <c r="R659" s="67"/>
      <c r="S659" s="65" t="s">
        <v>17</v>
      </c>
      <c r="T659" s="70" t="s">
        <v>4</v>
      </c>
      <c r="U659" s="65" t="s">
        <v>14</v>
      </c>
      <c r="V659" s="65" t="s">
        <v>1917</v>
      </c>
      <c r="W659" s="65" t="s">
        <v>1922</v>
      </c>
      <c r="X659" s="65" t="s">
        <v>50</v>
      </c>
      <c r="Y659" s="65" t="s">
        <v>2965</v>
      </c>
      <c r="Z659" s="65" t="s">
        <v>4</v>
      </c>
      <c r="AA659" s="65" t="s">
        <v>2834</v>
      </c>
    </row>
    <row r="660" spans="1:27" ht="17.45" customHeight="1">
      <c r="A660" s="131" t="str">
        <f>IF(priority(Main[[#This Row],[Comments]])&lt;&gt;0, priority(Main[[#This Row],[Comments]]),"")</f>
        <v/>
      </c>
      <c r="B660" s="99" t="s">
        <v>1496</v>
      </c>
      <c r="C660" s="65" t="s">
        <v>4</v>
      </c>
      <c r="D660" s="66" t="s">
        <v>39</v>
      </c>
      <c r="E660" s="67"/>
      <c r="F660" s="67"/>
      <c r="G660" s="64" t="str">
        <f>IF(stdProdLT(Main[[#This Row],[Comments]])=0.1,"N/A",IF(stdProdLT(Main[[#This Row],[Comments]])=0,"",stdProdLT(Main[[#This Row],[Comments]])))</f>
        <v/>
      </c>
      <c r="H660" s="68" t="str">
        <f>IF(AND(Main[[#This Row],[In Stock Date]]&lt;&gt;"",Main[[#This Row],[Revised Due Date]]&lt;&gt;""),Main[[#This Row],[In Stock Date]]-Main[[#This Row],[Revised Due Date]],"")</f>
        <v/>
      </c>
      <c r="I660" s="65" t="s">
        <v>4</v>
      </c>
      <c r="J660" s="65" t="s">
        <v>4</v>
      </c>
      <c r="K660" s="65" t="s">
        <v>4</v>
      </c>
      <c r="L660" s="67"/>
      <c r="M660" s="69" t="str">
        <f>IF(Main[[#This Row],[Tech Start Date]]&lt;1/1/1990,"",IF(Main[[#This Row],[Class]]="C",WORKDAY(Main[[#This Row],[Tech Start Date]],9),IF(Main[[#This Row],[Class]]="B", WORKDAY(Main[[#This Row],[Tech Start Date]],6),IF(Main[[#This Row],[Class]]="A",WORKDAY(Main[[#This Row],[Tech Start Date]],2),""))))</f>
        <v/>
      </c>
      <c r="N660" s="69" t="str">
        <f>IF(Main[[#This Row],[Tech Start Date]]&lt;1/1/1990,"",IF(Main[[#This Row],[Class]]="C",WORKDAY(Main[[#This Row],[Tech Start Date]],19),IF(Main[[#This Row],[Class]]="B", WORKDAY(Main[[#This Row],[Tech Start Date]],12),IF(Main[[#This Row],[Class]]="A",WORKDAY(Main[[#This Row],[Tech Start Date]],4),""))))</f>
        <v/>
      </c>
      <c r="O660" s="69" t="str">
        <f>IF(Main[[#This Row],[Tech Start Date]]&lt;1/1/1990,"",IF(Main[[#This Row],[Class]]="C",WORKDAY(Main[[#This Row],[Tech Start Date]],23),IF(Main[[#This Row],[Class]]="B", WORKDAY(Main[[#This Row],[Tech Start Date]],15),IF(Main[[#This Row],[Class]]="A",WORKDAY(Main[[#This Row],[Tech Start Date]],5),""))))</f>
        <v/>
      </c>
      <c r="P660" s="69" t="str">
        <f>IF(Main[[#This Row],[Tech Start Date]]&lt;1/1/1990,"",IF(Main[[#This Row],[Class]]="C",WORKDAY(Main[[#This Row],[Tech Start Date]],28),IF(Main[[#This Row],[Class]]="B", WORKDAY(Main[[#This Row],[Tech Start Date]],19),IF(Main[[#This Row],[Class]]="A",WORKDAY(Main[[#This Row],[Tech Start Date]],9),""))))</f>
        <v/>
      </c>
      <c r="Q660" s="67">
        <v>40669</v>
      </c>
      <c r="R660" s="67"/>
      <c r="S660" s="65" t="s">
        <v>6</v>
      </c>
      <c r="T660" s="70" t="s">
        <v>4</v>
      </c>
      <c r="U660" s="65" t="s">
        <v>14</v>
      </c>
      <c r="V660" s="65" t="s">
        <v>1920</v>
      </c>
      <c r="W660" s="65" t="s">
        <v>4</v>
      </c>
      <c r="X660" s="65" t="s">
        <v>2824</v>
      </c>
      <c r="Y660" s="65" t="s">
        <v>2935</v>
      </c>
      <c r="Z660" s="65" t="s">
        <v>4</v>
      </c>
      <c r="AA660" s="65" t="s">
        <v>2824</v>
      </c>
    </row>
    <row r="661" spans="1:27" ht="17.45" customHeight="1">
      <c r="A661" s="131" t="str">
        <f>IF(priority(Main[[#This Row],[Comments]])&lt;&gt;0, priority(Main[[#This Row],[Comments]]),"")</f>
        <v/>
      </c>
      <c r="B661" s="99" t="s">
        <v>1497</v>
      </c>
      <c r="C661" s="65" t="s">
        <v>4</v>
      </c>
      <c r="D661" s="66" t="s">
        <v>599</v>
      </c>
      <c r="E661" s="67"/>
      <c r="F661" s="67"/>
      <c r="G661" s="64" t="str">
        <f>IF(stdProdLT(Main[[#This Row],[Comments]])=0.1,"N/A",IF(stdProdLT(Main[[#This Row],[Comments]])=0,"",stdProdLT(Main[[#This Row],[Comments]])))</f>
        <v/>
      </c>
      <c r="H661" s="68" t="str">
        <f>IF(AND(Main[[#This Row],[In Stock Date]]&lt;&gt;"",Main[[#This Row],[Revised Due Date]]&lt;&gt;""),Main[[#This Row],[In Stock Date]]-Main[[#This Row],[Revised Due Date]],"")</f>
        <v/>
      </c>
      <c r="I661" s="65" t="s">
        <v>4</v>
      </c>
      <c r="J661" s="65" t="s">
        <v>28</v>
      </c>
      <c r="K661" s="65" t="s">
        <v>4</v>
      </c>
      <c r="L661" s="67"/>
      <c r="M661" s="69" t="str">
        <f>IF(Main[[#This Row],[Tech Start Date]]&lt;1/1/1990,"",IF(Main[[#This Row],[Class]]="C",WORKDAY(Main[[#This Row],[Tech Start Date]],9),IF(Main[[#This Row],[Class]]="B", WORKDAY(Main[[#This Row],[Tech Start Date]],6),IF(Main[[#This Row],[Class]]="A",WORKDAY(Main[[#This Row],[Tech Start Date]],2),""))))</f>
        <v/>
      </c>
      <c r="N661" s="69" t="str">
        <f>IF(Main[[#This Row],[Tech Start Date]]&lt;1/1/1990,"",IF(Main[[#This Row],[Class]]="C",WORKDAY(Main[[#This Row],[Tech Start Date]],19),IF(Main[[#This Row],[Class]]="B", WORKDAY(Main[[#This Row],[Tech Start Date]],12),IF(Main[[#This Row],[Class]]="A",WORKDAY(Main[[#This Row],[Tech Start Date]],4),""))))</f>
        <v/>
      </c>
      <c r="O661" s="69" t="str">
        <f>IF(Main[[#This Row],[Tech Start Date]]&lt;1/1/1990,"",IF(Main[[#This Row],[Class]]="C",WORKDAY(Main[[#This Row],[Tech Start Date]],23),IF(Main[[#This Row],[Class]]="B", WORKDAY(Main[[#This Row],[Tech Start Date]],15),IF(Main[[#This Row],[Class]]="A",WORKDAY(Main[[#This Row],[Tech Start Date]],5),""))))</f>
        <v/>
      </c>
      <c r="P661" s="69" t="str">
        <f>IF(Main[[#This Row],[Tech Start Date]]&lt;1/1/1990,"",IF(Main[[#This Row],[Class]]="C",WORKDAY(Main[[#This Row],[Tech Start Date]],28),IF(Main[[#This Row],[Class]]="B", WORKDAY(Main[[#This Row],[Tech Start Date]],19),IF(Main[[#This Row],[Class]]="A",WORKDAY(Main[[#This Row],[Tech Start Date]],9),""))))</f>
        <v/>
      </c>
      <c r="Q661" s="67">
        <v>40482</v>
      </c>
      <c r="R661" s="67"/>
      <c r="S661" s="65" t="s">
        <v>6</v>
      </c>
      <c r="T661" s="70" t="s">
        <v>4</v>
      </c>
      <c r="U661" s="65" t="s">
        <v>14</v>
      </c>
      <c r="V661" s="65" t="s">
        <v>1920</v>
      </c>
      <c r="W661" s="65" t="s">
        <v>1921</v>
      </c>
      <c r="X661" s="65" t="s">
        <v>2893</v>
      </c>
      <c r="Y661" s="65" t="s">
        <v>3049</v>
      </c>
      <c r="Z661" s="65" t="s">
        <v>530</v>
      </c>
      <c r="AA661" s="65" t="s">
        <v>2893</v>
      </c>
    </row>
    <row r="662" spans="1:27" ht="17.45" customHeight="1">
      <c r="A662" s="131" t="str">
        <f>IF(priority(Main[[#This Row],[Comments]])&lt;&gt;0, priority(Main[[#This Row],[Comments]]),"")</f>
        <v/>
      </c>
      <c r="B662" s="99" t="s">
        <v>2095</v>
      </c>
      <c r="C662" s="65" t="s">
        <v>4</v>
      </c>
      <c r="D662" s="66" t="s">
        <v>2096</v>
      </c>
      <c r="E662" s="67"/>
      <c r="F662" s="67"/>
      <c r="G662" s="64" t="str">
        <f>IF(stdProdLT(Main[[#This Row],[Comments]])=0.1,"N/A",IF(stdProdLT(Main[[#This Row],[Comments]])=0,"",stdProdLT(Main[[#This Row],[Comments]])))</f>
        <v/>
      </c>
      <c r="H662" s="68" t="str">
        <f>IF(AND(Main[[#This Row],[In Stock Date]]&lt;&gt;"",Main[[#This Row],[Revised Due Date]]&lt;&gt;""),Main[[#This Row],[In Stock Date]]-Main[[#This Row],[Revised Due Date]],"")</f>
        <v/>
      </c>
      <c r="I662" s="65" t="s">
        <v>4</v>
      </c>
      <c r="J662" s="65" t="s">
        <v>4</v>
      </c>
      <c r="K662" s="65" t="s">
        <v>4</v>
      </c>
      <c r="L662" s="67"/>
      <c r="M662" s="69" t="str">
        <f>IF(Main[[#This Row],[Tech Start Date]]&lt;1/1/1990,"",IF(Main[[#This Row],[Class]]="C",WORKDAY(Main[[#This Row],[Tech Start Date]],9),IF(Main[[#This Row],[Class]]="B", WORKDAY(Main[[#This Row],[Tech Start Date]],6),IF(Main[[#This Row],[Class]]="A",WORKDAY(Main[[#This Row],[Tech Start Date]],2),""))))</f>
        <v/>
      </c>
      <c r="N662" s="69" t="str">
        <f>IF(Main[[#This Row],[Tech Start Date]]&lt;1/1/1990,"",IF(Main[[#This Row],[Class]]="C",WORKDAY(Main[[#This Row],[Tech Start Date]],19),IF(Main[[#This Row],[Class]]="B", WORKDAY(Main[[#This Row],[Tech Start Date]],12),IF(Main[[#This Row],[Class]]="A",WORKDAY(Main[[#This Row],[Tech Start Date]],4),""))))</f>
        <v/>
      </c>
      <c r="O662" s="69" t="str">
        <f>IF(Main[[#This Row],[Tech Start Date]]&lt;1/1/1990,"",IF(Main[[#This Row],[Class]]="C",WORKDAY(Main[[#This Row],[Tech Start Date]],23),IF(Main[[#This Row],[Class]]="B", WORKDAY(Main[[#This Row],[Tech Start Date]],15),IF(Main[[#This Row],[Class]]="A",WORKDAY(Main[[#This Row],[Tech Start Date]],5),""))))</f>
        <v/>
      </c>
      <c r="P662" s="69" t="str">
        <f>IF(Main[[#This Row],[Tech Start Date]]&lt;1/1/1990,"",IF(Main[[#This Row],[Class]]="C",WORKDAY(Main[[#This Row],[Tech Start Date]],28),IF(Main[[#This Row],[Class]]="B", WORKDAY(Main[[#This Row],[Tech Start Date]],19),IF(Main[[#This Row],[Class]]="A",WORKDAY(Main[[#This Row],[Tech Start Date]],9),""))))</f>
        <v/>
      </c>
      <c r="Q662" s="67"/>
      <c r="R662" s="67"/>
      <c r="S662" s="65" t="s">
        <v>6</v>
      </c>
      <c r="T662" s="70" t="s">
        <v>4</v>
      </c>
      <c r="U662" s="65" t="s">
        <v>14</v>
      </c>
      <c r="V662" s="65" t="s">
        <v>1920</v>
      </c>
      <c r="W662" s="65" t="s">
        <v>1921</v>
      </c>
      <c r="X662" s="65" t="s">
        <v>306</v>
      </c>
      <c r="Y662" s="65" t="s">
        <v>4</v>
      </c>
      <c r="Z662" s="65" t="s">
        <v>4</v>
      </c>
      <c r="AA662" s="65" t="s">
        <v>4</v>
      </c>
    </row>
    <row r="663" spans="1:27" ht="17.45" customHeight="1">
      <c r="A663" s="131" t="str">
        <f>IF(priority(Main[[#This Row],[Comments]])&lt;&gt;0, priority(Main[[#This Row],[Comments]]),"")</f>
        <v/>
      </c>
      <c r="B663" s="99" t="s">
        <v>1499</v>
      </c>
      <c r="C663" s="65" t="s">
        <v>601</v>
      </c>
      <c r="D663" s="66" t="s">
        <v>602</v>
      </c>
      <c r="E663" s="67"/>
      <c r="F663" s="67"/>
      <c r="G663" s="64" t="str">
        <f>IF(stdProdLT(Main[[#This Row],[Comments]])=0.1,"N/A",IF(stdProdLT(Main[[#This Row],[Comments]])=0,"",stdProdLT(Main[[#This Row],[Comments]])))</f>
        <v/>
      </c>
      <c r="H663" s="68" t="str">
        <f>IF(AND(Main[[#This Row],[In Stock Date]]&lt;&gt;"",Main[[#This Row],[Revised Due Date]]&lt;&gt;""),Main[[#This Row],[In Stock Date]]-Main[[#This Row],[Revised Due Date]],"")</f>
        <v/>
      </c>
      <c r="I663" s="65" t="s">
        <v>4</v>
      </c>
      <c r="J663" s="65" t="s">
        <v>4</v>
      </c>
      <c r="K663" s="65" t="s">
        <v>4</v>
      </c>
      <c r="L663" s="67"/>
      <c r="M663" s="69" t="str">
        <f>IF(Main[[#This Row],[Tech Start Date]]&lt;1/1/1990,"",IF(Main[[#This Row],[Class]]="C",WORKDAY(Main[[#This Row],[Tech Start Date]],9),IF(Main[[#This Row],[Class]]="B", WORKDAY(Main[[#This Row],[Tech Start Date]],6),IF(Main[[#This Row],[Class]]="A",WORKDAY(Main[[#This Row],[Tech Start Date]],2),""))))</f>
        <v/>
      </c>
      <c r="N663" s="69" t="str">
        <f>IF(Main[[#This Row],[Tech Start Date]]&lt;1/1/1990,"",IF(Main[[#This Row],[Class]]="C",WORKDAY(Main[[#This Row],[Tech Start Date]],19),IF(Main[[#This Row],[Class]]="B", WORKDAY(Main[[#This Row],[Tech Start Date]],12),IF(Main[[#This Row],[Class]]="A",WORKDAY(Main[[#This Row],[Tech Start Date]],4),""))))</f>
        <v/>
      </c>
      <c r="O663" s="69" t="str">
        <f>IF(Main[[#This Row],[Tech Start Date]]&lt;1/1/1990,"",IF(Main[[#This Row],[Class]]="C",WORKDAY(Main[[#This Row],[Tech Start Date]],23),IF(Main[[#This Row],[Class]]="B", WORKDAY(Main[[#This Row],[Tech Start Date]],15),IF(Main[[#This Row],[Class]]="A",WORKDAY(Main[[#This Row],[Tech Start Date]],5),""))))</f>
        <v/>
      </c>
      <c r="P663" s="69" t="str">
        <f>IF(Main[[#This Row],[Tech Start Date]]&lt;1/1/1990,"",IF(Main[[#This Row],[Class]]="C",WORKDAY(Main[[#This Row],[Tech Start Date]],28),IF(Main[[#This Row],[Class]]="B", WORKDAY(Main[[#This Row],[Tech Start Date]],19),IF(Main[[#This Row],[Class]]="A",WORKDAY(Main[[#This Row],[Tech Start Date]],9),""))))</f>
        <v/>
      </c>
      <c r="Q663" s="67">
        <v>40219</v>
      </c>
      <c r="R663" s="67"/>
      <c r="S663" s="65" t="s">
        <v>11</v>
      </c>
      <c r="T663" s="70" t="s">
        <v>4</v>
      </c>
      <c r="U663" s="65" t="s">
        <v>14</v>
      </c>
      <c r="V663" s="65" t="s">
        <v>1920</v>
      </c>
      <c r="W663" s="65" t="s">
        <v>1919</v>
      </c>
      <c r="X663" s="65" t="s">
        <v>2900</v>
      </c>
      <c r="Y663" s="65" t="s">
        <v>4</v>
      </c>
      <c r="Z663" s="65" t="s">
        <v>4</v>
      </c>
      <c r="AA663" s="65" t="s">
        <v>2900</v>
      </c>
    </row>
    <row r="664" spans="1:27" ht="17.45" customHeight="1">
      <c r="A664" s="131" t="str">
        <f>IF(priority(Main[[#This Row],[Comments]])&lt;&gt;0, priority(Main[[#This Row],[Comments]]),"")</f>
        <v/>
      </c>
      <c r="B664" s="99" t="s">
        <v>1500</v>
      </c>
      <c r="C664" s="65" t="s">
        <v>4</v>
      </c>
      <c r="D664" s="66" t="s">
        <v>603</v>
      </c>
      <c r="E664" s="67"/>
      <c r="F664" s="67"/>
      <c r="G664" s="64" t="str">
        <f>IF(stdProdLT(Main[[#This Row],[Comments]])=0.1,"N/A",IF(stdProdLT(Main[[#This Row],[Comments]])=0,"",stdProdLT(Main[[#This Row],[Comments]])))</f>
        <v/>
      </c>
      <c r="H664" s="68" t="str">
        <f>IF(AND(Main[[#This Row],[In Stock Date]]&lt;&gt;"",Main[[#This Row],[Revised Due Date]]&lt;&gt;""),Main[[#This Row],[In Stock Date]]-Main[[#This Row],[Revised Due Date]],"")</f>
        <v/>
      </c>
      <c r="I664" s="65" t="s">
        <v>81</v>
      </c>
      <c r="J664" s="65" t="s">
        <v>4</v>
      </c>
      <c r="K664" s="71" t="s">
        <v>4</v>
      </c>
      <c r="L664" s="67"/>
      <c r="M664" s="69" t="str">
        <f>IF(Main[[#This Row],[Tech Start Date]]&lt;1/1/1990,"",IF(Main[[#This Row],[Class]]="C",WORKDAY(Main[[#This Row],[Tech Start Date]],9),IF(Main[[#This Row],[Class]]="B", WORKDAY(Main[[#This Row],[Tech Start Date]],6),IF(Main[[#This Row],[Class]]="A",WORKDAY(Main[[#This Row],[Tech Start Date]],2),""))))</f>
        <v/>
      </c>
      <c r="N664" s="69" t="str">
        <f>IF(Main[[#This Row],[Tech Start Date]]&lt;1/1/1990,"",IF(Main[[#This Row],[Class]]="C",WORKDAY(Main[[#This Row],[Tech Start Date]],19),IF(Main[[#This Row],[Class]]="B", WORKDAY(Main[[#This Row],[Tech Start Date]],12),IF(Main[[#This Row],[Class]]="A",WORKDAY(Main[[#This Row],[Tech Start Date]],4),""))))</f>
        <v/>
      </c>
      <c r="O664" s="69" t="str">
        <f>IF(Main[[#This Row],[Tech Start Date]]&lt;1/1/1990,"",IF(Main[[#This Row],[Class]]="C",WORKDAY(Main[[#This Row],[Tech Start Date]],23),IF(Main[[#This Row],[Class]]="B", WORKDAY(Main[[#This Row],[Tech Start Date]],15),IF(Main[[#This Row],[Class]]="A",WORKDAY(Main[[#This Row],[Tech Start Date]],5),""))))</f>
        <v/>
      </c>
      <c r="P664" s="69" t="str">
        <f>IF(Main[[#This Row],[Tech Start Date]]&lt;1/1/1990,"",IF(Main[[#This Row],[Class]]="C",WORKDAY(Main[[#This Row],[Tech Start Date]],28),IF(Main[[#This Row],[Class]]="B", WORKDAY(Main[[#This Row],[Tech Start Date]],19),IF(Main[[#This Row],[Class]]="A",WORKDAY(Main[[#This Row],[Tech Start Date]],9),""))))</f>
        <v/>
      </c>
      <c r="Q664" s="67">
        <v>40390</v>
      </c>
      <c r="R664" s="67"/>
      <c r="S664" s="65" t="s">
        <v>6</v>
      </c>
      <c r="T664" s="70" t="s">
        <v>4</v>
      </c>
      <c r="U664" s="65" t="s">
        <v>14</v>
      </c>
      <c r="V664" s="65" t="s">
        <v>1920</v>
      </c>
      <c r="W664" s="65" t="s">
        <v>4</v>
      </c>
      <c r="X664" s="65" t="s">
        <v>2825</v>
      </c>
      <c r="Y664" s="65" t="s">
        <v>2938</v>
      </c>
      <c r="Z664" s="65" t="s">
        <v>44</v>
      </c>
      <c r="AA664" s="65" t="s">
        <v>2825</v>
      </c>
    </row>
    <row r="665" spans="1:27" ht="17.45" customHeight="1">
      <c r="A665" s="131" t="str">
        <f>IF(priority(Main[[#This Row],[Comments]])&lt;&gt;0, priority(Main[[#This Row],[Comments]]),"")</f>
        <v/>
      </c>
      <c r="B665" s="99" t="s">
        <v>1501</v>
      </c>
      <c r="C665" s="65" t="s">
        <v>93</v>
      </c>
      <c r="D665" s="66" t="s">
        <v>604</v>
      </c>
      <c r="E665" s="67"/>
      <c r="F665" s="67">
        <v>40299</v>
      </c>
      <c r="G665" s="64" t="str">
        <f>IF(stdProdLT(Main[[#This Row],[Comments]])=0.1,"N/A",IF(stdProdLT(Main[[#This Row],[Comments]])=0,"",stdProdLT(Main[[#This Row],[Comments]])))</f>
        <v/>
      </c>
      <c r="H665" s="68" t="str">
        <f>IF(AND(Main[[#This Row],[In Stock Date]]&lt;&gt;"",Main[[#This Row],[Revised Due Date]]&lt;&gt;""),Main[[#This Row],[In Stock Date]]-Main[[#This Row],[Revised Due Date]],"")</f>
        <v/>
      </c>
      <c r="I665" s="65" t="s">
        <v>4</v>
      </c>
      <c r="J665" s="65" t="s">
        <v>4</v>
      </c>
      <c r="K665" s="65" t="s">
        <v>4</v>
      </c>
      <c r="L665" s="67"/>
      <c r="M665" s="69" t="str">
        <f>IF(Main[[#This Row],[Tech Start Date]]&lt;1/1/1990,"",IF(Main[[#This Row],[Class]]="C",WORKDAY(Main[[#This Row],[Tech Start Date]],9),IF(Main[[#This Row],[Class]]="B", WORKDAY(Main[[#This Row],[Tech Start Date]],6),IF(Main[[#This Row],[Class]]="A",WORKDAY(Main[[#This Row],[Tech Start Date]],2),""))))</f>
        <v/>
      </c>
      <c r="N665" s="69" t="str">
        <f>IF(Main[[#This Row],[Tech Start Date]]&lt;1/1/1990,"",IF(Main[[#This Row],[Class]]="C",WORKDAY(Main[[#This Row],[Tech Start Date]],19),IF(Main[[#This Row],[Class]]="B", WORKDAY(Main[[#This Row],[Tech Start Date]],12),IF(Main[[#This Row],[Class]]="A",WORKDAY(Main[[#This Row],[Tech Start Date]],4),""))))</f>
        <v/>
      </c>
      <c r="O665" s="69" t="str">
        <f>IF(Main[[#This Row],[Tech Start Date]]&lt;1/1/1990,"",IF(Main[[#This Row],[Class]]="C",WORKDAY(Main[[#This Row],[Tech Start Date]],23),IF(Main[[#This Row],[Class]]="B", WORKDAY(Main[[#This Row],[Tech Start Date]],15),IF(Main[[#This Row],[Class]]="A",WORKDAY(Main[[#This Row],[Tech Start Date]],5),""))))</f>
        <v/>
      </c>
      <c r="P665" s="69" t="str">
        <f>IF(Main[[#This Row],[Tech Start Date]]&lt;1/1/1990,"",IF(Main[[#This Row],[Class]]="C",WORKDAY(Main[[#This Row],[Tech Start Date]],28),IF(Main[[#This Row],[Class]]="B", WORKDAY(Main[[#This Row],[Tech Start Date]],19),IF(Main[[#This Row],[Class]]="A",WORKDAY(Main[[#This Row],[Tech Start Date]],9),""))))</f>
        <v/>
      </c>
      <c r="Q665" s="67">
        <v>40214</v>
      </c>
      <c r="R665" s="67"/>
      <c r="S665" s="65" t="s">
        <v>11</v>
      </c>
      <c r="T665" s="70" t="s">
        <v>4</v>
      </c>
      <c r="U665" s="65" t="s">
        <v>12</v>
      </c>
      <c r="V665" s="65" t="s">
        <v>1917</v>
      </c>
      <c r="W665" s="65" t="s">
        <v>1923</v>
      </c>
      <c r="X665" s="65" t="s">
        <v>2851</v>
      </c>
      <c r="Y665" s="65" t="s">
        <v>4</v>
      </c>
      <c r="Z665" s="65" t="s">
        <v>4</v>
      </c>
      <c r="AA665" s="65" t="s">
        <v>2851</v>
      </c>
    </row>
    <row r="666" spans="1:27" ht="17.45" customHeight="1">
      <c r="A666" s="131" t="str">
        <f>IF(priority(Main[[#This Row],[Comments]])&lt;&gt;0, priority(Main[[#This Row],[Comments]]),"")</f>
        <v/>
      </c>
      <c r="B666" s="99" t="s">
        <v>1188</v>
      </c>
      <c r="C666" s="65" t="s">
        <v>4</v>
      </c>
      <c r="D666" s="66" t="s">
        <v>247</v>
      </c>
      <c r="E666" s="67"/>
      <c r="F666" s="67"/>
      <c r="G666" s="64" t="str">
        <f>IF(stdProdLT(Main[[#This Row],[Comments]])=0.1,"N/A",IF(stdProdLT(Main[[#This Row],[Comments]])=0,"",stdProdLT(Main[[#This Row],[Comments]])))</f>
        <v/>
      </c>
      <c r="H666" s="68" t="str">
        <f>IF(AND(Main[[#This Row],[In Stock Date]]&lt;&gt;"",Main[[#This Row],[Revised Due Date]]&lt;&gt;""),Main[[#This Row],[In Stock Date]]-Main[[#This Row],[Revised Due Date]],"")</f>
        <v/>
      </c>
      <c r="I666" s="65" t="s">
        <v>4</v>
      </c>
      <c r="J666" s="65" t="s">
        <v>28</v>
      </c>
      <c r="K666" s="65" t="s">
        <v>4</v>
      </c>
      <c r="L666" s="67"/>
      <c r="M666" s="69" t="str">
        <f>IF(Main[[#This Row],[Tech Start Date]]&lt;1/1/1990,"",IF(Main[[#This Row],[Class]]="C",WORKDAY(Main[[#This Row],[Tech Start Date]],9),IF(Main[[#This Row],[Class]]="B", WORKDAY(Main[[#This Row],[Tech Start Date]],6),IF(Main[[#This Row],[Class]]="A",WORKDAY(Main[[#This Row],[Tech Start Date]],2),""))))</f>
        <v/>
      </c>
      <c r="N666" s="69" t="str">
        <f>IF(Main[[#This Row],[Tech Start Date]]&lt;1/1/1990,"",IF(Main[[#This Row],[Class]]="C",WORKDAY(Main[[#This Row],[Tech Start Date]],19),IF(Main[[#This Row],[Class]]="B", WORKDAY(Main[[#This Row],[Tech Start Date]],12),IF(Main[[#This Row],[Class]]="A",WORKDAY(Main[[#This Row],[Tech Start Date]],4),""))))</f>
        <v/>
      </c>
      <c r="O666" s="69" t="str">
        <f>IF(Main[[#This Row],[Tech Start Date]]&lt;1/1/1990,"",IF(Main[[#This Row],[Class]]="C",WORKDAY(Main[[#This Row],[Tech Start Date]],23),IF(Main[[#This Row],[Class]]="B", WORKDAY(Main[[#This Row],[Tech Start Date]],15),IF(Main[[#This Row],[Class]]="A",WORKDAY(Main[[#This Row],[Tech Start Date]],5),""))))</f>
        <v/>
      </c>
      <c r="P666" s="69" t="str">
        <f>IF(Main[[#This Row],[Tech Start Date]]&lt;1/1/1990,"",IF(Main[[#This Row],[Class]]="C",WORKDAY(Main[[#This Row],[Tech Start Date]],28),IF(Main[[#This Row],[Class]]="B", WORKDAY(Main[[#This Row],[Tech Start Date]],19),IF(Main[[#This Row],[Class]]="A",WORKDAY(Main[[#This Row],[Tech Start Date]],9),""))))</f>
        <v/>
      </c>
      <c r="Q666" s="67">
        <v>40480</v>
      </c>
      <c r="R666" s="67"/>
      <c r="S666" s="65" t="s">
        <v>6</v>
      </c>
      <c r="T666" s="70" t="s">
        <v>4</v>
      </c>
      <c r="U666" s="65" t="s">
        <v>14</v>
      </c>
      <c r="V666" s="65" t="s">
        <v>1917</v>
      </c>
      <c r="W666" s="65" t="s">
        <v>1925</v>
      </c>
      <c r="X666" s="65" t="s">
        <v>2901</v>
      </c>
      <c r="Y666" s="65" t="s">
        <v>3066</v>
      </c>
      <c r="Z666" s="65" t="s">
        <v>129</v>
      </c>
      <c r="AA666" s="65" t="s">
        <v>2901</v>
      </c>
    </row>
    <row r="667" spans="1:27" ht="17.45" customHeight="1">
      <c r="A667" s="131" t="str">
        <f>IF(priority(Main[[#This Row],[Comments]])&lt;&gt;0, priority(Main[[#This Row],[Comments]]),"")</f>
        <v/>
      </c>
      <c r="B667" s="99" t="s">
        <v>1502</v>
      </c>
      <c r="C667" s="65" t="s">
        <v>31</v>
      </c>
      <c r="D667" s="66" t="s">
        <v>605</v>
      </c>
      <c r="E667" s="67"/>
      <c r="F667" s="67">
        <v>40330</v>
      </c>
      <c r="G667" s="64" t="str">
        <f>IF(stdProdLT(Main[[#This Row],[Comments]])=0.1,"N/A",IF(stdProdLT(Main[[#This Row],[Comments]])=0,"",stdProdLT(Main[[#This Row],[Comments]])))</f>
        <v/>
      </c>
      <c r="H667" s="68" t="str">
        <f>IF(AND(Main[[#This Row],[In Stock Date]]&lt;&gt;"",Main[[#This Row],[Revised Due Date]]&lt;&gt;""),Main[[#This Row],[In Stock Date]]-Main[[#This Row],[Revised Due Date]],"")</f>
        <v/>
      </c>
      <c r="I667" s="65" t="s">
        <v>417</v>
      </c>
      <c r="J667" s="65" t="s">
        <v>4</v>
      </c>
      <c r="K667" s="65" t="s">
        <v>4</v>
      </c>
      <c r="L667" s="67"/>
      <c r="M667" s="69" t="str">
        <f>IF(Main[[#This Row],[Tech Start Date]]&lt;1/1/1990,"",IF(Main[[#This Row],[Class]]="C",WORKDAY(Main[[#This Row],[Tech Start Date]],9),IF(Main[[#This Row],[Class]]="B", WORKDAY(Main[[#This Row],[Tech Start Date]],6),IF(Main[[#This Row],[Class]]="A",WORKDAY(Main[[#This Row],[Tech Start Date]],2),""))))</f>
        <v/>
      </c>
      <c r="N667" s="69" t="str">
        <f>IF(Main[[#This Row],[Tech Start Date]]&lt;1/1/1990,"",IF(Main[[#This Row],[Class]]="C",WORKDAY(Main[[#This Row],[Tech Start Date]],19),IF(Main[[#This Row],[Class]]="B", WORKDAY(Main[[#This Row],[Tech Start Date]],12),IF(Main[[#This Row],[Class]]="A",WORKDAY(Main[[#This Row],[Tech Start Date]],4),""))))</f>
        <v/>
      </c>
      <c r="O667" s="69" t="str">
        <f>IF(Main[[#This Row],[Tech Start Date]]&lt;1/1/1990,"",IF(Main[[#This Row],[Class]]="C",WORKDAY(Main[[#This Row],[Tech Start Date]],23),IF(Main[[#This Row],[Class]]="B", WORKDAY(Main[[#This Row],[Tech Start Date]],15),IF(Main[[#This Row],[Class]]="A",WORKDAY(Main[[#This Row],[Tech Start Date]],5),""))))</f>
        <v/>
      </c>
      <c r="P667" s="69" t="str">
        <f>IF(Main[[#This Row],[Tech Start Date]]&lt;1/1/1990,"",IF(Main[[#This Row],[Class]]="C",WORKDAY(Main[[#This Row],[Tech Start Date]],28),IF(Main[[#This Row],[Class]]="B", WORKDAY(Main[[#This Row],[Tech Start Date]],19),IF(Main[[#This Row],[Class]]="A",WORKDAY(Main[[#This Row],[Tech Start Date]],9),""))))</f>
        <v/>
      </c>
      <c r="Q667" s="67">
        <v>40210</v>
      </c>
      <c r="R667" s="67"/>
      <c r="S667" s="65" t="s">
        <v>11</v>
      </c>
      <c r="T667" s="70" t="s">
        <v>4</v>
      </c>
      <c r="U667" s="65" t="s">
        <v>14</v>
      </c>
      <c r="V667" s="65" t="s">
        <v>1920</v>
      </c>
      <c r="W667" s="65" t="s">
        <v>1923</v>
      </c>
      <c r="X667" s="65" t="s">
        <v>2830</v>
      </c>
      <c r="Y667" s="65" t="s">
        <v>2949</v>
      </c>
      <c r="Z667" s="65" t="s">
        <v>4</v>
      </c>
      <c r="AA667" s="65" t="s">
        <v>2830</v>
      </c>
    </row>
    <row r="668" spans="1:27" ht="17.45" customHeight="1">
      <c r="A668" s="131" t="str">
        <f>IF(priority(Main[[#This Row],[Comments]])&lt;&gt;0, priority(Main[[#This Row],[Comments]]),"")</f>
        <v/>
      </c>
      <c r="B668" s="99" t="s">
        <v>1503</v>
      </c>
      <c r="C668" s="65" t="s">
        <v>4</v>
      </c>
      <c r="D668" s="66" t="s">
        <v>606</v>
      </c>
      <c r="E668" s="67">
        <v>40312.431608796294</v>
      </c>
      <c r="F668" s="67"/>
      <c r="G668" s="64" t="str">
        <f>IF(stdProdLT(Main[[#This Row],[Comments]])=0.1,"N/A",IF(stdProdLT(Main[[#This Row],[Comments]])=0,"",stdProdLT(Main[[#This Row],[Comments]])))</f>
        <v/>
      </c>
      <c r="H668" s="68" t="str">
        <f>IF(AND(Main[[#This Row],[In Stock Date]]&lt;&gt;"",Main[[#This Row],[Revised Due Date]]&lt;&gt;""),Main[[#This Row],[In Stock Date]]-Main[[#This Row],[Revised Due Date]],"")</f>
        <v/>
      </c>
      <c r="I668" s="65" t="s">
        <v>129</v>
      </c>
      <c r="J668" s="65" t="s">
        <v>4</v>
      </c>
      <c r="K668" s="65" t="s">
        <v>4</v>
      </c>
      <c r="L668" s="67"/>
      <c r="M668" s="69" t="str">
        <f>IF(Main[[#This Row],[Tech Start Date]]&lt;1/1/1990,"",IF(Main[[#This Row],[Class]]="C",WORKDAY(Main[[#This Row],[Tech Start Date]],9),IF(Main[[#This Row],[Class]]="B", WORKDAY(Main[[#This Row],[Tech Start Date]],6),IF(Main[[#This Row],[Class]]="A",WORKDAY(Main[[#This Row],[Tech Start Date]],2),""))))</f>
        <v/>
      </c>
      <c r="N668" s="69" t="str">
        <f>IF(Main[[#This Row],[Tech Start Date]]&lt;1/1/1990,"",IF(Main[[#This Row],[Class]]="C",WORKDAY(Main[[#This Row],[Tech Start Date]],19),IF(Main[[#This Row],[Class]]="B", WORKDAY(Main[[#This Row],[Tech Start Date]],12),IF(Main[[#This Row],[Class]]="A",WORKDAY(Main[[#This Row],[Tech Start Date]],4),""))))</f>
        <v/>
      </c>
      <c r="O668" s="69" t="str">
        <f>IF(Main[[#This Row],[Tech Start Date]]&lt;1/1/1990,"",IF(Main[[#This Row],[Class]]="C",WORKDAY(Main[[#This Row],[Tech Start Date]],23),IF(Main[[#This Row],[Class]]="B", WORKDAY(Main[[#This Row],[Tech Start Date]],15),IF(Main[[#This Row],[Class]]="A",WORKDAY(Main[[#This Row],[Tech Start Date]],5),""))))</f>
        <v/>
      </c>
      <c r="P668" s="69" t="str">
        <f>IF(Main[[#This Row],[Tech Start Date]]&lt;1/1/1990,"",IF(Main[[#This Row],[Class]]="C",WORKDAY(Main[[#This Row],[Tech Start Date]],28),IF(Main[[#This Row],[Class]]="B", WORKDAY(Main[[#This Row],[Tech Start Date]],19),IF(Main[[#This Row],[Class]]="A",WORKDAY(Main[[#This Row],[Tech Start Date]],9),""))))</f>
        <v/>
      </c>
      <c r="Q668" s="67">
        <v>40326</v>
      </c>
      <c r="R668" s="67"/>
      <c r="S668" s="65" t="s">
        <v>6</v>
      </c>
      <c r="T668" s="70" t="s">
        <v>4</v>
      </c>
      <c r="U668" s="65" t="s">
        <v>7</v>
      </c>
      <c r="V668" s="65" t="s">
        <v>1917</v>
      </c>
      <c r="W668" s="65" t="s">
        <v>1921</v>
      </c>
      <c r="X668" s="65" t="s">
        <v>102</v>
      </c>
      <c r="Y668" s="65" t="s">
        <v>3017</v>
      </c>
      <c r="Z668" s="65" t="s">
        <v>4</v>
      </c>
      <c r="AA668" s="65" t="s">
        <v>102</v>
      </c>
    </row>
    <row r="669" spans="1:27" ht="17.45" customHeight="1">
      <c r="A669" s="131" t="str">
        <f>IF(priority(Main[[#This Row],[Comments]])&lt;&gt;0, priority(Main[[#This Row],[Comments]]),"")</f>
        <v/>
      </c>
      <c r="B669" s="99" t="s">
        <v>1516</v>
      </c>
      <c r="C669" s="65" t="s">
        <v>4</v>
      </c>
      <c r="D669" s="66" t="s">
        <v>591</v>
      </c>
      <c r="E669" s="67"/>
      <c r="F669" s="67"/>
      <c r="G669" s="64" t="str">
        <f>IF(stdProdLT(Main[[#This Row],[Comments]])=0.1,"N/A",IF(stdProdLT(Main[[#This Row],[Comments]])=0,"",stdProdLT(Main[[#This Row],[Comments]])))</f>
        <v/>
      </c>
      <c r="H669" s="68" t="str">
        <f>IF(AND(Main[[#This Row],[In Stock Date]]&lt;&gt;"",Main[[#This Row],[Revised Due Date]]&lt;&gt;""),Main[[#This Row],[In Stock Date]]-Main[[#This Row],[Revised Due Date]],"")</f>
        <v/>
      </c>
      <c r="I669" s="65" t="s">
        <v>4</v>
      </c>
      <c r="J669" s="65" t="s">
        <v>4</v>
      </c>
      <c r="K669" s="65" t="s">
        <v>4</v>
      </c>
      <c r="L669" s="67"/>
      <c r="M669" s="69" t="str">
        <f>IF(Main[[#This Row],[Tech Start Date]]&lt;1/1/1990,"",IF(Main[[#This Row],[Class]]="C",WORKDAY(Main[[#This Row],[Tech Start Date]],9),IF(Main[[#This Row],[Class]]="B", WORKDAY(Main[[#This Row],[Tech Start Date]],6),IF(Main[[#This Row],[Class]]="A",WORKDAY(Main[[#This Row],[Tech Start Date]],2),""))))</f>
        <v/>
      </c>
      <c r="N669" s="69" t="str">
        <f>IF(Main[[#This Row],[Tech Start Date]]&lt;1/1/1990,"",IF(Main[[#This Row],[Class]]="C",WORKDAY(Main[[#This Row],[Tech Start Date]],19),IF(Main[[#This Row],[Class]]="B", WORKDAY(Main[[#This Row],[Tech Start Date]],12),IF(Main[[#This Row],[Class]]="A",WORKDAY(Main[[#This Row],[Tech Start Date]],4),""))))</f>
        <v/>
      </c>
      <c r="O669" s="69" t="str">
        <f>IF(Main[[#This Row],[Tech Start Date]]&lt;1/1/1990,"",IF(Main[[#This Row],[Class]]="C",WORKDAY(Main[[#This Row],[Tech Start Date]],23),IF(Main[[#This Row],[Class]]="B", WORKDAY(Main[[#This Row],[Tech Start Date]],15),IF(Main[[#This Row],[Class]]="A",WORKDAY(Main[[#This Row],[Tech Start Date]],5),""))))</f>
        <v/>
      </c>
      <c r="P669" s="69" t="str">
        <f>IF(Main[[#This Row],[Tech Start Date]]&lt;1/1/1990,"",IF(Main[[#This Row],[Class]]="C",WORKDAY(Main[[#This Row],[Tech Start Date]],28),IF(Main[[#This Row],[Class]]="B", WORKDAY(Main[[#This Row],[Tech Start Date]],19),IF(Main[[#This Row],[Class]]="A",WORKDAY(Main[[#This Row],[Tech Start Date]],9),""))))</f>
        <v/>
      </c>
      <c r="Q669" s="67"/>
      <c r="R669" s="67"/>
      <c r="S669" s="65" t="s">
        <v>23</v>
      </c>
      <c r="T669" s="70" t="s">
        <v>4</v>
      </c>
      <c r="U669" s="65" t="s">
        <v>14</v>
      </c>
      <c r="V669" s="65" t="s">
        <v>1917</v>
      </c>
      <c r="W669" s="65" t="s">
        <v>1921</v>
      </c>
      <c r="X669" s="65" t="s">
        <v>102</v>
      </c>
      <c r="Y669" s="65" t="s">
        <v>3074</v>
      </c>
      <c r="Z669" s="65" t="s">
        <v>4</v>
      </c>
      <c r="AA669" s="65" t="s">
        <v>3433</v>
      </c>
    </row>
    <row r="670" spans="1:27" ht="17.45" customHeight="1">
      <c r="A670" s="131" t="str">
        <f>IF(priority(Main[[#This Row],[Comments]])&lt;&gt;0, priority(Main[[#This Row],[Comments]]),"")</f>
        <v/>
      </c>
      <c r="B670" s="99" t="s">
        <v>1517</v>
      </c>
      <c r="C670" s="65" t="s">
        <v>4</v>
      </c>
      <c r="D670" s="66" t="s">
        <v>592</v>
      </c>
      <c r="E670" s="67"/>
      <c r="F670" s="67">
        <v>40047</v>
      </c>
      <c r="G670" s="64" t="str">
        <f>IF(stdProdLT(Main[[#This Row],[Comments]])=0.1,"N/A",IF(stdProdLT(Main[[#This Row],[Comments]])=0,"",stdProdLT(Main[[#This Row],[Comments]])))</f>
        <v/>
      </c>
      <c r="H670" s="68" t="str">
        <f>IF(AND(Main[[#This Row],[In Stock Date]]&lt;&gt;"",Main[[#This Row],[Revised Due Date]]&lt;&gt;""),Main[[#This Row],[In Stock Date]]-Main[[#This Row],[Revised Due Date]],"")</f>
        <v/>
      </c>
      <c r="I670" s="65" t="s">
        <v>4</v>
      </c>
      <c r="J670" s="65" t="s">
        <v>4</v>
      </c>
      <c r="K670" s="65" t="s">
        <v>4</v>
      </c>
      <c r="L670" s="67"/>
      <c r="M670" s="69" t="str">
        <f>IF(Main[[#This Row],[Tech Start Date]]&lt;1/1/1990,"",IF(Main[[#This Row],[Class]]="C",WORKDAY(Main[[#This Row],[Tech Start Date]],9),IF(Main[[#This Row],[Class]]="B", WORKDAY(Main[[#This Row],[Tech Start Date]],6),IF(Main[[#This Row],[Class]]="A",WORKDAY(Main[[#This Row],[Tech Start Date]],2),""))))</f>
        <v/>
      </c>
      <c r="N670" s="69" t="str">
        <f>IF(Main[[#This Row],[Tech Start Date]]&lt;1/1/1990,"",IF(Main[[#This Row],[Class]]="C",WORKDAY(Main[[#This Row],[Tech Start Date]],19),IF(Main[[#This Row],[Class]]="B", WORKDAY(Main[[#This Row],[Tech Start Date]],12),IF(Main[[#This Row],[Class]]="A",WORKDAY(Main[[#This Row],[Tech Start Date]],4),""))))</f>
        <v/>
      </c>
      <c r="O670" s="69" t="str">
        <f>IF(Main[[#This Row],[Tech Start Date]]&lt;1/1/1990,"",IF(Main[[#This Row],[Class]]="C",WORKDAY(Main[[#This Row],[Tech Start Date]],23),IF(Main[[#This Row],[Class]]="B", WORKDAY(Main[[#This Row],[Tech Start Date]],15),IF(Main[[#This Row],[Class]]="A",WORKDAY(Main[[#This Row],[Tech Start Date]],5),""))))</f>
        <v/>
      </c>
      <c r="P670" s="69" t="str">
        <f>IF(Main[[#This Row],[Tech Start Date]]&lt;1/1/1990,"",IF(Main[[#This Row],[Class]]="C",WORKDAY(Main[[#This Row],[Tech Start Date]],28),IF(Main[[#This Row],[Class]]="B", WORKDAY(Main[[#This Row],[Tech Start Date]],19),IF(Main[[#This Row],[Class]]="A",WORKDAY(Main[[#This Row],[Tech Start Date]],9),""))))</f>
        <v/>
      </c>
      <c r="Q670" s="67"/>
      <c r="R670" s="67"/>
      <c r="S670" s="65" t="s">
        <v>11</v>
      </c>
      <c r="T670" s="70" t="s">
        <v>4</v>
      </c>
      <c r="U670" s="65" t="s">
        <v>14</v>
      </c>
      <c r="V670" s="65" t="s">
        <v>1920</v>
      </c>
      <c r="W670" s="65" t="s">
        <v>1923</v>
      </c>
      <c r="X670" s="65" t="s">
        <v>2869</v>
      </c>
      <c r="Y670" s="65" t="s">
        <v>3075</v>
      </c>
      <c r="Z670" s="65" t="s">
        <v>4</v>
      </c>
      <c r="AA670" s="65" t="s">
        <v>2869</v>
      </c>
    </row>
    <row r="671" spans="1:27" ht="17.45" customHeight="1">
      <c r="A671" s="131" t="str">
        <f>IF(priority(Main[[#This Row],[Comments]])&lt;&gt;0, priority(Main[[#This Row],[Comments]]),"")</f>
        <v/>
      </c>
      <c r="B671" s="99" t="s">
        <v>1518</v>
      </c>
      <c r="C671" s="65" t="s">
        <v>4</v>
      </c>
      <c r="D671" s="66" t="s">
        <v>593</v>
      </c>
      <c r="E671" s="67"/>
      <c r="F671" s="67"/>
      <c r="G671" s="64" t="str">
        <f>IF(stdProdLT(Main[[#This Row],[Comments]])=0.1,"N/A",IF(stdProdLT(Main[[#This Row],[Comments]])=0,"",stdProdLT(Main[[#This Row],[Comments]])))</f>
        <v/>
      </c>
      <c r="H671" s="68" t="str">
        <f>IF(AND(Main[[#This Row],[In Stock Date]]&lt;&gt;"",Main[[#This Row],[Revised Due Date]]&lt;&gt;""),Main[[#This Row],[In Stock Date]]-Main[[#This Row],[Revised Due Date]],"")</f>
        <v/>
      </c>
      <c r="I671" s="65" t="s">
        <v>4</v>
      </c>
      <c r="J671" s="65" t="s">
        <v>4</v>
      </c>
      <c r="K671" s="65" t="s">
        <v>4</v>
      </c>
      <c r="L671" s="67"/>
      <c r="M671" s="69" t="str">
        <f>IF(Main[[#This Row],[Tech Start Date]]&lt;1/1/1990,"",IF(Main[[#This Row],[Class]]="C",WORKDAY(Main[[#This Row],[Tech Start Date]],9),IF(Main[[#This Row],[Class]]="B", WORKDAY(Main[[#This Row],[Tech Start Date]],6),IF(Main[[#This Row],[Class]]="A",WORKDAY(Main[[#This Row],[Tech Start Date]],2),""))))</f>
        <v/>
      </c>
      <c r="N671" s="69" t="str">
        <f>IF(Main[[#This Row],[Tech Start Date]]&lt;1/1/1990,"",IF(Main[[#This Row],[Class]]="C",WORKDAY(Main[[#This Row],[Tech Start Date]],19),IF(Main[[#This Row],[Class]]="B", WORKDAY(Main[[#This Row],[Tech Start Date]],12),IF(Main[[#This Row],[Class]]="A",WORKDAY(Main[[#This Row],[Tech Start Date]],4),""))))</f>
        <v/>
      </c>
      <c r="O671" s="69" t="str">
        <f>IF(Main[[#This Row],[Tech Start Date]]&lt;1/1/1990,"",IF(Main[[#This Row],[Class]]="C",WORKDAY(Main[[#This Row],[Tech Start Date]],23),IF(Main[[#This Row],[Class]]="B", WORKDAY(Main[[#This Row],[Tech Start Date]],15),IF(Main[[#This Row],[Class]]="A",WORKDAY(Main[[#This Row],[Tech Start Date]],5),""))))</f>
        <v/>
      </c>
      <c r="P671" s="69" t="str">
        <f>IF(Main[[#This Row],[Tech Start Date]]&lt;1/1/1990,"",IF(Main[[#This Row],[Class]]="C",WORKDAY(Main[[#This Row],[Tech Start Date]],28),IF(Main[[#This Row],[Class]]="B", WORKDAY(Main[[#This Row],[Tech Start Date]],19),IF(Main[[#This Row],[Class]]="A",WORKDAY(Main[[#This Row],[Tech Start Date]],9),""))))</f>
        <v/>
      </c>
      <c r="Q671" s="67"/>
      <c r="R671" s="67"/>
      <c r="S671" s="65" t="s">
        <v>6</v>
      </c>
      <c r="T671" s="70" t="s">
        <v>4</v>
      </c>
      <c r="U671" s="65" t="s">
        <v>12</v>
      </c>
      <c r="V671" s="65" t="s">
        <v>1917</v>
      </c>
      <c r="W671" s="65" t="s">
        <v>1921</v>
      </c>
      <c r="X671" s="65" t="s">
        <v>710</v>
      </c>
      <c r="Y671" s="65" t="s">
        <v>3076</v>
      </c>
      <c r="Z671" s="65" t="s">
        <v>4</v>
      </c>
      <c r="AA671" s="65" t="s">
        <v>710</v>
      </c>
    </row>
    <row r="672" spans="1:27" ht="17.45" customHeight="1">
      <c r="A672" s="131" t="str">
        <f>IF(priority(Main[[#This Row],[Comments]])&lt;&gt;0, priority(Main[[#This Row],[Comments]]),"")</f>
        <v/>
      </c>
      <c r="B672" s="99" t="s">
        <v>1519</v>
      </c>
      <c r="C672" s="65" t="s">
        <v>47</v>
      </c>
      <c r="D672" s="66" t="s">
        <v>594</v>
      </c>
      <c r="E672" s="67"/>
      <c r="F672" s="67"/>
      <c r="G672" s="64" t="str">
        <f>IF(stdProdLT(Main[[#This Row],[Comments]])=0.1,"N/A",IF(stdProdLT(Main[[#This Row],[Comments]])=0,"",stdProdLT(Main[[#This Row],[Comments]])))</f>
        <v/>
      </c>
      <c r="H672" s="68" t="str">
        <f>IF(AND(Main[[#This Row],[In Stock Date]]&lt;&gt;"",Main[[#This Row],[Revised Due Date]]&lt;&gt;""),Main[[#This Row],[In Stock Date]]-Main[[#This Row],[Revised Due Date]],"")</f>
        <v/>
      </c>
      <c r="I672" s="65" t="s">
        <v>4</v>
      </c>
      <c r="J672" s="65" t="s">
        <v>4</v>
      </c>
      <c r="K672" s="65" t="s">
        <v>4</v>
      </c>
      <c r="L672" s="67"/>
      <c r="M672" s="69" t="str">
        <f>IF(Main[[#This Row],[Tech Start Date]]&lt;1/1/1990,"",IF(Main[[#This Row],[Class]]="C",WORKDAY(Main[[#This Row],[Tech Start Date]],9),IF(Main[[#This Row],[Class]]="B", WORKDAY(Main[[#This Row],[Tech Start Date]],6),IF(Main[[#This Row],[Class]]="A",WORKDAY(Main[[#This Row],[Tech Start Date]],2),""))))</f>
        <v/>
      </c>
      <c r="N672" s="69" t="str">
        <f>IF(Main[[#This Row],[Tech Start Date]]&lt;1/1/1990,"",IF(Main[[#This Row],[Class]]="C",WORKDAY(Main[[#This Row],[Tech Start Date]],19),IF(Main[[#This Row],[Class]]="B", WORKDAY(Main[[#This Row],[Tech Start Date]],12),IF(Main[[#This Row],[Class]]="A",WORKDAY(Main[[#This Row],[Tech Start Date]],4),""))))</f>
        <v/>
      </c>
      <c r="O672" s="69" t="str">
        <f>IF(Main[[#This Row],[Tech Start Date]]&lt;1/1/1990,"",IF(Main[[#This Row],[Class]]="C",WORKDAY(Main[[#This Row],[Tech Start Date]],23),IF(Main[[#This Row],[Class]]="B", WORKDAY(Main[[#This Row],[Tech Start Date]],15),IF(Main[[#This Row],[Class]]="A",WORKDAY(Main[[#This Row],[Tech Start Date]],5),""))))</f>
        <v/>
      </c>
      <c r="P672" s="69" t="str">
        <f>IF(Main[[#This Row],[Tech Start Date]]&lt;1/1/1990,"",IF(Main[[#This Row],[Class]]="C",WORKDAY(Main[[#This Row],[Tech Start Date]],28),IF(Main[[#This Row],[Class]]="B", WORKDAY(Main[[#This Row],[Tech Start Date]],19),IF(Main[[#This Row],[Class]]="A",WORKDAY(Main[[#This Row],[Tech Start Date]],9),""))))</f>
        <v/>
      </c>
      <c r="Q672" s="67"/>
      <c r="R672" s="67"/>
      <c r="S672" s="65" t="s">
        <v>49</v>
      </c>
      <c r="T672" s="70" t="s">
        <v>4</v>
      </c>
      <c r="U672" s="65" t="s">
        <v>14</v>
      </c>
      <c r="V672" s="65" t="s">
        <v>1920</v>
      </c>
      <c r="W672" s="65" t="s">
        <v>1921</v>
      </c>
      <c r="X672" s="65" t="s">
        <v>306</v>
      </c>
      <c r="Y672" s="65" t="s">
        <v>2947</v>
      </c>
      <c r="Z672" s="65" t="s">
        <v>4</v>
      </c>
      <c r="AA672" s="65" t="s">
        <v>3388</v>
      </c>
    </row>
    <row r="673" spans="1:27" ht="17.45" customHeight="1">
      <c r="A673" s="131" t="str">
        <f>IF(priority(Main[[#This Row],[Comments]])&lt;&gt;0, priority(Main[[#This Row],[Comments]]),"")</f>
        <v/>
      </c>
      <c r="B673" s="99" t="s">
        <v>1998</v>
      </c>
      <c r="C673" s="65" t="s">
        <v>1999</v>
      </c>
      <c r="D673" s="66" t="s">
        <v>2000</v>
      </c>
      <c r="E673" s="67"/>
      <c r="F673" s="67">
        <v>40801</v>
      </c>
      <c r="G673" s="64" t="str">
        <f>IF(stdProdLT(Main[[#This Row],[Comments]])=0.1,"N/A",IF(stdProdLT(Main[[#This Row],[Comments]])=0,"",stdProdLT(Main[[#This Row],[Comments]])))</f>
        <v/>
      </c>
      <c r="H673" s="68" t="str">
        <f>IF(AND(Main[[#This Row],[In Stock Date]]&lt;&gt;"",Main[[#This Row],[Revised Due Date]]&lt;&gt;""),Main[[#This Row],[In Stock Date]]-Main[[#This Row],[Revised Due Date]],"")</f>
        <v/>
      </c>
      <c r="I673" s="65" t="s">
        <v>4</v>
      </c>
      <c r="J673" s="65" t="s">
        <v>4</v>
      </c>
      <c r="K673" s="65" t="s">
        <v>4</v>
      </c>
      <c r="L673" s="67"/>
      <c r="M673" s="69" t="str">
        <f>IF(Main[[#This Row],[Tech Start Date]]&lt;1/1/1990,"",IF(Main[[#This Row],[Class]]="C",WORKDAY(Main[[#This Row],[Tech Start Date]],9),IF(Main[[#This Row],[Class]]="B", WORKDAY(Main[[#This Row],[Tech Start Date]],6),IF(Main[[#This Row],[Class]]="A",WORKDAY(Main[[#This Row],[Tech Start Date]],2),""))))</f>
        <v/>
      </c>
      <c r="N673" s="69" t="str">
        <f>IF(Main[[#This Row],[Tech Start Date]]&lt;1/1/1990,"",IF(Main[[#This Row],[Class]]="C",WORKDAY(Main[[#This Row],[Tech Start Date]],19),IF(Main[[#This Row],[Class]]="B", WORKDAY(Main[[#This Row],[Tech Start Date]],12),IF(Main[[#This Row],[Class]]="A",WORKDAY(Main[[#This Row],[Tech Start Date]],4),""))))</f>
        <v/>
      </c>
      <c r="O673" s="69" t="str">
        <f>IF(Main[[#This Row],[Tech Start Date]]&lt;1/1/1990,"",IF(Main[[#This Row],[Class]]="C",WORKDAY(Main[[#This Row],[Tech Start Date]],23),IF(Main[[#This Row],[Class]]="B", WORKDAY(Main[[#This Row],[Tech Start Date]],15),IF(Main[[#This Row],[Class]]="A",WORKDAY(Main[[#This Row],[Tech Start Date]],5),""))))</f>
        <v/>
      </c>
      <c r="P673" s="69" t="str">
        <f>IF(Main[[#This Row],[Tech Start Date]]&lt;1/1/1990,"",IF(Main[[#This Row],[Class]]="C",WORKDAY(Main[[#This Row],[Tech Start Date]],28),IF(Main[[#This Row],[Class]]="B", WORKDAY(Main[[#This Row],[Tech Start Date]],19),IF(Main[[#This Row],[Class]]="A",WORKDAY(Main[[#This Row],[Tech Start Date]],9),""))))</f>
        <v/>
      </c>
      <c r="Q673" s="67"/>
      <c r="R673" s="67"/>
      <c r="S673" s="65" t="s">
        <v>6</v>
      </c>
      <c r="T673" s="70" t="s">
        <v>4</v>
      </c>
      <c r="U673" s="65" t="s">
        <v>12</v>
      </c>
      <c r="V673" s="65" t="s">
        <v>1920</v>
      </c>
      <c r="W673" s="65" t="s">
        <v>1921</v>
      </c>
      <c r="X673" s="65" t="s">
        <v>2905</v>
      </c>
      <c r="Y673" s="65" t="s">
        <v>3077</v>
      </c>
      <c r="Z673" s="65" t="s">
        <v>4</v>
      </c>
      <c r="AA673" s="65" t="s">
        <v>3434</v>
      </c>
    </row>
    <row r="674" spans="1:27" ht="17.45" customHeight="1">
      <c r="A674" s="131" t="str">
        <f>IF(priority(Main[[#This Row],[Comments]])&lt;&gt;0, priority(Main[[#This Row],[Comments]]),"")</f>
        <v/>
      </c>
      <c r="B674" s="99" t="s">
        <v>1520</v>
      </c>
      <c r="C674" s="65" t="s">
        <v>4</v>
      </c>
      <c r="D674" s="66" t="s">
        <v>595</v>
      </c>
      <c r="E674" s="67">
        <v>40270.342719907407</v>
      </c>
      <c r="F674" s="67"/>
      <c r="G674" s="64" t="str">
        <f>IF(stdProdLT(Main[[#This Row],[Comments]])=0.1,"N/A",IF(stdProdLT(Main[[#This Row],[Comments]])=0,"",stdProdLT(Main[[#This Row],[Comments]])))</f>
        <v/>
      </c>
      <c r="H674" s="68" t="str">
        <f>IF(AND(Main[[#This Row],[In Stock Date]]&lt;&gt;"",Main[[#This Row],[Revised Due Date]]&lt;&gt;""),Main[[#This Row],[In Stock Date]]-Main[[#This Row],[Revised Due Date]],"")</f>
        <v/>
      </c>
      <c r="I674" s="65" t="s">
        <v>4</v>
      </c>
      <c r="J674" s="65" t="s">
        <v>4</v>
      </c>
      <c r="K674" s="65" t="s">
        <v>4</v>
      </c>
      <c r="L674" s="67"/>
      <c r="M674" s="69" t="str">
        <f>IF(Main[[#This Row],[Tech Start Date]]&lt;1/1/1990,"",IF(Main[[#This Row],[Class]]="C",WORKDAY(Main[[#This Row],[Tech Start Date]],9),IF(Main[[#This Row],[Class]]="B", WORKDAY(Main[[#This Row],[Tech Start Date]],6),IF(Main[[#This Row],[Class]]="A",WORKDAY(Main[[#This Row],[Tech Start Date]],2),""))))</f>
        <v/>
      </c>
      <c r="N674" s="69" t="str">
        <f>IF(Main[[#This Row],[Tech Start Date]]&lt;1/1/1990,"",IF(Main[[#This Row],[Class]]="C",WORKDAY(Main[[#This Row],[Tech Start Date]],19),IF(Main[[#This Row],[Class]]="B", WORKDAY(Main[[#This Row],[Tech Start Date]],12),IF(Main[[#This Row],[Class]]="A",WORKDAY(Main[[#This Row],[Tech Start Date]],4),""))))</f>
        <v/>
      </c>
      <c r="O674" s="69" t="str">
        <f>IF(Main[[#This Row],[Tech Start Date]]&lt;1/1/1990,"",IF(Main[[#This Row],[Class]]="C",WORKDAY(Main[[#This Row],[Tech Start Date]],23),IF(Main[[#This Row],[Class]]="B", WORKDAY(Main[[#This Row],[Tech Start Date]],15),IF(Main[[#This Row],[Class]]="A",WORKDAY(Main[[#This Row],[Tech Start Date]],5),""))))</f>
        <v/>
      </c>
      <c r="P674" s="69" t="str">
        <f>IF(Main[[#This Row],[Tech Start Date]]&lt;1/1/1990,"",IF(Main[[#This Row],[Class]]="C",WORKDAY(Main[[#This Row],[Tech Start Date]],28),IF(Main[[#This Row],[Class]]="B", WORKDAY(Main[[#This Row],[Tech Start Date]],19),IF(Main[[#This Row],[Class]]="A",WORKDAY(Main[[#This Row],[Tech Start Date]],9),""))))</f>
        <v/>
      </c>
      <c r="Q674" s="67">
        <v>40359</v>
      </c>
      <c r="R674" s="67"/>
      <c r="S674" s="65" t="s">
        <v>6</v>
      </c>
      <c r="T674" s="70" t="s">
        <v>4</v>
      </c>
      <c r="U674" s="65" t="s">
        <v>7</v>
      </c>
      <c r="V674" s="65" t="s">
        <v>1917</v>
      </c>
      <c r="W674" s="65" t="s">
        <v>4</v>
      </c>
      <c r="X674" s="65" t="s">
        <v>2893</v>
      </c>
      <c r="Y674" s="65" t="s">
        <v>3049</v>
      </c>
      <c r="Z674" s="65" t="s">
        <v>4</v>
      </c>
      <c r="AA674" s="65" t="s">
        <v>2893</v>
      </c>
    </row>
    <row r="675" spans="1:27" ht="17.45" customHeight="1">
      <c r="A675" s="131" t="str">
        <f>IF(priority(Main[[#This Row],[Comments]])&lt;&gt;0, priority(Main[[#This Row],[Comments]]),"")</f>
        <v/>
      </c>
      <c r="B675" s="99" t="s">
        <v>1521</v>
      </c>
      <c r="C675" s="65" t="s">
        <v>351</v>
      </c>
      <c r="D675" s="66" t="s">
        <v>596</v>
      </c>
      <c r="E675" s="67"/>
      <c r="F675" s="67">
        <v>40452</v>
      </c>
      <c r="G675" s="64" t="str">
        <f>IF(stdProdLT(Main[[#This Row],[Comments]])=0.1,"N/A",IF(stdProdLT(Main[[#This Row],[Comments]])=0,"",stdProdLT(Main[[#This Row],[Comments]])))</f>
        <v/>
      </c>
      <c r="H675" s="68" t="str">
        <f>IF(AND(Main[[#This Row],[In Stock Date]]&lt;&gt;"",Main[[#This Row],[Revised Due Date]]&lt;&gt;""),Main[[#This Row],[In Stock Date]]-Main[[#This Row],[Revised Due Date]],"")</f>
        <v/>
      </c>
      <c r="I675" s="65" t="s">
        <v>4</v>
      </c>
      <c r="J675" s="65" t="s">
        <v>4</v>
      </c>
      <c r="K675" s="65" t="s">
        <v>4</v>
      </c>
      <c r="L675" s="67"/>
      <c r="M675" s="69" t="str">
        <f>IF(Main[[#This Row],[Tech Start Date]]&lt;1/1/1990,"",IF(Main[[#This Row],[Class]]="C",WORKDAY(Main[[#This Row],[Tech Start Date]],9),IF(Main[[#This Row],[Class]]="B", WORKDAY(Main[[#This Row],[Tech Start Date]],6),IF(Main[[#This Row],[Class]]="A",WORKDAY(Main[[#This Row],[Tech Start Date]],2),""))))</f>
        <v/>
      </c>
      <c r="N675" s="69" t="str">
        <f>IF(Main[[#This Row],[Tech Start Date]]&lt;1/1/1990,"",IF(Main[[#This Row],[Class]]="C",WORKDAY(Main[[#This Row],[Tech Start Date]],19),IF(Main[[#This Row],[Class]]="B", WORKDAY(Main[[#This Row],[Tech Start Date]],12),IF(Main[[#This Row],[Class]]="A",WORKDAY(Main[[#This Row],[Tech Start Date]],4),""))))</f>
        <v/>
      </c>
      <c r="O675" s="69" t="str">
        <f>IF(Main[[#This Row],[Tech Start Date]]&lt;1/1/1990,"",IF(Main[[#This Row],[Class]]="C",WORKDAY(Main[[#This Row],[Tech Start Date]],23),IF(Main[[#This Row],[Class]]="B", WORKDAY(Main[[#This Row],[Tech Start Date]],15),IF(Main[[#This Row],[Class]]="A",WORKDAY(Main[[#This Row],[Tech Start Date]],5),""))))</f>
        <v/>
      </c>
      <c r="P675" s="69" t="str">
        <f>IF(Main[[#This Row],[Tech Start Date]]&lt;1/1/1990,"",IF(Main[[#This Row],[Class]]="C",WORKDAY(Main[[#This Row],[Tech Start Date]],28),IF(Main[[#This Row],[Class]]="B", WORKDAY(Main[[#This Row],[Tech Start Date]],19),IF(Main[[#This Row],[Class]]="A",WORKDAY(Main[[#This Row],[Tech Start Date]],9),""))))</f>
        <v/>
      </c>
      <c r="Q675" s="67">
        <v>40344</v>
      </c>
      <c r="R675" s="67"/>
      <c r="S675" s="65" t="s">
        <v>11</v>
      </c>
      <c r="T675" s="70" t="s">
        <v>4</v>
      </c>
      <c r="U675" s="65" t="s">
        <v>14</v>
      </c>
      <c r="V675" s="65" t="s">
        <v>1920</v>
      </c>
      <c r="W675" s="65" t="s">
        <v>1923</v>
      </c>
      <c r="X675" s="65" t="s">
        <v>2878</v>
      </c>
      <c r="Y675" s="65" t="s">
        <v>3002</v>
      </c>
      <c r="Z675" s="65" t="s">
        <v>530</v>
      </c>
      <c r="AA675" s="65" t="s">
        <v>2878</v>
      </c>
    </row>
    <row r="676" spans="1:27" ht="17.45" customHeight="1">
      <c r="A676" s="131" t="str">
        <f>IF(priority(Main[[#This Row],[Comments]])&lt;&gt;0, priority(Main[[#This Row],[Comments]]),"")</f>
        <v/>
      </c>
      <c r="B676" s="99" t="s">
        <v>1522</v>
      </c>
      <c r="C676" s="65" t="s">
        <v>4</v>
      </c>
      <c r="D676" s="66" t="s">
        <v>597</v>
      </c>
      <c r="E676" s="67">
        <v>40645.435763888891</v>
      </c>
      <c r="F676" s="67"/>
      <c r="G676" s="64" t="str">
        <f>IF(stdProdLT(Main[[#This Row],[Comments]])=0.1,"N/A",IF(stdProdLT(Main[[#This Row],[Comments]])=0,"",stdProdLT(Main[[#This Row],[Comments]])))</f>
        <v/>
      </c>
      <c r="H676" s="68" t="str">
        <f>IF(AND(Main[[#This Row],[In Stock Date]]&lt;&gt;"",Main[[#This Row],[Revised Due Date]]&lt;&gt;""),Main[[#This Row],[In Stock Date]]-Main[[#This Row],[Revised Due Date]],"")</f>
        <v/>
      </c>
      <c r="I676" s="65" t="s">
        <v>562</v>
      </c>
      <c r="J676" s="65" t="s">
        <v>70</v>
      </c>
      <c r="K676" s="65" t="s">
        <v>4</v>
      </c>
      <c r="L676" s="67"/>
      <c r="M676" s="69" t="str">
        <f>IF(Main[[#This Row],[Tech Start Date]]&lt;1/1/1990,"",IF(Main[[#This Row],[Class]]="C",WORKDAY(Main[[#This Row],[Tech Start Date]],9),IF(Main[[#This Row],[Class]]="B", WORKDAY(Main[[#This Row],[Tech Start Date]],6),IF(Main[[#This Row],[Class]]="A",WORKDAY(Main[[#This Row],[Tech Start Date]],2),""))))</f>
        <v/>
      </c>
      <c r="N676" s="69" t="str">
        <f>IF(Main[[#This Row],[Tech Start Date]]&lt;1/1/1990,"",IF(Main[[#This Row],[Class]]="C",WORKDAY(Main[[#This Row],[Tech Start Date]],19),IF(Main[[#This Row],[Class]]="B", WORKDAY(Main[[#This Row],[Tech Start Date]],12),IF(Main[[#This Row],[Class]]="A",WORKDAY(Main[[#This Row],[Tech Start Date]],4),""))))</f>
        <v/>
      </c>
      <c r="O676" s="69" t="str">
        <f>IF(Main[[#This Row],[Tech Start Date]]&lt;1/1/1990,"",IF(Main[[#This Row],[Class]]="C",WORKDAY(Main[[#This Row],[Tech Start Date]],23),IF(Main[[#This Row],[Class]]="B", WORKDAY(Main[[#This Row],[Tech Start Date]],15),IF(Main[[#This Row],[Class]]="A",WORKDAY(Main[[#This Row],[Tech Start Date]],5),""))))</f>
        <v/>
      </c>
      <c r="P676" s="69" t="str">
        <f>IF(Main[[#This Row],[Tech Start Date]]&lt;1/1/1990,"",IF(Main[[#This Row],[Class]]="C",WORKDAY(Main[[#This Row],[Tech Start Date]],28),IF(Main[[#This Row],[Class]]="B", WORKDAY(Main[[#This Row],[Tech Start Date]],19),IF(Main[[#This Row],[Class]]="A",WORKDAY(Main[[#This Row],[Tech Start Date]],9),""))))</f>
        <v/>
      </c>
      <c r="Q676" s="67">
        <v>40669</v>
      </c>
      <c r="R676" s="67"/>
      <c r="S676" s="65" t="s">
        <v>6</v>
      </c>
      <c r="T676" s="70" t="s">
        <v>4</v>
      </c>
      <c r="U676" s="65" t="s">
        <v>29</v>
      </c>
      <c r="V676" s="65" t="s">
        <v>1917</v>
      </c>
      <c r="W676" s="65" t="s">
        <v>4</v>
      </c>
      <c r="X676" s="65" t="s">
        <v>126</v>
      </c>
      <c r="Y676" s="65" t="s">
        <v>3039</v>
      </c>
      <c r="Z676" s="65" t="s">
        <v>4</v>
      </c>
      <c r="AA676" s="65" t="s">
        <v>126</v>
      </c>
    </row>
    <row r="677" spans="1:27" ht="17.45" customHeight="1">
      <c r="A677" s="131" t="str">
        <f>IF(priority(Main[[#This Row],[Comments]])&lt;&gt;0, priority(Main[[#This Row],[Comments]]),"")</f>
        <v/>
      </c>
      <c r="B677" s="99" t="s">
        <v>1524</v>
      </c>
      <c r="C677" s="65" t="s">
        <v>401</v>
      </c>
      <c r="D677" s="66" t="s">
        <v>598</v>
      </c>
      <c r="E677" s="67"/>
      <c r="F677" s="67">
        <v>40447</v>
      </c>
      <c r="G677" s="64" t="str">
        <f>IF(stdProdLT(Main[[#This Row],[Comments]])=0.1,"N/A",IF(stdProdLT(Main[[#This Row],[Comments]])=0,"",stdProdLT(Main[[#This Row],[Comments]])))</f>
        <v/>
      </c>
      <c r="H677" s="68" t="str">
        <f>IF(AND(Main[[#This Row],[In Stock Date]]&lt;&gt;"",Main[[#This Row],[Revised Due Date]]&lt;&gt;""),Main[[#This Row],[In Stock Date]]-Main[[#This Row],[Revised Due Date]],"")</f>
        <v/>
      </c>
      <c r="I677" s="65" t="s">
        <v>4</v>
      </c>
      <c r="J677" s="65" t="s">
        <v>4</v>
      </c>
      <c r="K677" s="65" t="s">
        <v>4</v>
      </c>
      <c r="L677" s="67"/>
      <c r="M677" s="69" t="str">
        <f>IF(Main[[#This Row],[Tech Start Date]]&lt;1/1/1990,"",IF(Main[[#This Row],[Class]]="C",WORKDAY(Main[[#This Row],[Tech Start Date]],9),IF(Main[[#This Row],[Class]]="B", WORKDAY(Main[[#This Row],[Tech Start Date]],6),IF(Main[[#This Row],[Class]]="A",WORKDAY(Main[[#This Row],[Tech Start Date]],2),""))))</f>
        <v/>
      </c>
      <c r="N677" s="69" t="str">
        <f>IF(Main[[#This Row],[Tech Start Date]]&lt;1/1/1990,"",IF(Main[[#This Row],[Class]]="C",WORKDAY(Main[[#This Row],[Tech Start Date]],19),IF(Main[[#This Row],[Class]]="B", WORKDAY(Main[[#This Row],[Tech Start Date]],12),IF(Main[[#This Row],[Class]]="A",WORKDAY(Main[[#This Row],[Tech Start Date]],4),""))))</f>
        <v/>
      </c>
      <c r="O677" s="69" t="str">
        <f>IF(Main[[#This Row],[Tech Start Date]]&lt;1/1/1990,"",IF(Main[[#This Row],[Class]]="C",WORKDAY(Main[[#This Row],[Tech Start Date]],23),IF(Main[[#This Row],[Class]]="B", WORKDAY(Main[[#This Row],[Tech Start Date]],15),IF(Main[[#This Row],[Class]]="A",WORKDAY(Main[[#This Row],[Tech Start Date]],5),""))))</f>
        <v/>
      </c>
      <c r="P677" s="69" t="str">
        <f>IF(Main[[#This Row],[Tech Start Date]]&lt;1/1/1990,"",IF(Main[[#This Row],[Class]]="C",WORKDAY(Main[[#This Row],[Tech Start Date]],28),IF(Main[[#This Row],[Class]]="B", WORKDAY(Main[[#This Row],[Tech Start Date]],19),IF(Main[[#This Row],[Class]]="A",WORKDAY(Main[[#This Row],[Tech Start Date]],9),""))))</f>
        <v/>
      </c>
      <c r="Q677" s="67">
        <v>40349</v>
      </c>
      <c r="R677" s="67"/>
      <c r="S677" s="65" t="s">
        <v>11</v>
      </c>
      <c r="T677" s="70" t="s">
        <v>4</v>
      </c>
      <c r="U677" s="65" t="s">
        <v>14</v>
      </c>
      <c r="V677" s="65" t="s">
        <v>1927</v>
      </c>
      <c r="W677" s="65" t="s">
        <v>1922</v>
      </c>
      <c r="X677" s="65" t="s">
        <v>2856</v>
      </c>
      <c r="Y677" s="65" t="s">
        <v>4</v>
      </c>
      <c r="Z677" s="65" t="s">
        <v>4</v>
      </c>
      <c r="AA677" s="65" t="s">
        <v>2856</v>
      </c>
    </row>
    <row r="678" spans="1:27" ht="17.45" customHeight="1">
      <c r="A678" s="131" t="str">
        <f>IF(priority(Main[[#This Row],[Comments]])&lt;&gt;0, priority(Main[[#This Row],[Comments]]),"")</f>
        <v/>
      </c>
      <c r="B678" s="99" t="s">
        <v>1544</v>
      </c>
      <c r="C678" s="65" t="s">
        <v>436</v>
      </c>
      <c r="D678" s="66" t="s">
        <v>626</v>
      </c>
      <c r="E678" s="67"/>
      <c r="F678" s="67">
        <v>40056</v>
      </c>
      <c r="G678" s="64" t="str">
        <f>IF(stdProdLT(Main[[#This Row],[Comments]])=0.1,"N/A",IF(stdProdLT(Main[[#This Row],[Comments]])=0,"",stdProdLT(Main[[#This Row],[Comments]])))</f>
        <v/>
      </c>
      <c r="H678" s="68" t="str">
        <f>IF(AND(Main[[#This Row],[In Stock Date]]&lt;&gt;"",Main[[#This Row],[Revised Due Date]]&lt;&gt;""),Main[[#This Row],[In Stock Date]]-Main[[#This Row],[Revised Due Date]],"")</f>
        <v/>
      </c>
      <c r="I678" s="65" t="s">
        <v>4</v>
      </c>
      <c r="J678" s="65" t="s">
        <v>4</v>
      </c>
      <c r="K678" s="65" t="s">
        <v>4</v>
      </c>
      <c r="L678" s="67"/>
      <c r="M678" s="69" t="str">
        <f>IF(Main[[#This Row],[Tech Start Date]]&lt;1/1/1990,"",IF(Main[[#This Row],[Class]]="C",WORKDAY(Main[[#This Row],[Tech Start Date]],9),IF(Main[[#This Row],[Class]]="B", WORKDAY(Main[[#This Row],[Tech Start Date]],6),IF(Main[[#This Row],[Class]]="A",WORKDAY(Main[[#This Row],[Tech Start Date]],2),""))))</f>
        <v/>
      </c>
      <c r="N678" s="69" t="str">
        <f>IF(Main[[#This Row],[Tech Start Date]]&lt;1/1/1990,"",IF(Main[[#This Row],[Class]]="C",WORKDAY(Main[[#This Row],[Tech Start Date]],19),IF(Main[[#This Row],[Class]]="B", WORKDAY(Main[[#This Row],[Tech Start Date]],12),IF(Main[[#This Row],[Class]]="A",WORKDAY(Main[[#This Row],[Tech Start Date]],4),""))))</f>
        <v/>
      </c>
      <c r="O678" s="69" t="str">
        <f>IF(Main[[#This Row],[Tech Start Date]]&lt;1/1/1990,"",IF(Main[[#This Row],[Class]]="C",WORKDAY(Main[[#This Row],[Tech Start Date]],23),IF(Main[[#This Row],[Class]]="B", WORKDAY(Main[[#This Row],[Tech Start Date]],15),IF(Main[[#This Row],[Class]]="A",WORKDAY(Main[[#This Row],[Tech Start Date]],5),""))))</f>
        <v/>
      </c>
      <c r="P678" s="69" t="str">
        <f>IF(Main[[#This Row],[Tech Start Date]]&lt;1/1/1990,"",IF(Main[[#This Row],[Class]]="C",WORKDAY(Main[[#This Row],[Tech Start Date]],28),IF(Main[[#This Row],[Class]]="B", WORKDAY(Main[[#This Row],[Tech Start Date]],19),IF(Main[[#This Row],[Class]]="A",WORKDAY(Main[[#This Row],[Tech Start Date]],9),""))))</f>
        <v/>
      </c>
      <c r="Q678" s="67"/>
      <c r="R678" s="67"/>
      <c r="S678" s="65" t="s">
        <v>11</v>
      </c>
      <c r="T678" s="70" t="s">
        <v>4</v>
      </c>
      <c r="U678" s="65" t="s">
        <v>14</v>
      </c>
      <c r="V678" s="65" t="s">
        <v>1917</v>
      </c>
      <c r="W678" s="65" t="s">
        <v>1925</v>
      </c>
      <c r="X678" s="65" t="s">
        <v>2859</v>
      </c>
      <c r="Y678" s="65" t="s">
        <v>2997</v>
      </c>
      <c r="Z678" s="65" t="s">
        <v>4</v>
      </c>
      <c r="AA678" s="65" t="s">
        <v>2859</v>
      </c>
    </row>
    <row r="679" spans="1:27" ht="17.45" customHeight="1">
      <c r="A679" s="131" t="str">
        <f>IF(priority(Main[[#This Row],[Comments]])&lt;&gt;0, priority(Main[[#This Row],[Comments]]),"")</f>
        <v/>
      </c>
      <c r="B679" s="99" t="s">
        <v>1545</v>
      </c>
      <c r="C679" s="65" t="s">
        <v>4</v>
      </c>
      <c r="D679" s="66" t="s">
        <v>627</v>
      </c>
      <c r="E679" s="67"/>
      <c r="F679" s="67"/>
      <c r="G679" s="64" t="str">
        <f>IF(stdProdLT(Main[[#This Row],[Comments]])=0.1,"N/A",IF(stdProdLT(Main[[#This Row],[Comments]])=0,"",stdProdLT(Main[[#This Row],[Comments]])))</f>
        <v/>
      </c>
      <c r="H679" s="68" t="str">
        <f>IF(AND(Main[[#This Row],[In Stock Date]]&lt;&gt;"",Main[[#This Row],[Revised Due Date]]&lt;&gt;""),Main[[#This Row],[In Stock Date]]-Main[[#This Row],[Revised Due Date]],"")</f>
        <v/>
      </c>
      <c r="I679" s="65" t="s">
        <v>4</v>
      </c>
      <c r="J679" s="65" t="s">
        <v>4</v>
      </c>
      <c r="K679" s="65" t="s">
        <v>4</v>
      </c>
      <c r="L679" s="67"/>
      <c r="M679" s="69" t="str">
        <f>IF(Main[[#This Row],[Tech Start Date]]&lt;1/1/1990,"",IF(Main[[#This Row],[Class]]="C",WORKDAY(Main[[#This Row],[Tech Start Date]],9),IF(Main[[#This Row],[Class]]="B", WORKDAY(Main[[#This Row],[Tech Start Date]],6),IF(Main[[#This Row],[Class]]="A",WORKDAY(Main[[#This Row],[Tech Start Date]],2),""))))</f>
        <v/>
      </c>
      <c r="N679" s="69" t="str">
        <f>IF(Main[[#This Row],[Tech Start Date]]&lt;1/1/1990,"",IF(Main[[#This Row],[Class]]="C",WORKDAY(Main[[#This Row],[Tech Start Date]],19),IF(Main[[#This Row],[Class]]="B", WORKDAY(Main[[#This Row],[Tech Start Date]],12),IF(Main[[#This Row],[Class]]="A",WORKDAY(Main[[#This Row],[Tech Start Date]],4),""))))</f>
        <v/>
      </c>
      <c r="O679" s="69" t="str">
        <f>IF(Main[[#This Row],[Tech Start Date]]&lt;1/1/1990,"",IF(Main[[#This Row],[Class]]="C",WORKDAY(Main[[#This Row],[Tech Start Date]],23),IF(Main[[#This Row],[Class]]="B", WORKDAY(Main[[#This Row],[Tech Start Date]],15),IF(Main[[#This Row],[Class]]="A",WORKDAY(Main[[#This Row],[Tech Start Date]],5),""))))</f>
        <v/>
      </c>
      <c r="P679" s="69" t="str">
        <f>IF(Main[[#This Row],[Tech Start Date]]&lt;1/1/1990,"",IF(Main[[#This Row],[Class]]="C",WORKDAY(Main[[#This Row],[Tech Start Date]],28),IF(Main[[#This Row],[Class]]="B", WORKDAY(Main[[#This Row],[Tech Start Date]],19),IF(Main[[#This Row],[Class]]="A",WORKDAY(Main[[#This Row],[Tech Start Date]],9),""))))</f>
        <v/>
      </c>
      <c r="Q679" s="67"/>
      <c r="R679" s="67"/>
      <c r="S679" s="65" t="s">
        <v>17</v>
      </c>
      <c r="T679" s="70" t="s">
        <v>4</v>
      </c>
      <c r="U679" s="65" t="s">
        <v>12</v>
      </c>
      <c r="V679" s="65" t="s">
        <v>1917</v>
      </c>
      <c r="W679" s="65" t="s">
        <v>1919</v>
      </c>
      <c r="X679" s="65" t="s">
        <v>891</v>
      </c>
      <c r="Y679" s="65" t="s">
        <v>3079</v>
      </c>
      <c r="Z679" s="65" t="s">
        <v>4</v>
      </c>
      <c r="AA679" s="65" t="s">
        <v>891</v>
      </c>
    </row>
    <row r="680" spans="1:27" ht="17.45" customHeight="1">
      <c r="A680" s="131" t="str">
        <f>IF(priority(Main[[#This Row],[Comments]])&lt;&gt;0, priority(Main[[#This Row],[Comments]]),"")</f>
        <v/>
      </c>
      <c r="B680" s="99" t="s">
        <v>1841</v>
      </c>
      <c r="C680" s="65" t="s">
        <v>495</v>
      </c>
      <c r="D680" s="66" t="s">
        <v>895</v>
      </c>
      <c r="E680" s="67"/>
      <c r="F680" s="67"/>
      <c r="G680" s="64" t="str">
        <f>IF(stdProdLT(Main[[#This Row],[Comments]])=0.1,"N/A",IF(stdProdLT(Main[[#This Row],[Comments]])=0,"",stdProdLT(Main[[#This Row],[Comments]])))</f>
        <v/>
      </c>
      <c r="H680" s="68" t="str">
        <f>IF(AND(Main[[#This Row],[In Stock Date]]&lt;&gt;"",Main[[#This Row],[Revised Due Date]]&lt;&gt;""),Main[[#This Row],[In Stock Date]]-Main[[#This Row],[Revised Due Date]],"")</f>
        <v/>
      </c>
      <c r="I680" s="65" t="s">
        <v>126</v>
      </c>
      <c r="J680" s="65" t="s">
        <v>28</v>
      </c>
      <c r="K680" s="71" t="s">
        <v>1930</v>
      </c>
      <c r="L680" s="67"/>
      <c r="M680" s="69" t="str">
        <f>IF(Main[[#This Row],[Tech Start Date]]&lt;1/1/1990,"",IF(Main[[#This Row],[Class]]="C",WORKDAY(Main[[#This Row],[Tech Start Date]],9),IF(Main[[#This Row],[Class]]="B", WORKDAY(Main[[#This Row],[Tech Start Date]],6),IF(Main[[#This Row],[Class]]="A",WORKDAY(Main[[#This Row],[Tech Start Date]],2),""))))</f>
        <v/>
      </c>
      <c r="N680" s="69" t="str">
        <f>IF(Main[[#This Row],[Tech Start Date]]&lt;1/1/1990,"",IF(Main[[#This Row],[Class]]="C",WORKDAY(Main[[#This Row],[Tech Start Date]],19),IF(Main[[#This Row],[Class]]="B", WORKDAY(Main[[#This Row],[Tech Start Date]],12),IF(Main[[#This Row],[Class]]="A",WORKDAY(Main[[#This Row],[Tech Start Date]],4),""))))</f>
        <v/>
      </c>
      <c r="O680" s="69" t="str">
        <f>IF(Main[[#This Row],[Tech Start Date]]&lt;1/1/1990,"",IF(Main[[#This Row],[Class]]="C",WORKDAY(Main[[#This Row],[Tech Start Date]],23),IF(Main[[#This Row],[Class]]="B", WORKDAY(Main[[#This Row],[Tech Start Date]],15),IF(Main[[#This Row],[Class]]="A",WORKDAY(Main[[#This Row],[Tech Start Date]],5),""))))</f>
        <v/>
      </c>
      <c r="P680" s="69" t="str">
        <f>IF(Main[[#This Row],[Tech Start Date]]&lt;1/1/1990,"",IF(Main[[#This Row],[Class]]="C",WORKDAY(Main[[#This Row],[Tech Start Date]],28),IF(Main[[#This Row],[Class]]="B", WORKDAY(Main[[#This Row],[Tech Start Date]],19),IF(Main[[#This Row],[Class]]="A",WORKDAY(Main[[#This Row],[Tech Start Date]],9),""))))</f>
        <v/>
      </c>
      <c r="Q680" s="67">
        <v>40469</v>
      </c>
      <c r="R680" s="67">
        <v>40469</v>
      </c>
      <c r="S680" s="65" t="s">
        <v>11</v>
      </c>
      <c r="T680" s="70" t="s">
        <v>4</v>
      </c>
      <c r="U680" s="65" t="s">
        <v>14</v>
      </c>
      <c r="V680" s="65" t="s">
        <v>1917</v>
      </c>
      <c r="W680" s="65" t="s">
        <v>1925</v>
      </c>
      <c r="X680" s="65" t="s">
        <v>50</v>
      </c>
      <c r="Y680" s="65" t="s">
        <v>3068</v>
      </c>
      <c r="Z680" s="65" t="s">
        <v>129</v>
      </c>
      <c r="AA680" s="65" t="s">
        <v>2866</v>
      </c>
    </row>
    <row r="681" spans="1:27" ht="17.45" customHeight="1">
      <c r="A681" s="131" t="str">
        <f>IF(priority(Main[[#This Row],[Comments]])&lt;&gt;0, priority(Main[[#This Row],[Comments]]),"")</f>
        <v/>
      </c>
      <c r="B681" s="99" t="s">
        <v>1525</v>
      </c>
      <c r="C681" s="65" t="s">
        <v>607</v>
      </c>
      <c r="D681" s="66" t="s">
        <v>608</v>
      </c>
      <c r="E681" s="67"/>
      <c r="F681" s="67">
        <v>41275</v>
      </c>
      <c r="G681" s="64" t="str">
        <f>IF(stdProdLT(Main[[#This Row],[Comments]])=0.1,"N/A",IF(stdProdLT(Main[[#This Row],[Comments]])=0,"",stdProdLT(Main[[#This Row],[Comments]])))</f>
        <v/>
      </c>
      <c r="H681" s="68" t="str">
        <f>IF(AND(Main[[#This Row],[In Stock Date]]&lt;&gt;"",Main[[#This Row],[Revised Due Date]]&lt;&gt;""),Main[[#This Row],[In Stock Date]]-Main[[#This Row],[Revised Due Date]],"")</f>
        <v/>
      </c>
      <c r="I681" s="65" t="s">
        <v>4</v>
      </c>
      <c r="J681" s="65" t="s">
        <v>4</v>
      </c>
      <c r="K681" s="65" t="s">
        <v>4</v>
      </c>
      <c r="L681" s="67"/>
      <c r="M681" s="69" t="str">
        <f>IF(Main[[#This Row],[Tech Start Date]]&lt;1/1/1990,"",IF(Main[[#This Row],[Class]]="C",WORKDAY(Main[[#This Row],[Tech Start Date]],9),IF(Main[[#This Row],[Class]]="B", WORKDAY(Main[[#This Row],[Tech Start Date]],6),IF(Main[[#This Row],[Class]]="A",WORKDAY(Main[[#This Row],[Tech Start Date]],2),""))))</f>
        <v/>
      </c>
      <c r="N681" s="69" t="str">
        <f>IF(Main[[#This Row],[Tech Start Date]]&lt;1/1/1990,"",IF(Main[[#This Row],[Class]]="C",WORKDAY(Main[[#This Row],[Tech Start Date]],19),IF(Main[[#This Row],[Class]]="B", WORKDAY(Main[[#This Row],[Tech Start Date]],12),IF(Main[[#This Row],[Class]]="A",WORKDAY(Main[[#This Row],[Tech Start Date]],4),""))))</f>
        <v/>
      </c>
      <c r="O681" s="69" t="str">
        <f>IF(Main[[#This Row],[Tech Start Date]]&lt;1/1/1990,"",IF(Main[[#This Row],[Class]]="C",WORKDAY(Main[[#This Row],[Tech Start Date]],23),IF(Main[[#This Row],[Class]]="B", WORKDAY(Main[[#This Row],[Tech Start Date]],15),IF(Main[[#This Row],[Class]]="A",WORKDAY(Main[[#This Row],[Tech Start Date]],5),""))))</f>
        <v/>
      </c>
      <c r="P681" s="69" t="str">
        <f>IF(Main[[#This Row],[Tech Start Date]]&lt;1/1/1990,"",IF(Main[[#This Row],[Class]]="C",WORKDAY(Main[[#This Row],[Tech Start Date]],28),IF(Main[[#This Row],[Class]]="B", WORKDAY(Main[[#This Row],[Tech Start Date]],19),IF(Main[[#This Row],[Class]]="A",WORKDAY(Main[[#This Row],[Tech Start Date]],9),""))))</f>
        <v/>
      </c>
      <c r="Q681" s="67">
        <v>40387</v>
      </c>
      <c r="R681" s="67"/>
      <c r="S681" s="65" t="s">
        <v>11</v>
      </c>
      <c r="T681" s="70" t="s">
        <v>4</v>
      </c>
      <c r="U681" s="65" t="s">
        <v>14</v>
      </c>
      <c r="V681" s="65" t="s">
        <v>1927</v>
      </c>
      <c r="W681" s="65" t="s">
        <v>1922</v>
      </c>
      <c r="X681" s="65" t="s">
        <v>2830</v>
      </c>
      <c r="Y681" s="65" t="s">
        <v>3081</v>
      </c>
      <c r="Z681" s="65" t="s">
        <v>81</v>
      </c>
      <c r="AA681" s="65" t="s">
        <v>3318</v>
      </c>
    </row>
    <row r="682" spans="1:27" ht="17.45" customHeight="1">
      <c r="A682" s="131" t="str">
        <f>IF(priority(Main[[#This Row],[Comments]])&lt;&gt;0, priority(Main[[#This Row],[Comments]]),"")</f>
        <v/>
      </c>
      <c r="B682" s="99" t="s">
        <v>1526</v>
      </c>
      <c r="C682" s="65" t="s">
        <v>607</v>
      </c>
      <c r="D682" s="66" t="s">
        <v>609</v>
      </c>
      <c r="E682" s="67"/>
      <c r="F682" s="67">
        <v>41275</v>
      </c>
      <c r="G682" s="64" t="str">
        <f>IF(stdProdLT(Main[[#This Row],[Comments]])=0.1,"N/A",IF(stdProdLT(Main[[#This Row],[Comments]])=0,"",stdProdLT(Main[[#This Row],[Comments]])))</f>
        <v/>
      </c>
      <c r="H682" s="68" t="str">
        <f>IF(AND(Main[[#This Row],[In Stock Date]]&lt;&gt;"",Main[[#This Row],[Revised Due Date]]&lt;&gt;""),Main[[#This Row],[In Stock Date]]-Main[[#This Row],[Revised Due Date]],"")</f>
        <v/>
      </c>
      <c r="I682" s="65" t="s">
        <v>4</v>
      </c>
      <c r="J682" s="65" t="s">
        <v>4</v>
      </c>
      <c r="K682" s="65" t="s">
        <v>4</v>
      </c>
      <c r="L682" s="67"/>
      <c r="M682" s="69" t="str">
        <f>IF(Main[[#This Row],[Tech Start Date]]&lt;1/1/1990,"",IF(Main[[#This Row],[Class]]="C",WORKDAY(Main[[#This Row],[Tech Start Date]],9),IF(Main[[#This Row],[Class]]="B", WORKDAY(Main[[#This Row],[Tech Start Date]],6),IF(Main[[#This Row],[Class]]="A",WORKDAY(Main[[#This Row],[Tech Start Date]],2),""))))</f>
        <v/>
      </c>
      <c r="N682" s="69" t="str">
        <f>IF(Main[[#This Row],[Tech Start Date]]&lt;1/1/1990,"",IF(Main[[#This Row],[Class]]="C",WORKDAY(Main[[#This Row],[Tech Start Date]],19),IF(Main[[#This Row],[Class]]="B", WORKDAY(Main[[#This Row],[Tech Start Date]],12),IF(Main[[#This Row],[Class]]="A",WORKDAY(Main[[#This Row],[Tech Start Date]],4),""))))</f>
        <v/>
      </c>
      <c r="O682" s="69" t="str">
        <f>IF(Main[[#This Row],[Tech Start Date]]&lt;1/1/1990,"",IF(Main[[#This Row],[Class]]="C",WORKDAY(Main[[#This Row],[Tech Start Date]],23),IF(Main[[#This Row],[Class]]="B", WORKDAY(Main[[#This Row],[Tech Start Date]],15),IF(Main[[#This Row],[Class]]="A",WORKDAY(Main[[#This Row],[Tech Start Date]],5),""))))</f>
        <v/>
      </c>
      <c r="P682" s="69" t="str">
        <f>IF(Main[[#This Row],[Tech Start Date]]&lt;1/1/1990,"",IF(Main[[#This Row],[Class]]="C",WORKDAY(Main[[#This Row],[Tech Start Date]],28),IF(Main[[#This Row],[Class]]="B", WORKDAY(Main[[#This Row],[Tech Start Date]],19),IF(Main[[#This Row],[Class]]="A",WORKDAY(Main[[#This Row],[Tech Start Date]],9),""))))</f>
        <v/>
      </c>
      <c r="Q682" s="67">
        <v>40387</v>
      </c>
      <c r="R682" s="67"/>
      <c r="S682" s="65" t="s">
        <v>11</v>
      </c>
      <c r="T682" s="70" t="s">
        <v>4</v>
      </c>
      <c r="U682" s="65" t="s">
        <v>14</v>
      </c>
      <c r="V682" s="65" t="s">
        <v>1927</v>
      </c>
      <c r="W682" s="65" t="s">
        <v>1922</v>
      </c>
      <c r="X682" s="65" t="s">
        <v>2830</v>
      </c>
      <c r="Y682" s="65" t="s">
        <v>3081</v>
      </c>
      <c r="Z682" s="65" t="s">
        <v>4</v>
      </c>
      <c r="AA682" s="65" t="s">
        <v>3318</v>
      </c>
    </row>
    <row r="683" spans="1:27" ht="17.45" customHeight="1">
      <c r="A683" s="131" t="str">
        <f>IF(priority(Main[[#This Row],[Comments]])&lt;&gt;0, priority(Main[[#This Row],[Comments]]),"")</f>
        <v/>
      </c>
      <c r="B683" s="99" t="s">
        <v>1527</v>
      </c>
      <c r="C683" s="65" t="s">
        <v>290</v>
      </c>
      <c r="D683" s="66" t="s">
        <v>291</v>
      </c>
      <c r="E683" s="67"/>
      <c r="F683" s="67"/>
      <c r="G683" s="64" t="str">
        <f>IF(stdProdLT(Main[[#This Row],[Comments]])=0.1,"N/A",IF(stdProdLT(Main[[#This Row],[Comments]])=0,"",stdProdLT(Main[[#This Row],[Comments]])))</f>
        <v/>
      </c>
      <c r="H683" s="68" t="str">
        <f>IF(AND(Main[[#This Row],[In Stock Date]]&lt;&gt;"",Main[[#This Row],[Revised Due Date]]&lt;&gt;""),Main[[#This Row],[In Stock Date]]-Main[[#This Row],[Revised Due Date]],"")</f>
        <v/>
      </c>
      <c r="I683" s="65" t="s">
        <v>4</v>
      </c>
      <c r="J683" s="65" t="s">
        <v>4</v>
      </c>
      <c r="K683" s="65" t="s">
        <v>4</v>
      </c>
      <c r="L683" s="67"/>
      <c r="M683" s="69" t="str">
        <f>IF(Main[[#This Row],[Tech Start Date]]&lt;1/1/1990,"",IF(Main[[#This Row],[Class]]="C",WORKDAY(Main[[#This Row],[Tech Start Date]],9),IF(Main[[#This Row],[Class]]="B", WORKDAY(Main[[#This Row],[Tech Start Date]],6),IF(Main[[#This Row],[Class]]="A",WORKDAY(Main[[#This Row],[Tech Start Date]],2),""))))</f>
        <v/>
      </c>
      <c r="N683" s="69" t="str">
        <f>IF(Main[[#This Row],[Tech Start Date]]&lt;1/1/1990,"",IF(Main[[#This Row],[Class]]="C",WORKDAY(Main[[#This Row],[Tech Start Date]],19),IF(Main[[#This Row],[Class]]="B", WORKDAY(Main[[#This Row],[Tech Start Date]],12),IF(Main[[#This Row],[Class]]="A",WORKDAY(Main[[#This Row],[Tech Start Date]],4),""))))</f>
        <v/>
      </c>
      <c r="O683" s="69" t="str">
        <f>IF(Main[[#This Row],[Tech Start Date]]&lt;1/1/1990,"",IF(Main[[#This Row],[Class]]="C",WORKDAY(Main[[#This Row],[Tech Start Date]],23),IF(Main[[#This Row],[Class]]="B", WORKDAY(Main[[#This Row],[Tech Start Date]],15),IF(Main[[#This Row],[Class]]="A",WORKDAY(Main[[#This Row],[Tech Start Date]],5),""))))</f>
        <v/>
      </c>
      <c r="P683" s="69" t="str">
        <f>IF(Main[[#This Row],[Tech Start Date]]&lt;1/1/1990,"",IF(Main[[#This Row],[Class]]="C",WORKDAY(Main[[#This Row],[Tech Start Date]],28),IF(Main[[#This Row],[Class]]="B", WORKDAY(Main[[#This Row],[Tech Start Date]],19),IF(Main[[#This Row],[Class]]="A",WORKDAY(Main[[#This Row],[Tech Start Date]],9),""))))</f>
        <v/>
      </c>
      <c r="Q683" s="67">
        <v>40052</v>
      </c>
      <c r="R683" s="67"/>
      <c r="S683" s="65" t="s">
        <v>11</v>
      </c>
      <c r="T683" s="70" t="s">
        <v>4</v>
      </c>
      <c r="U683" s="65" t="s">
        <v>14</v>
      </c>
      <c r="V683" s="65" t="s">
        <v>1920</v>
      </c>
      <c r="W683" s="65" t="s">
        <v>1919</v>
      </c>
      <c r="X683" s="65" t="s">
        <v>2840</v>
      </c>
      <c r="Y683" s="65" t="s">
        <v>4</v>
      </c>
      <c r="Z683" s="65" t="s">
        <v>4</v>
      </c>
      <c r="AA683" s="65" t="s">
        <v>2840</v>
      </c>
    </row>
    <row r="684" spans="1:27" ht="17.45" customHeight="1">
      <c r="A684" s="131" t="str">
        <f>IF(priority(Main[[#This Row],[Comments]])&lt;&gt;0, priority(Main[[#This Row],[Comments]]),"")</f>
        <v/>
      </c>
      <c r="B684" s="99" t="s">
        <v>1528</v>
      </c>
      <c r="C684" s="65" t="s">
        <v>4</v>
      </c>
      <c r="D684" s="66" t="s">
        <v>610</v>
      </c>
      <c r="E684" s="67">
        <v>40533.617372685185</v>
      </c>
      <c r="F684" s="67">
        <v>40602</v>
      </c>
      <c r="G684" s="64" t="str">
        <f>IF(stdProdLT(Main[[#This Row],[Comments]])=0.1,"N/A",IF(stdProdLT(Main[[#This Row],[Comments]])=0,"",stdProdLT(Main[[#This Row],[Comments]])))</f>
        <v/>
      </c>
      <c r="H684" s="68" t="str">
        <f>IF(AND(Main[[#This Row],[In Stock Date]]&lt;&gt;"",Main[[#This Row],[Revised Due Date]]&lt;&gt;""),Main[[#This Row],[In Stock Date]]-Main[[#This Row],[Revised Due Date]],"")</f>
        <v/>
      </c>
      <c r="I684" s="65" t="s">
        <v>4</v>
      </c>
      <c r="J684" s="65" t="s">
        <v>28</v>
      </c>
      <c r="K684" s="65" t="s">
        <v>1926</v>
      </c>
      <c r="L684" s="67"/>
      <c r="M684" s="69" t="str">
        <f>IF(Main[[#This Row],[Tech Start Date]]&lt;1/1/1990,"",IF(Main[[#This Row],[Class]]="C",WORKDAY(Main[[#This Row],[Tech Start Date]],9),IF(Main[[#This Row],[Class]]="B", WORKDAY(Main[[#This Row],[Tech Start Date]],6),IF(Main[[#This Row],[Class]]="A",WORKDAY(Main[[#This Row],[Tech Start Date]],2),""))))</f>
        <v/>
      </c>
      <c r="N684" s="69" t="str">
        <f>IF(Main[[#This Row],[Tech Start Date]]&lt;1/1/1990,"",IF(Main[[#This Row],[Class]]="C",WORKDAY(Main[[#This Row],[Tech Start Date]],19),IF(Main[[#This Row],[Class]]="B", WORKDAY(Main[[#This Row],[Tech Start Date]],12),IF(Main[[#This Row],[Class]]="A",WORKDAY(Main[[#This Row],[Tech Start Date]],4),""))))</f>
        <v/>
      </c>
      <c r="O684" s="69" t="str">
        <f>IF(Main[[#This Row],[Tech Start Date]]&lt;1/1/1990,"",IF(Main[[#This Row],[Class]]="C",WORKDAY(Main[[#This Row],[Tech Start Date]],23),IF(Main[[#This Row],[Class]]="B", WORKDAY(Main[[#This Row],[Tech Start Date]],15),IF(Main[[#This Row],[Class]]="A",WORKDAY(Main[[#This Row],[Tech Start Date]],5),""))))</f>
        <v/>
      </c>
      <c r="P684" s="69" t="str">
        <f>IF(Main[[#This Row],[Tech Start Date]]&lt;1/1/1990,"",IF(Main[[#This Row],[Class]]="C",WORKDAY(Main[[#This Row],[Tech Start Date]],28),IF(Main[[#This Row],[Class]]="B", WORKDAY(Main[[#This Row],[Tech Start Date]],19),IF(Main[[#This Row],[Class]]="A",WORKDAY(Main[[#This Row],[Tech Start Date]],9),""))))</f>
        <v/>
      </c>
      <c r="Q684" s="67">
        <v>40602</v>
      </c>
      <c r="R684" s="67"/>
      <c r="S684" s="65" t="s">
        <v>6</v>
      </c>
      <c r="T684" s="70" t="s">
        <v>4</v>
      </c>
      <c r="U684" s="65" t="s">
        <v>7</v>
      </c>
      <c r="V684" s="65" t="s">
        <v>1917</v>
      </c>
      <c r="W684" s="65" t="s">
        <v>1919</v>
      </c>
      <c r="X684" s="65" t="s">
        <v>2893</v>
      </c>
      <c r="Y684" s="65" t="s">
        <v>3049</v>
      </c>
      <c r="Z684" s="65" t="s">
        <v>129</v>
      </c>
      <c r="AA684" s="65" t="s">
        <v>2893</v>
      </c>
    </row>
    <row r="685" spans="1:27" ht="17.45" customHeight="1">
      <c r="A685" s="131" t="str">
        <f>IF(priority(Main[[#This Row],[Comments]])&lt;&gt;0, priority(Main[[#This Row],[Comments]]),"")</f>
        <v/>
      </c>
      <c r="B685" s="99" t="s">
        <v>1529</v>
      </c>
      <c r="C685" s="65" t="s">
        <v>4</v>
      </c>
      <c r="D685" s="66" t="s">
        <v>611</v>
      </c>
      <c r="E685" s="67">
        <v>40387.693402777775</v>
      </c>
      <c r="F685" s="67"/>
      <c r="G685" s="64" t="str">
        <f>IF(stdProdLT(Main[[#This Row],[Comments]])=0.1,"N/A",IF(stdProdLT(Main[[#This Row],[Comments]])=0,"",stdProdLT(Main[[#This Row],[Comments]])))</f>
        <v/>
      </c>
      <c r="H685" s="68" t="str">
        <f>IF(AND(Main[[#This Row],[In Stock Date]]&lt;&gt;"",Main[[#This Row],[Revised Due Date]]&lt;&gt;""),Main[[#This Row],[In Stock Date]]-Main[[#This Row],[Revised Due Date]],"")</f>
        <v/>
      </c>
      <c r="I685" s="65" t="s">
        <v>4</v>
      </c>
      <c r="J685" s="65" t="s">
        <v>28</v>
      </c>
      <c r="K685" s="65" t="s">
        <v>4</v>
      </c>
      <c r="L685" s="67"/>
      <c r="M685" s="69" t="str">
        <f>IF(Main[[#This Row],[Tech Start Date]]&lt;1/1/1990,"",IF(Main[[#This Row],[Class]]="C",WORKDAY(Main[[#This Row],[Tech Start Date]],9),IF(Main[[#This Row],[Class]]="B", WORKDAY(Main[[#This Row],[Tech Start Date]],6),IF(Main[[#This Row],[Class]]="A",WORKDAY(Main[[#This Row],[Tech Start Date]],2),""))))</f>
        <v/>
      </c>
      <c r="N685" s="69" t="str">
        <f>IF(Main[[#This Row],[Tech Start Date]]&lt;1/1/1990,"",IF(Main[[#This Row],[Class]]="C",WORKDAY(Main[[#This Row],[Tech Start Date]],19),IF(Main[[#This Row],[Class]]="B", WORKDAY(Main[[#This Row],[Tech Start Date]],12),IF(Main[[#This Row],[Class]]="A",WORKDAY(Main[[#This Row],[Tech Start Date]],4),""))))</f>
        <v/>
      </c>
      <c r="O685" s="69" t="str">
        <f>IF(Main[[#This Row],[Tech Start Date]]&lt;1/1/1990,"",IF(Main[[#This Row],[Class]]="C",WORKDAY(Main[[#This Row],[Tech Start Date]],23),IF(Main[[#This Row],[Class]]="B", WORKDAY(Main[[#This Row],[Tech Start Date]],15),IF(Main[[#This Row],[Class]]="A",WORKDAY(Main[[#This Row],[Tech Start Date]],5),""))))</f>
        <v/>
      </c>
      <c r="P685" s="69" t="str">
        <f>IF(Main[[#This Row],[Tech Start Date]]&lt;1/1/1990,"",IF(Main[[#This Row],[Class]]="C",WORKDAY(Main[[#This Row],[Tech Start Date]],28),IF(Main[[#This Row],[Class]]="B", WORKDAY(Main[[#This Row],[Tech Start Date]],19),IF(Main[[#This Row],[Class]]="A",WORKDAY(Main[[#This Row],[Tech Start Date]],9),""))))</f>
        <v/>
      </c>
      <c r="Q685" s="67">
        <v>40400</v>
      </c>
      <c r="R685" s="67"/>
      <c r="S685" s="65" t="s">
        <v>6</v>
      </c>
      <c r="T685" s="70" t="s">
        <v>4</v>
      </c>
      <c r="U685" s="65" t="s">
        <v>7</v>
      </c>
      <c r="V685" s="65" t="s">
        <v>1917</v>
      </c>
      <c r="W685" s="65" t="s">
        <v>1919</v>
      </c>
      <c r="X685" s="65" t="s">
        <v>102</v>
      </c>
      <c r="Y685" s="65" t="s">
        <v>3038</v>
      </c>
      <c r="Z685" s="65" t="s">
        <v>129</v>
      </c>
      <c r="AA685" s="65" t="s">
        <v>3408</v>
      </c>
    </row>
    <row r="686" spans="1:27" ht="17.45" customHeight="1">
      <c r="A686" s="131" t="str">
        <f>IF(priority(Main[[#This Row],[Comments]])&lt;&gt;0, priority(Main[[#This Row],[Comments]]),"")</f>
        <v/>
      </c>
      <c r="B686" s="99" t="s">
        <v>1530</v>
      </c>
      <c r="C686" s="65" t="s">
        <v>4</v>
      </c>
      <c r="D686" s="66" t="s">
        <v>612</v>
      </c>
      <c r="E686" s="67">
        <v>40506.643229166664</v>
      </c>
      <c r="F686" s="67"/>
      <c r="G686" s="64" t="str">
        <f>IF(stdProdLT(Main[[#This Row],[Comments]])=0.1,"N/A",IF(stdProdLT(Main[[#This Row],[Comments]])=0,"",stdProdLT(Main[[#This Row],[Comments]])))</f>
        <v/>
      </c>
      <c r="H686" s="68" t="str">
        <f>IF(AND(Main[[#This Row],[In Stock Date]]&lt;&gt;"",Main[[#This Row],[Revised Due Date]]&lt;&gt;""),Main[[#This Row],[In Stock Date]]-Main[[#This Row],[Revised Due Date]],"")</f>
        <v/>
      </c>
      <c r="I686" s="65" t="s">
        <v>4</v>
      </c>
      <c r="J686" s="65" t="s">
        <v>28</v>
      </c>
      <c r="K686" s="65" t="s">
        <v>1924</v>
      </c>
      <c r="L686" s="67"/>
      <c r="M686" s="69" t="str">
        <f>IF(Main[[#This Row],[Tech Start Date]]&lt;1/1/1990,"",IF(Main[[#This Row],[Class]]="C",WORKDAY(Main[[#This Row],[Tech Start Date]],9),IF(Main[[#This Row],[Class]]="B", WORKDAY(Main[[#This Row],[Tech Start Date]],6),IF(Main[[#This Row],[Class]]="A",WORKDAY(Main[[#This Row],[Tech Start Date]],2),""))))</f>
        <v/>
      </c>
      <c r="N686" s="69" t="str">
        <f>IF(Main[[#This Row],[Tech Start Date]]&lt;1/1/1990,"",IF(Main[[#This Row],[Class]]="C",WORKDAY(Main[[#This Row],[Tech Start Date]],19),IF(Main[[#This Row],[Class]]="B", WORKDAY(Main[[#This Row],[Tech Start Date]],12),IF(Main[[#This Row],[Class]]="A",WORKDAY(Main[[#This Row],[Tech Start Date]],4),""))))</f>
        <v/>
      </c>
      <c r="O686" s="69" t="str">
        <f>IF(Main[[#This Row],[Tech Start Date]]&lt;1/1/1990,"",IF(Main[[#This Row],[Class]]="C",WORKDAY(Main[[#This Row],[Tech Start Date]],23),IF(Main[[#This Row],[Class]]="B", WORKDAY(Main[[#This Row],[Tech Start Date]],15),IF(Main[[#This Row],[Class]]="A",WORKDAY(Main[[#This Row],[Tech Start Date]],5),""))))</f>
        <v/>
      </c>
      <c r="P686" s="69" t="str">
        <f>IF(Main[[#This Row],[Tech Start Date]]&lt;1/1/1990,"",IF(Main[[#This Row],[Class]]="C",WORKDAY(Main[[#This Row],[Tech Start Date]],28),IF(Main[[#This Row],[Class]]="B", WORKDAY(Main[[#This Row],[Tech Start Date]],19),IF(Main[[#This Row],[Class]]="A",WORKDAY(Main[[#This Row],[Tech Start Date]],9),""))))</f>
        <v/>
      </c>
      <c r="Q686" s="67">
        <v>40548</v>
      </c>
      <c r="R686" s="67"/>
      <c r="S686" s="65" t="s">
        <v>6</v>
      </c>
      <c r="T686" s="70" t="s">
        <v>4</v>
      </c>
      <c r="U686" s="65" t="s">
        <v>7</v>
      </c>
      <c r="V686" s="65" t="s">
        <v>1917</v>
      </c>
      <c r="W686" s="65" t="s">
        <v>1921</v>
      </c>
      <c r="X686" s="65" t="s">
        <v>2827</v>
      </c>
      <c r="Y686" s="65" t="s">
        <v>2942</v>
      </c>
      <c r="Z686" s="65" t="s">
        <v>129</v>
      </c>
      <c r="AA686" s="65" t="s">
        <v>2827</v>
      </c>
    </row>
    <row r="687" spans="1:27" ht="17.45" customHeight="1">
      <c r="A687" s="131" t="str">
        <f>IF(priority(Main[[#This Row],[Comments]])&lt;&gt;0, priority(Main[[#This Row],[Comments]]),"")</f>
        <v/>
      </c>
      <c r="B687" s="99" t="s">
        <v>1531</v>
      </c>
      <c r="C687" s="65" t="s">
        <v>4</v>
      </c>
      <c r="D687" s="66" t="s">
        <v>613</v>
      </c>
      <c r="E687" s="67">
        <v>40371.390138888892</v>
      </c>
      <c r="F687" s="67"/>
      <c r="G687" s="64" t="str">
        <f>IF(stdProdLT(Main[[#This Row],[Comments]])=0.1,"N/A",IF(stdProdLT(Main[[#This Row],[Comments]])=0,"",stdProdLT(Main[[#This Row],[Comments]])))</f>
        <v/>
      </c>
      <c r="H687" s="68" t="str">
        <f>IF(AND(Main[[#This Row],[In Stock Date]]&lt;&gt;"",Main[[#This Row],[Revised Due Date]]&lt;&gt;""),Main[[#This Row],[In Stock Date]]-Main[[#This Row],[Revised Due Date]],"")</f>
        <v/>
      </c>
      <c r="I687" s="65" t="s">
        <v>4</v>
      </c>
      <c r="J687" s="65" t="s">
        <v>4</v>
      </c>
      <c r="K687" s="65" t="s">
        <v>4</v>
      </c>
      <c r="L687" s="67"/>
      <c r="M687" s="69" t="str">
        <f>IF(Main[[#This Row],[Tech Start Date]]&lt;1/1/1990,"",IF(Main[[#This Row],[Class]]="C",WORKDAY(Main[[#This Row],[Tech Start Date]],9),IF(Main[[#This Row],[Class]]="B", WORKDAY(Main[[#This Row],[Tech Start Date]],6),IF(Main[[#This Row],[Class]]="A",WORKDAY(Main[[#This Row],[Tech Start Date]],2),""))))</f>
        <v/>
      </c>
      <c r="N687" s="69" t="str">
        <f>IF(Main[[#This Row],[Tech Start Date]]&lt;1/1/1990,"",IF(Main[[#This Row],[Class]]="C",WORKDAY(Main[[#This Row],[Tech Start Date]],19),IF(Main[[#This Row],[Class]]="B", WORKDAY(Main[[#This Row],[Tech Start Date]],12),IF(Main[[#This Row],[Class]]="A",WORKDAY(Main[[#This Row],[Tech Start Date]],4),""))))</f>
        <v/>
      </c>
      <c r="O687" s="69" t="str">
        <f>IF(Main[[#This Row],[Tech Start Date]]&lt;1/1/1990,"",IF(Main[[#This Row],[Class]]="C",WORKDAY(Main[[#This Row],[Tech Start Date]],23),IF(Main[[#This Row],[Class]]="B", WORKDAY(Main[[#This Row],[Tech Start Date]],15),IF(Main[[#This Row],[Class]]="A",WORKDAY(Main[[#This Row],[Tech Start Date]],5),""))))</f>
        <v/>
      </c>
      <c r="P687" s="69" t="str">
        <f>IF(Main[[#This Row],[Tech Start Date]]&lt;1/1/1990,"",IF(Main[[#This Row],[Class]]="C",WORKDAY(Main[[#This Row],[Tech Start Date]],28),IF(Main[[#This Row],[Class]]="B", WORKDAY(Main[[#This Row],[Tech Start Date]],19),IF(Main[[#This Row],[Class]]="A",WORKDAY(Main[[#This Row],[Tech Start Date]],9),""))))</f>
        <v/>
      </c>
      <c r="Q687" s="67">
        <v>40385</v>
      </c>
      <c r="R687" s="67"/>
      <c r="S687" s="65" t="s">
        <v>6</v>
      </c>
      <c r="T687" s="70" t="s">
        <v>4</v>
      </c>
      <c r="U687" s="65" t="s">
        <v>7</v>
      </c>
      <c r="V687" s="65" t="s">
        <v>1917</v>
      </c>
      <c r="W687" s="65" t="s">
        <v>1919</v>
      </c>
      <c r="X687" s="65" t="s">
        <v>102</v>
      </c>
      <c r="Y687" s="65" t="s">
        <v>2998</v>
      </c>
      <c r="Z687" s="65" t="s">
        <v>4</v>
      </c>
      <c r="AA687" s="65" t="s">
        <v>129</v>
      </c>
    </row>
    <row r="688" spans="1:27" ht="17.45" customHeight="1">
      <c r="A688" s="131" t="str">
        <f>IF(priority(Main[[#This Row],[Comments]])&lt;&gt;0, priority(Main[[#This Row],[Comments]]),"")</f>
        <v/>
      </c>
      <c r="B688" s="99" t="s">
        <v>1668</v>
      </c>
      <c r="C688" s="65" t="s">
        <v>4</v>
      </c>
      <c r="D688" s="66" t="s">
        <v>730</v>
      </c>
      <c r="E688" s="67"/>
      <c r="F688" s="67"/>
      <c r="G688" s="64" t="str">
        <f>IF(stdProdLT(Main[[#This Row],[Comments]])=0.1,"N/A",IF(stdProdLT(Main[[#This Row],[Comments]])=0,"",stdProdLT(Main[[#This Row],[Comments]])))</f>
        <v/>
      </c>
      <c r="H688" s="68" t="str">
        <f>IF(AND(Main[[#This Row],[In Stock Date]]&lt;&gt;"",Main[[#This Row],[Revised Due Date]]&lt;&gt;""),Main[[#This Row],[In Stock Date]]-Main[[#This Row],[Revised Due Date]],"")</f>
        <v/>
      </c>
      <c r="I688" s="65" t="s">
        <v>4</v>
      </c>
      <c r="J688" s="65" t="s">
        <v>4</v>
      </c>
      <c r="K688" s="65" t="s">
        <v>4</v>
      </c>
      <c r="L688" s="67"/>
      <c r="M688" s="69" t="str">
        <f>IF(Main[[#This Row],[Tech Start Date]]&lt;1/1/1990,"",IF(Main[[#This Row],[Class]]="C",WORKDAY(Main[[#This Row],[Tech Start Date]],9),IF(Main[[#This Row],[Class]]="B", WORKDAY(Main[[#This Row],[Tech Start Date]],6),IF(Main[[#This Row],[Class]]="A",WORKDAY(Main[[#This Row],[Tech Start Date]],2),""))))</f>
        <v/>
      </c>
      <c r="N688" s="69" t="str">
        <f>IF(Main[[#This Row],[Tech Start Date]]&lt;1/1/1990,"",IF(Main[[#This Row],[Class]]="C",WORKDAY(Main[[#This Row],[Tech Start Date]],19),IF(Main[[#This Row],[Class]]="B", WORKDAY(Main[[#This Row],[Tech Start Date]],12),IF(Main[[#This Row],[Class]]="A",WORKDAY(Main[[#This Row],[Tech Start Date]],4),""))))</f>
        <v/>
      </c>
      <c r="O688" s="69" t="str">
        <f>IF(Main[[#This Row],[Tech Start Date]]&lt;1/1/1990,"",IF(Main[[#This Row],[Class]]="C",WORKDAY(Main[[#This Row],[Tech Start Date]],23),IF(Main[[#This Row],[Class]]="B", WORKDAY(Main[[#This Row],[Tech Start Date]],15),IF(Main[[#This Row],[Class]]="A",WORKDAY(Main[[#This Row],[Tech Start Date]],5),""))))</f>
        <v/>
      </c>
      <c r="P688" s="69" t="str">
        <f>IF(Main[[#This Row],[Tech Start Date]]&lt;1/1/1990,"",IF(Main[[#This Row],[Class]]="C",WORKDAY(Main[[#This Row],[Tech Start Date]],28),IF(Main[[#This Row],[Class]]="B", WORKDAY(Main[[#This Row],[Tech Start Date]],19),IF(Main[[#This Row],[Class]]="A",WORKDAY(Main[[#This Row],[Tech Start Date]],9),""))))</f>
        <v/>
      </c>
      <c r="Q688" s="67"/>
      <c r="R688" s="67"/>
      <c r="S688" s="65" t="s">
        <v>23</v>
      </c>
      <c r="T688" s="70" t="s">
        <v>4</v>
      </c>
      <c r="U688" s="65" t="s">
        <v>14</v>
      </c>
      <c r="V688" s="65" t="s">
        <v>1917</v>
      </c>
      <c r="W688" s="65" t="s">
        <v>1921</v>
      </c>
      <c r="X688" s="65" t="s">
        <v>102</v>
      </c>
      <c r="Y688" s="65" t="s">
        <v>3082</v>
      </c>
      <c r="Z688" s="65" t="s">
        <v>4</v>
      </c>
      <c r="AA688" s="65" t="s">
        <v>3435</v>
      </c>
    </row>
    <row r="689" spans="1:27" ht="17.45" customHeight="1">
      <c r="A689" s="131" t="str">
        <f>IF(priority(Main[[#This Row],[Comments]])&lt;&gt;0, priority(Main[[#This Row],[Comments]]),"")</f>
        <v/>
      </c>
      <c r="B689" s="99" t="s">
        <v>1532</v>
      </c>
      <c r="C689" s="65" t="s">
        <v>33</v>
      </c>
      <c r="D689" s="66" t="s">
        <v>614</v>
      </c>
      <c r="E689" s="67"/>
      <c r="F689" s="67">
        <v>40252</v>
      </c>
      <c r="G689" s="64" t="str">
        <f>IF(stdProdLT(Main[[#This Row],[Comments]])=0.1,"N/A",IF(stdProdLT(Main[[#This Row],[Comments]])=0,"",stdProdLT(Main[[#This Row],[Comments]])))</f>
        <v/>
      </c>
      <c r="H689" s="68" t="str">
        <f>IF(AND(Main[[#This Row],[In Stock Date]]&lt;&gt;"",Main[[#This Row],[Revised Due Date]]&lt;&gt;""),Main[[#This Row],[In Stock Date]]-Main[[#This Row],[Revised Due Date]],"")</f>
        <v/>
      </c>
      <c r="I689" s="65" t="s">
        <v>4</v>
      </c>
      <c r="J689" s="65" t="s">
        <v>4</v>
      </c>
      <c r="K689" s="65" t="s">
        <v>4</v>
      </c>
      <c r="L689" s="67"/>
      <c r="M689" s="69" t="str">
        <f>IF(Main[[#This Row],[Tech Start Date]]&lt;1/1/1990,"",IF(Main[[#This Row],[Class]]="C",WORKDAY(Main[[#This Row],[Tech Start Date]],9),IF(Main[[#This Row],[Class]]="B", WORKDAY(Main[[#This Row],[Tech Start Date]],6),IF(Main[[#This Row],[Class]]="A",WORKDAY(Main[[#This Row],[Tech Start Date]],2),""))))</f>
        <v/>
      </c>
      <c r="N689" s="69" t="str">
        <f>IF(Main[[#This Row],[Tech Start Date]]&lt;1/1/1990,"",IF(Main[[#This Row],[Class]]="C",WORKDAY(Main[[#This Row],[Tech Start Date]],19),IF(Main[[#This Row],[Class]]="B", WORKDAY(Main[[#This Row],[Tech Start Date]],12),IF(Main[[#This Row],[Class]]="A",WORKDAY(Main[[#This Row],[Tech Start Date]],4),""))))</f>
        <v/>
      </c>
      <c r="O689" s="69" t="str">
        <f>IF(Main[[#This Row],[Tech Start Date]]&lt;1/1/1990,"",IF(Main[[#This Row],[Class]]="C",WORKDAY(Main[[#This Row],[Tech Start Date]],23),IF(Main[[#This Row],[Class]]="B", WORKDAY(Main[[#This Row],[Tech Start Date]],15),IF(Main[[#This Row],[Class]]="A",WORKDAY(Main[[#This Row],[Tech Start Date]],5),""))))</f>
        <v/>
      </c>
      <c r="P689" s="69" t="str">
        <f>IF(Main[[#This Row],[Tech Start Date]]&lt;1/1/1990,"",IF(Main[[#This Row],[Class]]="C",WORKDAY(Main[[#This Row],[Tech Start Date]],28),IF(Main[[#This Row],[Class]]="B", WORKDAY(Main[[#This Row],[Tech Start Date]],19),IF(Main[[#This Row],[Class]]="A",WORKDAY(Main[[#This Row],[Tech Start Date]],9),""))))</f>
        <v/>
      </c>
      <c r="Q689" s="67">
        <v>40227</v>
      </c>
      <c r="R689" s="67"/>
      <c r="S689" s="65" t="s">
        <v>11</v>
      </c>
      <c r="T689" s="70" t="s">
        <v>4</v>
      </c>
      <c r="U689" s="65" t="s">
        <v>14</v>
      </c>
      <c r="V689" s="65" t="s">
        <v>1920</v>
      </c>
      <c r="W689" s="65" t="s">
        <v>1922</v>
      </c>
      <c r="X689" s="65" t="s">
        <v>2856</v>
      </c>
      <c r="Y689" s="65" t="s">
        <v>4</v>
      </c>
      <c r="Z689" s="65" t="s">
        <v>4</v>
      </c>
      <c r="AA689" s="65" t="s">
        <v>2856</v>
      </c>
    </row>
    <row r="690" spans="1:27" ht="17.45" customHeight="1">
      <c r="A690" s="131" t="str">
        <f>IF(priority(Main[[#This Row],[Comments]])&lt;&gt;0, priority(Main[[#This Row],[Comments]]),"")</f>
        <v/>
      </c>
      <c r="B690" s="99" t="s">
        <v>1533</v>
      </c>
      <c r="C690" s="65" t="s">
        <v>4</v>
      </c>
      <c r="D690" s="66" t="s">
        <v>615</v>
      </c>
      <c r="E690" s="67"/>
      <c r="F690" s="67"/>
      <c r="G690" s="64" t="str">
        <f>IF(stdProdLT(Main[[#This Row],[Comments]])=0.1,"N/A",IF(stdProdLT(Main[[#This Row],[Comments]])=0,"",stdProdLT(Main[[#This Row],[Comments]])))</f>
        <v/>
      </c>
      <c r="H690" s="68" t="str">
        <f>IF(AND(Main[[#This Row],[In Stock Date]]&lt;&gt;"",Main[[#This Row],[Revised Due Date]]&lt;&gt;""),Main[[#This Row],[In Stock Date]]-Main[[#This Row],[Revised Due Date]],"")</f>
        <v/>
      </c>
      <c r="I690" s="65" t="s">
        <v>4</v>
      </c>
      <c r="J690" s="65" t="s">
        <v>28</v>
      </c>
      <c r="K690" s="65" t="s">
        <v>1926</v>
      </c>
      <c r="L690" s="67"/>
      <c r="M690" s="69" t="str">
        <f>IF(Main[[#This Row],[Tech Start Date]]&lt;1/1/1990,"",IF(Main[[#This Row],[Class]]="C",WORKDAY(Main[[#This Row],[Tech Start Date]],9),IF(Main[[#This Row],[Class]]="B", WORKDAY(Main[[#This Row],[Tech Start Date]],6),IF(Main[[#This Row],[Class]]="A",WORKDAY(Main[[#This Row],[Tech Start Date]],2),""))))</f>
        <v/>
      </c>
      <c r="N690" s="69" t="str">
        <f>IF(Main[[#This Row],[Tech Start Date]]&lt;1/1/1990,"",IF(Main[[#This Row],[Class]]="C",WORKDAY(Main[[#This Row],[Tech Start Date]],19),IF(Main[[#This Row],[Class]]="B", WORKDAY(Main[[#This Row],[Tech Start Date]],12),IF(Main[[#This Row],[Class]]="A",WORKDAY(Main[[#This Row],[Tech Start Date]],4),""))))</f>
        <v/>
      </c>
      <c r="O690" s="69" t="str">
        <f>IF(Main[[#This Row],[Tech Start Date]]&lt;1/1/1990,"",IF(Main[[#This Row],[Class]]="C",WORKDAY(Main[[#This Row],[Tech Start Date]],23),IF(Main[[#This Row],[Class]]="B", WORKDAY(Main[[#This Row],[Tech Start Date]],15),IF(Main[[#This Row],[Class]]="A",WORKDAY(Main[[#This Row],[Tech Start Date]],5),""))))</f>
        <v/>
      </c>
      <c r="P690" s="69" t="str">
        <f>IF(Main[[#This Row],[Tech Start Date]]&lt;1/1/1990,"",IF(Main[[#This Row],[Class]]="C",WORKDAY(Main[[#This Row],[Tech Start Date]],28),IF(Main[[#This Row],[Class]]="B", WORKDAY(Main[[#This Row],[Tech Start Date]],19),IF(Main[[#This Row],[Class]]="A",WORKDAY(Main[[#This Row],[Tech Start Date]],9),""))))</f>
        <v/>
      </c>
      <c r="Q690" s="67">
        <v>40387</v>
      </c>
      <c r="R690" s="67"/>
      <c r="S690" s="65" t="s">
        <v>6</v>
      </c>
      <c r="T690" s="70" t="s">
        <v>4</v>
      </c>
      <c r="U690" s="65" t="s">
        <v>14</v>
      </c>
      <c r="V690" s="65" t="s">
        <v>1917</v>
      </c>
      <c r="W690" s="65" t="s">
        <v>1922</v>
      </c>
      <c r="X690" s="65" t="s">
        <v>129</v>
      </c>
      <c r="Y690" s="65" t="s">
        <v>3083</v>
      </c>
      <c r="Z690" s="65" t="s">
        <v>129</v>
      </c>
      <c r="AA690" s="65" t="s">
        <v>129</v>
      </c>
    </row>
    <row r="691" spans="1:27" ht="17.45" customHeight="1">
      <c r="A691" s="131" t="str">
        <f>IF(priority(Main[[#This Row],[Comments]])&lt;&gt;0, priority(Main[[#This Row],[Comments]]),"")</f>
        <v/>
      </c>
      <c r="B691" s="99" t="s">
        <v>1534</v>
      </c>
      <c r="C691" s="65" t="s">
        <v>211</v>
      </c>
      <c r="D691" s="66" t="s">
        <v>413</v>
      </c>
      <c r="E691" s="67"/>
      <c r="F691" s="67">
        <v>40391</v>
      </c>
      <c r="G691" s="64" t="str">
        <f>IF(stdProdLT(Main[[#This Row],[Comments]])=0.1,"N/A",IF(stdProdLT(Main[[#This Row],[Comments]])=0,"",stdProdLT(Main[[#This Row],[Comments]])))</f>
        <v/>
      </c>
      <c r="H691" s="68" t="str">
        <f>IF(AND(Main[[#This Row],[In Stock Date]]&lt;&gt;"",Main[[#This Row],[Revised Due Date]]&lt;&gt;""),Main[[#This Row],[In Stock Date]]-Main[[#This Row],[Revised Due Date]],"")</f>
        <v/>
      </c>
      <c r="I691" s="65" t="s">
        <v>4</v>
      </c>
      <c r="J691" s="65" t="s">
        <v>4</v>
      </c>
      <c r="K691" s="65" t="s">
        <v>4</v>
      </c>
      <c r="L691" s="67"/>
      <c r="M691" s="69" t="str">
        <f>IF(Main[[#This Row],[Tech Start Date]]&lt;1/1/1990,"",IF(Main[[#This Row],[Class]]="C",WORKDAY(Main[[#This Row],[Tech Start Date]],9),IF(Main[[#This Row],[Class]]="B", WORKDAY(Main[[#This Row],[Tech Start Date]],6),IF(Main[[#This Row],[Class]]="A",WORKDAY(Main[[#This Row],[Tech Start Date]],2),""))))</f>
        <v/>
      </c>
      <c r="N691" s="69" t="str">
        <f>IF(Main[[#This Row],[Tech Start Date]]&lt;1/1/1990,"",IF(Main[[#This Row],[Class]]="C",WORKDAY(Main[[#This Row],[Tech Start Date]],19),IF(Main[[#This Row],[Class]]="B", WORKDAY(Main[[#This Row],[Tech Start Date]],12),IF(Main[[#This Row],[Class]]="A",WORKDAY(Main[[#This Row],[Tech Start Date]],4),""))))</f>
        <v/>
      </c>
      <c r="O691" s="69" t="str">
        <f>IF(Main[[#This Row],[Tech Start Date]]&lt;1/1/1990,"",IF(Main[[#This Row],[Class]]="C",WORKDAY(Main[[#This Row],[Tech Start Date]],23),IF(Main[[#This Row],[Class]]="B", WORKDAY(Main[[#This Row],[Tech Start Date]],15),IF(Main[[#This Row],[Class]]="A",WORKDAY(Main[[#This Row],[Tech Start Date]],5),""))))</f>
        <v/>
      </c>
      <c r="P691" s="69" t="str">
        <f>IF(Main[[#This Row],[Tech Start Date]]&lt;1/1/1990,"",IF(Main[[#This Row],[Class]]="C",WORKDAY(Main[[#This Row],[Tech Start Date]],28),IF(Main[[#This Row],[Class]]="B", WORKDAY(Main[[#This Row],[Tech Start Date]],19),IF(Main[[#This Row],[Class]]="A",WORKDAY(Main[[#This Row],[Tech Start Date]],9),""))))</f>
        <v/>
      </c>
      <c r="Q691" s="67">
        <v>40296</v>
      </c>
      <c r="R691" s="67"/>
      <c r="S691" s="65" t="s">
        <v>11</v>
      </c>
      <c r="T691" s="70" t="s">
        <v>4</v>
      </c>
      <c r="U691" s="65" t="s">
        <v>12</v>
      </c>
      <c r="V691" s="65" t="s">
        <v>1917</v>
      </c>
      <c r="W691" s="65" t="s">
        <v>1925</v>
      </c>
      <c r="X691" s="65" t="s">
        <v>2839</v>
      </c>
      <c r="Y691" s="65" t="s">
        <v>4</v>
      </c>
      <c r="Z691" s="65" t="s">
        <v>4</v>
      </c>
      <c r="AA691" s="65" t="s">
        <v>2839</v>
      </c>
    </row>
    <row r="692" spans="1:27" ht="17.45" customHeight="1">
      <c r="A692" s="131" t="str">
        <f>IF(priority(Main[[#This Row],[Comments]])&lt;&gt;0, priority(Main[[#This Row],[Comments]]),"")</f>
        <v/>
      </c>
      <c r="B692" s="99" t="s">
        <v>1535</v>
      </c>
      <c r="C692" s="65" t="s">
        <v>211</v>
      </c>
      <c r="D692" s="66" t="s">
        <v>413</v>
      </c>
      <c r="E692" s="67"/>
      <c r="F692" s="67">
        <v>40452</v>
      </c>
      <c r="G692" s="64" t="str">
        <f>IF(stdProdLT(Main[[#This Row],[Comments]])=0.1,"N/A",IF(stdProdLT(Main[[#This Row],[Comments]])=0,"",stdProdLT(Main[[#This Row],[Comments]])))</f>
        <v/>
      </c>
      <c r="H692" s="68" t="str">
        <f>IF(AND(Main[[#This Row],[In Stock Date]]&lt;&gt;"",Main[[#This Row],[Revised Due Date]]&lt;&gt;""),Main[[#This Row],[In Stock Date]]-Main[[#This Row],[Revised Due Date]],"")</f>
        <v/>
      </c>
      <c r="I692" s="65" t="s">
        <v>4</v>
      </c>
      <c r="J692" s="65" t="s">
        <v>4</v>
      </c>
      <c r="K692" s="65" t="s">
        <v>4</v>
      </c>
      <c r="L692" s="67"/>
      <c r="M692" s="69" t="str">
        <f>IF(Main[[#This Row],[Tech Start Date]]&lt;1/1/1990,"",IF(Main[[#This Row],[Class]]="C",WORKDAY(Main[[#This Row],[Tech Start Date]],9),IF(Main[[#This Row],[Class]]="B", WORKDAY(Main[[#This Row],[Tech Start Date]],6),IF(Main[[#This Row],[Class]]="A",WORKDAY(Main[[#This Row],[Tech Start Date]],2),""))))</f>
        <v/>
      </c>
      <c r="N692" s="69" t="str">
        <f>IF(Main[[#This Row],[Tech Start Date]]&lt;1/1/1990,"",IF(Main[[#This Row],[Class]]="C",WORKDAY(Main[[#This Row],[Tech Start Date]],19),IF(Main[[#This Row],[Class]]="B", WORKDAY(Main[[#This Row],[Tech Start Date]],12),IF(Main[[#This Row],[Class]]="A",WORKDAY(Main[[#This Row],[Tech Start Date]],4),""))))</f>
        <v/>
      </c>
      <c r="O692" s="69" t="str">
        <f>IF(Main[[#This Row],[Tech Start Date]]&lt;1/1/1990,"",IF(Main[[#This Row],[Class]]="C",WORKDAY(Main[[#This Row],[Tech Start Date]],23),IF(Main[[#This Row],[Class]]="B", WORKDAY(Main[[#This Row],[Tech Start Date]],15),IF(Main[[#This Row],[Class]]="A",WORKDAY(Main[[#This Row],[Tech Start Date]],5),""))))</f>
        <v/>
      </c>
      <c r="P692" s="69" t="str">
        <f>IF(Main[[#This Row],[Tech Start Date]]&lt;1/1/1990,"",IF(Main[[#This Row],[Class]]="C",WORKDAY(Main[[#This Row],[Tech Start Date]],28),IF(Main[[#This Row],[Class]]="B", WORKDAY(Main[[#This Row],[Tech Start Date]],19),IF(Main[[#This Row],[Class]]="A",WORKDAY(Main[[#This Row],[Tech Start Date]],9),""))))</f>
        <v/>
      </c>
      <c r="Q692" s="67">
        <v>40357</v>
      </c>
      <c r="R692" s="67"/>
      <c r="S692" s="65" t="s">
        <v>11</v>
      </c>
      <c r="T692" s="70" t="s">
        <v>4</v>
      </c>
      <c r="U692" s="65" t="s">
        <v>12</v>
      </c>
      <c r="V692" s="65" t="s">
        <v>1917</v>
      </c>
      <c r="W692" s="65" t="s">
        <v>1925</v>
      </c>
      <c r="X692" s="65" t="s">
        <v>2839</v>
      </c>
      <c r="Y692" s="65" t="s">
        <v>4</v>
      </c>
      <c r="Z692" s="65" t="s">
        <v>4</v>
      </c>
      <c r="AA692" s="65" t="s">
        <v>2839</v>
      </c>
    </row>
    <row r="693" spans="1:27" ht="17.45" customHeight="1">
      <c r="A693" s="131" t="str">
        <f>IF(priority(Main[[#This Row],[Comments]])&lt;&gt;0, priority(Main[[#This Row],[Comments]]),"")</f>
        <v/>
      </c>
      <c r="B693" s="99" t="s">
        <v>1536</v>
      </c>
      <c r="C693" s="65" t="s">
        <v>211</v>
      </c>
      <c r="D693" s="66" t="s">
        <v>212</v>
      </c>
      <c r="E693" s="67"/>
      <c r="F693" s="67">
        <v>40452</v>
      </c>
      <c r="G693" s="64" t="str">
        <f>IF(stdProdLT(Main[[#This Row],[Comments]])=0.1,"N/A",IF(stdProdLT(Main[[#This Row],[Comments]])=0,"",stdProdLT(Main[[#This Row],[Comments]])))</f>
        <v/>
      </c>
      <c r="H693" s="68" t="str">
        <f>IF(AND(Main[[#This Row],[In Stock Date]]&lt;&gt;"",Main[[#This Row],[Revised Due Date]]&lt;&gt;""),Main[[#This Row],[In Stock Date]]-Main[[#This Row],[Revised Due Date]],"")</f>
        <v/>
      </c>
      <c r="I693" s="65" t="s">
        <v>4</v>
      </c>
      <c r="J693" s="65" t="s">
        <v>4</v>
      </c>
      <c r="K693" s="65" t="s">
        <v>4</v>
      </c>
      <c r="L693" s="67"/>
      <c r="M693" s="69" t="str">
        <f>IF(Main[[#This Row],[Tech Start Date]]&lt;1/1/1990,"",IF(Main[[#This Row],[Class]]="C",WORKDAY(Main[[#This Row],[Tech Start Date]],9),IF(Main[[#This Row],[Class]]="B", WORKDAY(Main[[#This Row],[Tech Start Date]],6),IF(Main[[#This Row],[Class]]="A",WORKDAY(Main[[#This Row],[Tech Start Date]],2),""))))</f>
        <v/>
      </c>
      <c r="N693" s="69" t="str">
        <f>IF(Main[[#This Row],[Tech Start Date]]&lt;1/1/1990,"",IF(Main[[#This Row],[Class]]="C",WORKDAY(Main[[#This Row],[Tech Start Date]],19),IF(Main[[#This Row],[Class]]="B", WORKDAY(Main[[#This Row],[Tech Start Date]],12),IF(Main[[#This Row],[Class]]="A",WORKDAY(Main[[#This Row],[Tech Start Date]],4),""))))</f>
        <v/>
      </c>
      <c r="O693" s="69" t="str">
        <f>IF(Main[[#This Row],[Tech Start Date]]&lt;1/1/1990,"",IF(Main[[#This Row],[Class]]="C",WORKDAY(Main[[#This Row],[Tech Start Date]],23),IF(Main[[#This Row],[Class]]="B", WORKDAY(Main[[#This Row],[Tech Start Date]],15),IF(Main[[#This Row],[Class]]="A",WORKDAY(Main[[#This Row],[Tech Start Date]],5),""))))</f>
        <v/>
      </c>
      <c r="P693" s="69" t="str">
        <f>IF(Main[[#This Row],[Tech Start Date]]&lt;1/1/1990,"",IF(Main[[#This Row],[Class]]="C",WORKDAY(Main[[#This Row],[Tech Start Date]],28),IF(Main[[#This Row],[Class]]="B", WORKDAY(Main[[#This Row],[Tech Start Date]],19),IF(Main[[#This Row],[Class]]="A",WORKDAY(Main[[#This Row],[Tech Start Date]],9),""))))</f>
        <v/>
      </c>
      <c r="Q693" s="67">
        <v>40357</v>
      </c>
      <c r="R693" s="67"/>
      <c r="S693" s="65" t="s">
        <v>11</v>
      </c>
      <c r="T693" s="70" t="s">
        <v>4</v>
      </c>
      <c r="U693" s="65" t="s">
        <v>12</v>
      </c>
      <c r="V693" s="65" t="s">
        <v>1917</v>
      </c>
      <c r="W693" s="65" t="s">
        <v>1925</v>
      </c>
      <c r="X693" s="65" t="s">
        <v>2839</v>
      </c>
      <c r="Y693" s="65" t="s">
        <v>4</v>
      </c>
      <c r="Z693" s="65" t="s">
        <v>4</v>
      </c>
      <c r="AA693" s="65" t="s">
        <v>2839</v>
      </c>
    </row>
    <row r="694" spans="1:27" ht="17.45" customHeight="1">
      <c r="A694" s="131" t="str">
        <f>IF(priority(Main[[#This Row],[Comments]])&lt;&gt;0, priority(Main[[#This Row],[Comments]]),"")</f>
        <v/>
      </c>
      <c r="B694" s="99" t="s">
        <v>1537</v>
      </c>
      <c r="C694" s="65" t="s">
        <v>211</v>
      </c>
      <c r="D694" s="66" t="s">
        <v>212</v>
      </c>
      <c r="E694" s="67"/>
      <c r="F694" s="67">
        <v>40452</v>
      </c>
      <c r="G694" s="64" t="str">
        <f>IF(stdProdLT(Main[[#This Row],[Comments]])=0.1,"N/A",IF(stdProdLT(Main[[#This Row],[Comments]])=0,"",stdProdLT(Main[[#This Row],[Comments]])))</f>
        <v/>
      </c>
      <c r="H694" s="68" t="str">
        <f>IF(AND(Main[[#This Row],[In Stock Date]]&lt;&gt;"",Main[[#This Row],[Revised Due Date]]&lt;&gt;""),Main[[#This Row],[In Stock Date]]-Main[[#This Row],[Revised Due Date]],"")</f>
        <v/>
      </c>
      <c r="I694" s="65" t="s">
        <v>4</v>
      </c>
      <c r="J694" s="65" t="s">
        <v>4</v>
      </c>
      <c r="K694" s="65" t="s">
        <v>4</v>
      </c>
      <c r="L694" s="67"/>
      <c r="M694" s="69" t="str">
        <f>IF(Main[[#This Row],[Tech Start Date]]&lt;1/1/1990,"",IF(Main[[#This Row],[Class]]="C",WORKDAY(Main[[#This Row],[Tech Start Date]],9),IF(Main[[#This Row],[Class]]="B", WORKDAY(Main[[#This Row],[Tech Start Date]],6),IF(Main[[#This Row],[Class]]="A",WORKDAY(Main[[#This Row],[Tech Start Date]],2),""))))</f>
        <v/>
      </c>
      <c r="N694" s="69" t="str">
        <f>IF(Main[[#This Row],[Tech Start Date]]&lt;1/1/1990,"",IF(Main[[#This Row],[Class]]="C",WORKDAY(Main[[#This Row],[Tech Start Date]],19),IF(Main[[#This Row],[Class]]="B", WORKDAY(Main[[#This Row],[Tech Start Date]],12),IF(Main[[#This Row],[Class]]="A",WORKDAY(Main[[#This Row],[Tech Start Date]],4),""))))</f>
        <v/>
      </c>
      <c r="O694" s="69" t="str">
        <f>IF(Main[[#This Row],[Tech Start Date]]&lt;1/1/1990,"",IF(Main[[#This Row],[Class]]="C",WORKDAY(Main[[#This Row],[Tech Start Date]],23),IF(Main[[#This Row],[Class]]="B", WORKDAY(Main[[#This Row],[Tech Start Date]],15),IF(Main[[#This Row],[Class]]="A",WORKDAY(Main[[#This Row],[Tech Start Date]],5),""))))</f>
        <v/>
      </c>
      <c r="P694" s="69" t="str">
        <f>IF(Main[[#This Row],[Tech Start Date]]&lt;1/1/1990,"",IF(Main[[#This Row],[Class]]="C",WORKDAY(Main[[#This Row],[Tech Start Date]],28),IF(Main[[#This Row],[Class]]="B", WORKDAY(Main[[#This Row],[Tech Start Date]],19),IF(Main[[#This Row],[Class]]="A",WORKDAY(Main[[#This Row],[Tech Start Date]],9),""))))</f>
        <v/>
      </c>
      <c r="Q694" s="67">
        <v>40357</v>
      </c>
      <c r="R694" s="67"/>
      <c r="S694" s="65" t="s">
        <v>11</v>
      </c>
      <c r="T694" s="70" t="s">
        <v>4</v>
      </c>
      <c r="U694" s="65" t="s">
        <v>12</v>
      </c>
      <c r="V694" s="65" t="s">
        <v>1917</v>
      </c>
      <c r="W694" s="65" t="s">
        <v>1925</v>
      </c>
      <c r="X694" s="65" t="s">
        <v>2839</v>
      </c>
      <c r="Y694" s="65" t="s">
        <v>4</v>
      </c>
      <c r="Z694" s="65" t="s">
        <v>4</v>
      </c>
      <c r="AA694" s="65" t="s">
        <v>2839</v>
      </c>
    </row>
    <row r="695" spans="1:27" ht="17.45" customHeight="1">
      <c r="A695" s="131" t="str">
        <f>IF(priority(Main[[#This Row],[Comments]])&lt;&gt;0, priority(Main[[#This Row],[Comments]]),"")</f>
        <v/>
      </c>
      <c r="B695" s="99" t="s">
        <v>1538</v>
      </c>
      <c r="C695" s="65" t="s">
        <v>72</v>
      </c>
      <c r="D695" s="66" t="s">
        <v>616</v>
      </c>
      <c r="E695" s="67"/>
      <c r="F695" s="67"/>
      <c r="G695" s="64" t="str">
        <f>IF(stdProdLT(Main[[#This Row],[Comments]])=0.1,"N/A",IF(stdProdLT(Main[[#This Row],[Comments]])=0,"",stdProdLT(Main[[#This Row],[Comments]])))</f>
        <v/>
      </c>
      <c r="H695" s="68" t="str">
        <f>IF(AND(Main[[#This Row],[In Stock Date]]&lt;&gt;"",Main[[#This Row],[Revised Due Date]]&lt;&gt;""),Main[[#This Row],[In Stock Date]]-Main[[#This Row],[Revised Due Date]],"")</f>
        <v/>
      </c>
      <c r="I695" s="65" t="s">
        <v>4</v>
      </c>
      <c r="J695" s="65" t="s">
        <v>4</v>
      </c>
      <c r="K695" s="71" t="s">
        <v>4</v>
      </c>
      <c r="L695" s="67"/>
      <c r="M695" s="69" t="str">
        <f>IF(Main[[#This Row],[Tech Start Date]]&lt;1/1/1990,"",IF(Main[[#This Row],[Class]]="C",WORKDAY(Main[[#This Row],[Tech Start Date]],9),IF(Main[[#This Row],[Class]]="B", WORKDAY(Main[[#This Row],[Tech Start Date]],6),IF(Main[[#This Row],[Class]]="A",WORKDAY(Main[[#This Row],[Tech Start Date]],2),""))))</f>
        <v/>
      </c>
      <c r="N695" s="69" t="str">
        <f>IF(Main[[#This Row],[Tech Start Date]]&lt;1/1/1990,"",IF(Main[[#This Row],[Class]]="C",WORKDAY(Main[[#This Row],[Tech Start Date]],19),IF(Main[[#This Row],[Class]]="B", WORKDAY(Main[[#This Row],[Tech Start Date]],12),IF(Main[[#This Row],[Class]]="A",WORKDAY(Main[[#This Row],[Tech Start Date]],4),""))))</f>
        <v/>
      </c>
      <c r="O695" s="69" t="str">
        <f>IF(Main[[#This Row],[Tech Start Date]]&lt;1/1/1990,"",IF(Main[[#This Row],[Class]]="C",WORKDAY(Main[[#This Row],[Tech Start Date]],23),IF(Main[[#This Row],[Class]]="B", WORKDAY(Main[[#This Row],[Tech Start Date]],15),IF(Main[[#This Row],[Class]]="A",WORKDAY(Main[[#This Row],[Tech Start Date]],5),""))))</f>
        <v/>
      </c>
      <c r="P695" s="69" t="str">
        <f>IF(Main[[#This Row],[Tech Start Date]]&lt;1/1/1990,"",IF(Main[[#This Row],[Class]]="C",WORKDAY(Main[[#This Row],[Tech Start Date]],28),IF(Main[[#This Row],[Class]]="B", WORKDAY(Main[[#This Row],[Tech Start Date]],19),IF(Main[[#This Row],[Class]]="A",WORKDAY(Main[[#This Row],[Tech Start Date]],9),""))))</f>
        <v/>
      </c>
      <c r="Q695" s="67"/>
      <c r="R695" s="67"/>
      <c r="S695" s="65" t="s">
        <v>11</v>
      </c>
      <c r="T695" s="70" t="s">
        <v>4</v>
      </c>
      <c r="U695" s="65" t="s">
        <v>14</v>
      </c>
      <c r="V695" s="65" t="s">
        <v>1918</v>
      </c>
      <c r="W695" s="65" t="s">
        <v>1925</v>
      </c>
      <c r="X695" s="65" t="s">
        <v>2833</v>
      </c>
      <c r="Y695" s="65" t="s">
        <v>2954</v>
      </c>
      <c r="Z695" s="65" t="s">
        <v>4</v>
      </c>
      <c r="AA695" s="65" t="s">
        <v>2833</v>
      </c>
    </row>
    <row r="696" spans="1:27" ht="17.45" customHeight="1">
      <c r="A696" s="131" t="str">
        <f>IF(priority(Main[[#This Row],[Comments]])&lt;&gt;0, priority(Main[[#This Row],[Comments]]),"")</f>
        <v/>
      </c>
      <c r="B696" s="99" t="s">
        <v>1539</v>
      </c>
      <c r="C696" s="65" t="s">
        <v>33</v>
      </c>
      <c r="D696" s="66" t="s">
        <v>617</v>
      </c>
      <c r="E696" s="67"/>
      <c r="F696" s="67"/>
      <c r="G696" s="64" t="str">
        <f>IF(stdProdLT(Main[[#This Row],[Comments]])=0.1,"N/A",IF(stdProdLT(Main[[#This Row],[Comments]])=0,"",stdProdLT(Main[[#This Row],[Comments]])))</f>
        <v/>
      </c>
      <c r="H696" s="68" t="str">
        <f>IF(AND(Main[[#This Row],[In Stock Date]]&lt;&gt;"",Main[[#This Row],[Revised Due Date]]&lt;&gt;""),Main[[#This Row],[In Stock Date]]-Main[[#This Row],[Revised Due Date]],"")</f>
        <v/>
      </c>
      <c r="I696" s="65" t="s">
        <v>4</v>
      </c>
      <c r="J696" s="65" t="s">
        <v>4</v>
      </c>
      <c r="K696" s="65" t="s">
        <v>4</v>
      </c>
      <c r="L696" s="67"/>
      <c r="M696" s="69" t="str">
        <f>IF(Main[[#This Row],[Tech Start Date]]&lt;1/1/1990,"",IF(Main[[#This Row],[Class]]="C",WORKDAY(Main[[#This Row],[Tech Start Date]],9),IF(Main[[#This Row],[Class]]="B", WORKDAY(Main[[#This Row],[Tech Start Date]],6),IF(Main[[#This Row],[Class]]="A",WORKDAY(Main[[#This Row],[Tech Start Date]],2),""))))</f>
        <v/>
      </c>
      <c r="N696" s="69" t="str">
        <f>IF(Main[[#This Row],[Tech Start Date]]&lt;1/1/1990,"",IF(Main[[#This Row],[Class]]="C",WORKDAY(Main[[#This Row],[Tech Start Date]],19),IF(Main[[#This Row],[Class]]="B", WORKDAY(Main[[#This Row],[Tech Start Date]],12),IF(Main[[#This Row],[Class]]="A",WORKDAY(Main[[#This Row],[Tech Start Date]],4),""))))</f>
        <v/>
      </c>
      <c r="O696" s="69" t="str">
        <f>IF(Main[[#This Row],[Tech Start Date]]&lt;1/1/1990,"",IF(Main[[#This Row],[Class]]="C",WORKDAY(Main[[#This Row],[Tech Start Date]],23),IF(Main[[#This Row],[Class]]="B", WORKDAY(Main[[#This Row],[Tech Start Date]],15),IF(Main[[#This Row],[Class]]="A",WORKDAY(Main[[#This Row],[Tech Start Date]],5),""))))</f>
        <v/>
      </c>
      <c r="P696" s="69" t="str">
        <f>IF(Main[[#This Row],[Tech Start Date]]&lt;1/1/1990,"",IF(Main[[#This Row],[Class]]="C",WORKDAY(Main[[#This Row],[Tech Start Date]],28),IF(Main[[#This Row],[Class]]="B", WORKDAY(Main[[#This Row],[Tech Start Date]],19),IF(Main[[#This Row],[Class]]="A",WORKDAY(Main[[#This Row],[Tech Start Date]],9),""))))</f>
        <v/>
      </c>
      <c r="Q696" s="67"/>
      <c r="R696" s="67"/>
      <c r="S696" s="65" t="s">
        <v>11</v>
      </c>
      <c r="T696" s="70" t="s">
        <v>4</v>
      </c>
      <c r="U696" s="65" t="s">
        <v>14</v>
      </c>
      <c r="V696" s="65" t="s">
        <v>1918</v>
      </c>
      <c r="W696" s="65" t="s">
        <v>1925</v>
      </c>
      <c r="X696" s="65" t="s">
        <v>2833</v>
      </c>
      <c r="Y696" s="65" t="s">
        <v>2954</v>
      </c>
      <c r="Z696" s="65" t="s">
        <v>4</v>
      </c>
      <c r="AA696" s="65" t="s">
        <v>2833</v>
      </c>
    </row>
    <row r="697" spans="1:27" ht="17.45" customHeight="1">
      <c r="A697" s="131" t="str">
        <f>IF(priority(Main[[#This Row],[Comments]])&lt;&gt;0, priority(Main[[#This Row],[Comments]]),"")</f>
        <v/>
      </c>
      <c r="B697" s="99" t="s">
        <v>1540</v>
      </c>
      <c r="C697" s="65" t="s">
        <v>33</v>
      </c>
      <c r="D697" s="66" t="s">
        <v>618</v>
      </c>
      <c r="E697" s="67"/>
      <c r="F697" s="67"/>
      <c r="G697" s="64" t="str">
        <f>IF(stdProdLT(Main[[#This Row],[Comments]])=0.1,"N/A",IF(stdProdLT(Main[[#This Row],[Comments]])=0,"",stdProdLT(Main[[#This Row],[Comments]])))</f>
        <v/>
      </c>
      <c r="H697" s="68" t="str">
        <f>IF(AND(Main[[#This Row],[In Stock Date]]&lt;&gt;"",Main[[#This Row],[Revised Due Date]]&lt;&gt;""),Main[[#This Row],[In Stock Date]]-Main[[#This Row],[Revised Due Date]],"")</f>
        <v/>
      </c>
      <c r="I697" s="65" t="s">
        <v>4</v>
      </c>
      <c r="J697" s="65" t="s">
        <v>4</v>
      </c>
      <c r="K697" s="65" t="s">
        <v>4</v>
      </c>
      <c r="L697" s="67"/>
      <c r="M697" s="69" t="str">
        <f>IF(Main[[#This Row],[Tech Start Date]]&lt;1/1/1990,"",IF(Main[[#This Row],[Class]]="C",WORKDAY(Main[[#This Row],[Tech Start Date]],9),IF(Main[[#This Row],[Class]]="B", WORKDAY(Main[[#This Row],[Tech Start Date]],6),IF(Main[[#This Row],[Class]]="A",WORKDAY(Main[[#This Row],[Tech Start Date]],2),""))))</f>
        <v/>
      </c>
      <c r="N697" s="69" t="str">
        <f>IF(Main[[#This Row],[Tech Start Date]]&lt;1/1/1990,"",IF(Main[[#This Row],[Class]]="C",WORKDAY(Main[[#This Row],[Tech Start Date]],19),IF(Main[[#This Row],[Class]]="B", WORKDAY(Main[[#This Row],[Tech Start Date]],12),IF(Main[[#This Row],[Class]]="A",WORKDAY(Main[[#This Row],[Tech Start Date]],4),""))))</f>
        <v/>
      </c>
      <c r="O697" s="69" t="str">
        <f>IF(Main[[#This Row],[Tech Start Date]]&lt;1/1/1990,"",IF(Main[[#This Row],[Class]]="C",WORKDAY(Main[[#This Row],[Tech Start Date]],23),IF(Main[[#This Row],[Class]]="B", WORKDAY(Main[[#This Row],[Tech Start Date]],15),IF(Main[[#This Row],[Class]]="A",WORKDAY(Main[[#This Row],[Tech Start Date]],5),""))))</f>
        <v/>
      </c>
      <c r="P697" s="69" t="str">
        <f>IF(Main[[#This Row],[Tech Start Date]]&lt;1/1/1990,"",IF(Main[[#This Row],[Class]]="C",WORKDAY(Main[[#This Row],[Tech Start Date]],28),IF(Main[[#This Row],[Class]]="B", WORKDAY(Main[[#This Row],[Tech Start Date]],19),IF(Main[[#This Row],[Class]]="A",WORKDAY(Main[[#This Row],[Tech Start Date]],9),""))))</f>
        <v/>
      </c>
      <c r="Q697" s="67"/>
      <c r="R697" s="67"/>
      <c r="S697" s="65" t="s">
        <v>11</v>
      </c>
      <c r="T697" s="70" t="s">
        <v>4</v>
      </c>
      <c r="U697" s="65" t="s">
        <v>14</v>
      </c>
      <c r="V697" s="65" t="s">
        <v>1918</v>
      </c>
      <c r="W697" s="65" t="s">
        <v>1925</v>
      </c>
      <c r="X697" s="65" t="s">
        <v>2833</v>
      </c>
      <c r="Y697" s="65" t="s">
        <v>2954</v>
      </c>
      <c r="Z697" s="65" t="s">
        <v>4</v>
      </c>
      <c r="AA697" s="65" t="s">
        <v>2833</v>
      </c>
    </row>
    <row r="698" spans="1:27" ht="17.45" customHeight="1">
      <c r="A698" s="131" t="str">
        <f>IF(priority(Main[[#This Row],[Comments]])&lt;&gt;0, priority(Main[[#This Row],[Comments]]),"")</f>
        <v/>
      </c>
      <c r="B698" s="99" t="s">
        <v>1541</v>
      </c>
      <c r="C698" s="65" t="s">
        <v>4</v>
      </c>
      <c r="D698" s="66" t="s">
        <v>619</v>
      </c>
      <c r="E698" s="67">
        <v>40294.429988425924</v>
      </c>
      <c r="F698" s="67"/>
      <c r="G698" s="64" t="str">
        <f>IF(stdProdLT(Main[[#This Row],[Comments]])=0.1,"N/A",IF(stdProdLT(Main[[#This Row],[Comments]])=0,"",stdProdLT(Main[[#This Row],[Comments]])))</f>
        <v/>
      </c>
      <c r="H698" s="68" t="str">
        <f>IF(AND(Main[[#This Row],[In Stock Date]]&lt;&gt;"",Main[[#This Row],[Revised Due Date]]&lt;&gt;""),Main[[#This Row],[In Stock Date]]-Main[[#This Row],[Revised Due Date]],"")</f>
        <v/>
      </c>
      <c r="I698" s="65" t="s">
        <v>4</v>
      </c>
      <c r="J698" s="65" t="s">
        <v>4</v>
      </c>
      <c r="K698" s="65" t="s">
        <v>4</v>
      </c>
      <c r="L698" s="67"/>
      <c r="M698" s="69" t="str">
        <f>IF(Main[[#This Row],[Tech Start Date]]&lt;1/1/1990,"",IF(Main[[#This Row],[Class]]="C",WORKDAY(Main[[#This Row],[Tech Start Date]],9),IF(Main[[#This Row],[Class]]="B", WORKDAY(Main[[#This Row],[Tech Start Date]],6),IF(Main[[#This Row],[Class]]="A",WORKDAY(Main[[#This Row],[Tech Start Date]],2),""))))</f>
        <v/>
      </c>
      <c r="N698" s="69" t="str">
        <f>IF(Main[[#This Row],[Tech Start Date]]&lt;1/1/1990,"",IF(Main[[#This Row],[Class]]="C",WORKDAY(Main[[#This Row],[Tech Start Date]],19),IF(Main[[#This Row],[Class]]="B", WORKDAY(Main[[#This Row],[Tech Start Date]],12),IF(Main[[#This Row],[Class]]="A",WORKDAY(Main[[#This Row],[Tech Start Date]],4),""))))</f>
        <v/>
      </c>
      <c r="O698" s="69" t="str">
        <f>IF(Main[[#This Row],[Tech Start Date]]&lt;1/1/1990,"",IF(Main[[#This Row],[Class]]="C",WORKDAY(Main[[#This Row],[Tech Start Date]],23),IF(Main[[#This Row],[Class]]="B", WORKDAY(Main[[#This Row],[Tech Start Date]],15),IF(Main[[#This Row],[Class]]="A",WORKDAY(Main[[#This Row],[Tech Start Date]],5),""))))</f>
        <v/>
      </c>
      <c r="P698" s="69" t="str">
        <f>IF(Main[[#This Row],[Tech Start Date]]&lt;1/1/1990,"",IF(Main[[#This Row],[Class]]="C",WORKDAY(Main[[#This Row],[Tech Start Date]],28),IF(Main[[#This Row],[Class]]="B", WORKDAY(Main[[#This Row],[Tech Start Date]],19),IF(Main[[#This Row],[Class]]="A",WORKDAY(Main[[#This Row],[Tech Start Date]],9),""))))</f>
        <v/>
      </c>
      <c r="Q698" s="67">
        <v>40390</v>
      </c>
      <c r="R698" s="67"/>
      <c r="S698" s="65" t="s">
        <v>6</v>
      </c>
      <c r="T698" s="70" t="s">
        <v>4</v>
      </c>
      <c r="U698" s="65" t="s">
        <v>7</v>
      </c>
      <c r="V698" s="65" t="s">
        <v>1917</v>
      </c>
      <c r="W698" s="65" t="s">
        <v>4</v>
      </c>
      <c r="X698" s="65" t="s">
        <v>2825</v>
      </c>
      <c r="Y698" s="65" t="s">
        <v>2938</v>
      </c>
      <c r="Z698" s="65" t="s">
        <v>4</v>
      </c>
      <c r="AA698" s="65" t="s">
        <v>2825</v>
      </c>
    </row>
    <row r="699" spans="1:27" ht="17.45" customHeight="1">
      <c r="A699" s="131" t="str">
        <f>IF(priority(Main[[#This Row],[Comments]])&lt;&gt;0, priority(Main[[#This Row],[Comments]]),"")</f>
        <v/>
      </c>
      <c r="B699" s="99" t="s">
        <v>1542</v>
      </c>
      <c r="C699" s="65" t="s">
        <v>4</v>
      </c>
      <c r="D699" s="66" t="s">
        <v>620</v>
      </c>
      <c r="E699" s="67"/>
      <c r="F699" s="67"/>
      <c r="G699" s="64" t="str">
        <f>IF(stdProdLT(Main[[#This Row],[Comments]])=0.1,"N/A",IF(stdProdLT(Main[[#This Row],[Comments]])=0,"",stdProdLT(Main[[#This Row],[Comments]])))</f>
        <v/>
      </c>
      <c r="H699" s="68" t="str">
        <f>IF(AND(Main[[#This Row],[In Stock Date]]&lt;&gt;"",Main[[#This Row],[Revised Due Date]]&lt;&gt;""),Main[[#This Row],[In Stock Date]]-Main[[#This Row],[Revised Due Date]],"")</f>
        <v/>
      </c>
      <c r="I699" s="65" t="s">
        <v>4</v>
      </c>
      <c r="J699" s="65" t="s">
        <v>4</v>
      </c>
      <c r="K699" s="65" t="s">
        <v>4</v>
      </c>
      <c r="L699" s="67"/>
      <c r="M699" s="69" t="str">
        <f>IF(Main[[#This Row],[Tech Start Date]]&lt;1/1/1990,"",IF(Main[[#This Row],[Class]]="C",WORKDAY(Main[[#This Row],[Tech Start Date]],9),IF(Main[[#This Row],[Class]]="B", WORKDAY(Main[[#This Row],[Tech Start Date]],6),IF(Main[[#This Row],[Class]]="A",WORKDAY(Main[[#This Row],[Tech Start Date]],2),""))))</f>
        <v/>
      </c>
      <c r="N699" s="69" t="str">
        <f>IF(Main[[#This Row],[Tech Start Date]]&lt;1/1/1990,"",IF(Main[[#This Row],[Class]]="C",WORKDAY(Main[[#This Row],[Tech Start Date]],19),IF(Main[[#This Row],[Class]]="B", WORKDAY(Main[[#This Row],[Tech Start Date]],12),IF(Main[[#This Row],[Class]]="A",WORKDAY(Main[[#This Row],[Tech Start Date]],4),""))))</f>
        <v/>
      </c>
      <c r="O699" s="69" t="str">
        <f>IF(Main[[#This Row],[Tech Start Date]]&lt;1/1/1990,"",IF(Main[[#This Row],[Class]]="C",WORKDAY(Main[[#This Row],[Tech Start Date]],23),IF(Main[[#This Row],[Class]]="B", WORKDAY(Main[[#This Row],[Tech Start Date]],15),IF(Main[[#This Row],[Class]]="A",WORKDAY(Main[[#This Row],[Tech Start Date]],5),""))))</f>
        <v/>
      </c>
      <c r="P699" s="69" t="str">
        <f>IF(Main[[#This Row],[Tech Start Date]]&lt;1/1/1990,"",IF(Main[[#This Row],[Class]]="C",WORKDAY(Main[[#This Row],[Tech Start Date]],28),IF(Main[[#This Row],[Class]]="B", WORKDAY(Main[[#This Row],[Tech Start Date]],19),IF(Main[[#This Row],[Class]]="A",WORKDAY(Main[[#This Row],[Tech Start Date]],9),""))))</f>
        <v/>
      </c>
      <c r="Q699" s="67"/>
      <c r="R699" s="67"/>
      <c r="S699" s="65" t="s">
        <v>11</v>
      </c>
      <c r="T699" s="70" t="s">
        <v>4</v>
      </c>
      <c r="U699" s="65" t="s">
        <v>14</v>
      </c>
      <c r="V699" s="65" t="s">
        <v>1917</v>
      </c>
      <c r="W699" s="65" t="s">
        <v>1921</v>
      </c>
      <c r="X699" s="65" t="s">
        <v>924</v>
      </c>
      <c r="Y699" s="65" t="s">
        <v>2988</v>
      </c>
      <c r="Z699" s="65" t="s">
        <v>4</v>
      </c>
      <c r="AA699" s="65" t="s">
        <v>924</v>
      </c>
    </row>
    <row r="700" spans="1:27" ht="17.45" customHeight="1">
      <c r="A700" s="131" t="str">
        <f>IF(priority(Main[[#This Row],[Comments]])&lt;&gt;0, priority(Main[[#This Row],[Comments]]),"")</f>
        <v/>
      </c>
      <c r="B700" s="99" t="s">
        <v>1546</v>
      </c>
      <c r="C700" s="65" t="s">
        <v>4</v>
      </c>
      <c r="D700" s="66" t="s">
        <v>628</v>
      </c>
      <c r="E700" s="67"/>
      <c r="F700" s="67"/>
      <c r="G700" s="64" t="str">
        <f>IF(stdProdLT(Main[[#This Row],[Comments]])=0.1,"N/A",IF(stdProdLT(Main[[#This Row],[Comments]])=0,"",stdProdLT(Main[[#This Row],[Comments]])))</f>
        <v/>
      </c>
      <c r="H700" s="68" t="str">
        <f>IF(AND(Main[[#This Row],[In Stock Date]]&lt;&gt;"",Main[[#This Row],[Revised Due Date]]&lt;&gt;""),Main[[#This Row],[In Stock Date]]-Main[[#This Row],[Revised Due Date]],"")</f>
        <v/>
      </c>
      <c r="I700" s="65" t="s">
        <v>4</v>
      </c>
      <c r="J700" s="65" t="s">
        <v>4</v>
      </c>
      <c r="K700" s="71" t="s">
        <v>4</v>
      </c>
      <c r="L700" s="67"/>
      <c r="M700" s="69" t="str">
        <f>IF(Main[[#This Row],[Tech Start Date]]&lt;1/1/1990,"",IF(Main[[#This Row],[Class]]="C",WORKDAY(Main[[#This Row],[Tech Start Date]],9),IF(Main[[#This Row],[Class]]="B", WORKDAY(Main[[#This Row],[Tech Start Date]],6),IF(Main[[#This Row],[Class]]="A",WORKDAY(Main[[#This Row],[Tech Start Date]],2),""))))</f>
        <v/>
      </c>
      <c r="N700" s="69" t="str">
        <f>IF(Main[[#This Row],[Tech Start Date]]&lt;1/1/1990,"",IF(Main[[#This Row],[Class]]="C",WORKDAY(Main[[#This Row],[Tech Start Date]],19),IF(Main[[#This Row],[Class]]="B", WORKDAY(Main[[#This Row],[Tech Start Date]],12),IF(Main[[#This Row],[Class]]="A",WORKDAY(Main[[#This Row],[Tech Start Date]],4),""))))</f>
        <v/>
      </c>
      <c r="O700" s="69" t="str">
        <f>IF(Main[[#This Row],[Tech Start Date]]&lt;1/1/1990,"",IF(Main[[#This Row],[Class]]="C",WORKDAY(Main[[#This Row],[Tech Start Date]],23),IF(Main[[#This Row],[Class]]="B", WORKDAY(Main[[#This Row],[Tech Start Date]],15),IF(Main[[#This Row],[Class]]="A",WORKDAY(Main[[#This Row],[Tech Start Date]],5),""))))</f>
        <v/>
      </c>
      <c r="P700" s="69" t="str">
        <f>IF(Main[[#This Row],[Tech Start Date]]&lt;1/1/1990,"",IF(Main[[#This Row],[Class]]="C",WORKDAY(Main[[#This Row],[Tech Start Date]],28),IF(Main[[#This Row],[Class]]="B", WORKDAY(Main[[#This Row],[Tech Start Date]],19),IF(Main[[#This Row],[Class]]="A",WORKDAY(Main[[#This Row],[Tech Start Date]],9),""))))</f>
        <v/>
      </c>
      <c r="Q700" s="67"/>
      <c r="R700" s="67"/>
      <c r="S700" s="65" t="s">
        <v>6</v>
      </c>
      <c r="T700" s="70" t="s">
        <v>4</v>
      </c>
      <c r="U700" s="65" t="s">
        <v>12</v>
      </c>
      <c r="V700" s="65" t="s">
        <v>1917</v>
      </c>
      <c r="W700" s="65" t="s">
        <v>4</v>
      </c>
      <c r="X700" s="65" t="s">
        <v>710</v>
      </c>
      <c r="Y700" s="65" t="s">
        <v>3084</v>
      </c>
      <c r="Z700" s="65" t="s">
        <v>4</v>
      </c>
      <c r="AA700" s="65" t="s">
        <v>3436</v>
      </c>
    </row>
    <row r="701" spans="1:27" ht="17.45" customHeight="1">
      <c r="A701" s="131" t="str">
        <f>IF(priority(Main[[#This Row],[Comments]])&lt;&gt;0, priority(Main[[#This Row],[Comments]]),"")</f>
        <v/>
      </c>
      <c r="B701" s="99" t="s">
        <v>1547</v>
      </c>
      <c r="C701" s="65" t="s">
        <v>93</v>
      </c>
      <c r="D701" s="66" t="s">
        <v>629</v>
      </c>
      <c r="E701" s="67"/>
      <c r="F701" s="67">
        <v>40162</v>
      </c>
      <c r="G701" s="64" t="str">
        <f>IF(stdProdLT(Main[[#This Row],[Comments]])=0.1,"N/A",IF(stdProdLT(Main[[#This Row],[Comments]])=0,"",stdProdLT(Main[[#This Row],[Comments]])))</f>
        <v/>
      </c>
      <c r="H701" s="68" t="str">
        <f>IF(AND(Main[[#This Row],[In Stock Date]]&lt;&gt;"",Main[[#This Row],[Revised Due Date]]&lt;&gt;""),Main[[#This Row],[In Stock Date]]-Main[[#This Row],[Revised Due Date]],"")</f>
        <v/>
      </c>
      <c r="I701" s="65" t="s">
        <v>4</v>
      </c>
      <c r="J701" s="65" t="s">
        <v>4</v>
      </c>
      <c r="K701" s="71" t="s">
        <v>4</v>
      </c>
      <c r="L701" s="67"/>
      <c r="M701" s="69" t="str">
        <f>IF(Main[[#This Row],[Tech Start Date]]&lt;1/1/1990,"",IF(Main[[#This Row],[Class]]="C",WORKDAY(Main[[#This Row],[Tech Start Date]],9),IF(Main[[#This Row],[Class]]="B", WORKDAY(Main[[#This Row],[Tech Start Date]],6),IF(Main[[#This Row],[Class]]="A",WORKDAY(Main[[#This Row],[Tech Start Date]],2),""))))</f>
        <v/>
      </c>
      <c r="N701" s="69" t="str">
        <f>IF(Main[[#This Row],[Tech Start Date]]&lt;1/1/1990,"",IF(Main[[#This Row],[Class]]="C",WORKDAY(Main[[#This Row],[Tech Start Date]],19),IF(Main[[#This Row],[Class]]="B", WORKDAY(Main[[#This Row],[Tech Start Date]],12),IF(Main[[#This Row],[Class]]="A",WORKDAY(Main[[#This Row],[Tech Start Date]],4),""))))</f>
        <v/>
      </c>
      <c r="O701" s="69" t="str">
        <f>IF(Main[[#This Row],[Tech Start Date]]&lt;1/1/1990,"",IF(Main[[#This Row],[Class]]="C",WORKDAY(Main[[#This Row],[Tech Start Date]],23),IF(Main[[#This Row],[Class]]="B", WORKDAY(Main[[#This Row],[Tech Start Date]],15),IF(Main[[#This Row],[Class]]="A",WORKDAY(Main[[#This Row],[Tech Start Date]],5),""))))</f>
        <v/>
      </c>
      <c r="P701" s="69" t="str">
        <f>IF(Main[[#This Row],[Tech Start Date]]&lt;1/1/1990,"",IF(Main[[#This Row],[Class]]="C",WORKDAY(Main[[#This Row],[Tech Start Date]],28),IF(Main[[#This Row],[Class]]="B", WORKDAY(Main[[#This Row],[Tech Start Date]],19),IF(Main[[#This Row],[Class]]="A",WORKDAY(Main[[#This Row],[Tech Start Date]],9),""))))</f>
        <v/>
      </c>
      <c r="Q701" s="67">
        <v>40147</v>
      </c>
      <c r="R701" s="67"/>
      <c r="S701" s="65" t="s">
        <v>11</v>
      </c>
      <c r="T701" s="70" t="s">
        <v>4</v>
      </c>
      <c r="U701" s="65" t="s">
        <v>14</v>
      </c>
      <c r="V701" s="65" t="s">
        <v>1927</v>
      </c>
      <c r="W701" s="65" t="s">
        <v>1923</v>
      </c>
      <c r="X701" s="65" t="s">
        <v>2851</v>
      </c>
      <c r="Y701" s="65" t="s">
        <v>4</v>
      </c>
      <c r="Z701" s="65" t="s">
        <v>4</v>
      </c>
      <c r="AA701" s="65" t="s">
        <v>2851</v>
      </c>
    </row>
    <row r="702" spans="1:27" ht="17.45" customHeight="1">
      <c r="A702" s="131" t="str">
        <f>IF(priority(Main[[#This Row],[Comments]])&lt;&gt;0, priority(Main[[#This Row],[Comments]]),"")</f>
        <v/>
      </c>
      <c r="B702" s="99" t="s">
        <v>1548</v>
      </c>
      <c r="C702" s="65" t="s">
        <v>4</v>
      </c>
      <c r="D702" s="66" t="s">
        <v>630</v>
      </c>
      <c r="E702" s="67"/>
      <c r="F702" s="67"/>
      <c r="G702" s="64" t="str">
        <f>IF(stdProdLT(Main[[#This Row],[Comments]])=0.1,"N/A",IF(stdProdLT(Main[[#This Row],[Comments]])=0,"",stdProdLT(Main[[#This Row],[Comments]])))</f>
        <v/>
      </c>
      <c r="H702" s="68" t="str">
        <f>IF(AND(Main[[#This Row],[In Stock Date]]&lt;&gt;"",Main[[#This Row],[Revised Due Date]]&lt;&gt;""),Main[[#This Row],[In Stock Date]]-Main[[#This Row],[Revised Due Date]],"")</f>
        <v/>
      </c>
      <c r="I702" s="65" t="s">
        <v>4</v>
      </c>
      <c r="J702" s="65" t="s">
        <v>28</v>
      </c>
      <c r="K702" s="65" t="s">
        <v>1930</v>
      </c>
      <c r="L702" s="67"/>
      <c r="M702" s="69" t="str">
        <f>IF(Main[[#This Row],[Tech Start Date]]&lt;1/1/1990,"",IF(Main[[#This Row],[Class]]="C",WORKDAY(Main[[#This Row],[Tech Start Date]],9),IF(Main[[#This Row],[Class]]="B", WORKDAY(Main[[#This Row],[Tech Start Date]],6),IF(Main[[#This Row],[Class]]="A",WORKDAY(Main[[#This Row],[Tech Start Date]],2),""))))</f>
        <v/>
      </c>
      <c r="N702" s="69" t="str">
        <f>IF(Main[[#This Row],[Tech Start Date]]&lt;1/1/1990,"",IF(Main[[#This Row],[Class]]="C",WORKDAY(Main[[#This Row],[Tech Start Date]],19),IF(Main[[#This Row],[Class]]="B", WORKDAY(Main[[#This Row],[Tech Start Date]],12),IF(Main[[#This Row],[Class]]="A",WORKDAY(Main[[#This Row],[Tech Start Date]],4),""))))</f>
        <v/>
      </c>
      <c r="O702" s="69" t="str">
        <f>IF(Main[[#This Row],[Tech Start Date]]&lt;1/1/1990,"",IF(Main[[#This Row],[Class]]="C",WORKDAY(Main[[#This Row],[Tech Start Date]],23),IF(Main[[#This Row],[Class]]="B", WORKDAY(Main[[#This Row],[Tech Start Date]],15),IF(Main[[#This Row],[Class]]="A",WORKDAY(Main[[#This Row],[Tech Start Date]],5),""))))</f>
        <v/>
      </c>
      <c r="P702" s="69" t="str">
        <f>IF(Main[[#This Row],[Tech Start Date]]&lt;1/1/1990,"",IF(Main[[#This Row],[Class]]="C",WORKDAY(Main[[#This Row],[Tech Start Date]],28),IF(Main[[#This Row],[Class]]="B", WORKDAY(Main[[#This Row],[Tech Start Date]],19),IF(Main[[#This Row],[Class]]="A",WORKDAY(Main[[#This Row],[Tech Start Date]],9),""))))</f>
        <v/>
      </c>
      <c r="Q702" s="67"/>
      <c r="R702" s="67"/>
      <c r="S702" s="65" t="s">
        <v>11</v>
      </c>
      <c r="T702" s="70" t="s">
        <v>4</v>
      </c>
      <c r="U702" s="65" t="s">
        <v>14</v>
      </c>
      <c r="V702" s="65" t="s">
        <v>1917</v>
      </c>
      <c r="W702" s="65" t="s">
        <v>1921</v>
      </c>
      <c r="X702" s="65" t="s">
        <v>2055</v>
      </c>
      <c r="Y702" s="65" t="s">
        <v>3008</v>
      </c>
      <c r="Z702" s="65" t="s">
        <v>129</v>
      </c>
      <c r="AA702" s="65" t="s">
        <v>2055</v>
      </c>
    </row>
    <row r="703" spans="1:27" ht="17.45" customHeight="1">
      <c r="A703" s="131" t="str">
        <f>IF(priority(Main[[#This Row],[Comments]])&lt;&gt;0, priority(Main[[#This Row],[Comments]]),"")</f>
        <v/>
      </c>
      <c r="B703" s="99" t="s">
        <v>1121</v>
      </c>
      <c r="C703" s="65" t="s">
        <v>4</v>
      </c>
      <c r="D703" s="66" t="s">
        <v>168</v>
      </c>
      <c r="E703" s="67"/>
      <c r="F703" s="67"/>
      <c r="G703" s="64" t="str">
        <f>IF(stdProdLT(Main[[#This Row],[Comments]])=0.1,"N/A",IF(stdProdLT(Main[[#This Row],[Comments]])=0,"",stdProdLT(Main[[#This Row],[Comments]])))</f>
        <v/>
      </c>
      <c r="H703" s="68" t="str">
        <f>IF(AND(Main[[#This Row],[In Stock Date]]&lt;&gt;"",Main[[#This Row],[Revised Due Date]]&lt;&gt;""),Main[[#This Row],[In Stock Date]]-Main[[#This Row],[Revised Due Date]],"")</f>
        <v/>
      </c>
      <c r="I703" s="65" t="s">
        <v>4</v>
      </c>
      <c r="J703" s="65" t="s">
        <v>4</v>
      </c>
      <c r="K703" s="65" t="s">
        <v>4</v>
      </c>
      <c r="L703" s="67"/>
      <c r="M703" s="69" t="str">
        <f>IF(Main[[#This Row],[Tech Start Date]]&lt;1/1/1990,"",IF(Main[[#This Row],[Class]]="C",WORKDAY(Main[[#This Row],[Tech Start Date]],9),IF(Main[[#This Row],[Class]]="B", WORKDAY(Main[[#This Row],[Tech Start Date]],6),IF(Main[[#This Row],[Class]]="A",WORKDAY(Main[[#This Row],[Tech Start Date]],2),""))))</f>
        <v/>
      </c>
      <c r="N703" s="69" t="str">
        <f>IF(Main[[#This Row],[Tech Start Date]]&lt;1/1/1990,"",IF(Main[[#This Row],[Class]]="C",WORKDAY(Main[[#This Row],[Tech Start Date]],19),IF(Main[[#This Row],[Class]]="B", WORKDAY(Main[[#This Row],[Tech Start Date]],12),IF(Main[[#This Row],[Class]]="A",WORKDAY(Main[[#This Row],[Tech Start Date]],4),""))))</f>
        <v/>
      </c>
      <c r="O703" s="69" t="str">
        <f>IF(Main[[#This Row],[Tech Start Date]]&lt;1/1/1990,"",IF(Main[[#This Row],[Class]]="C",WORKDAY(Main[[#This Row],[Tech Start Date]],23),IF(Main[[#This Row],[Class]]="B", WORKDAY(Main[[#This Row],[Tech Start Date]],15),IF(Main[[#This Row],[Class]]="A",WORKDAY(Main[[#This Row],[Tech Start Date]],5),""))))</f>
        <v/>
      </c>
      <c r="P703" s="69" t="str">
        <f>IF(Main[[#This Row],[Tech Start Date]]&lt;1/1/1990,"",IF(Main[[#This Row],[Class]]="C",WORKDAY(Main[[#This Row],[Tech Start Date]],28),IF(Main[[#This Row],[Class]]="B", WORKDAY(Main[[#This Row],[Tech Start Date]],19),IF(Main[[#This Row],[Class]]="A",WORKDAY(Main[[#This Row],[Tech Start Date]],9),""))))</f>
        <v/>
      </c>
      <c r="Q703" s="67">
        <v>40737</v>
      </c>
      <c r="R703" s="67"/>
      <c r="S703" s="65" t="s">
        <v>6</v>
      </c>
      <c r="T703" s="70" t="s">
        <v>4</v>
      </c>
      <c r="U703" s="65" t="s">
        <v>14</v>
      </c>
      <c r="V703" s="65" t="s">
        <v>1920</v>
      </c>
      <c r="W703" s="65" t="s">
        <v>1921</v>
      </c>
      <c r="X703" s="65" t="s">
        <v>2842</v>
      </c>
      <c r="Y703" s="65" t="s">
        <v>2971</v>
      </c>
      <c r="Z703" s="65" t="s">
        <v>4</v>
      </c>
      <c r="AA703" s="65" t="s">
        <v>2842</v>
      </c>
    </row>
    <row r="704" spans="1:27" ht="17.45" customHeight="1">
      <c r="A704" s="131" t="str">
        <f>IF(priority(Main[[#This Row],[Comments]])&lt;&gt;0, priority(Main[[#This Row],[Comments]]),"")</f>
        <v/>
      </c>
      <c r="B704" s="99" t="s">
        <v>1902</v>
      </c>
      <c r="C704" s="65" t="s">
        <v>72</v>
      </c>
      <c r="D704" s="66" t="s">
        <v>2097</v>
      </c>
      <c r="E704" s="67">
        <v>40469.931226851855</v>
      </c>
      <c r="F704" s="67">
        <v>40487</v>
      </c>
      <c r="G704" s="64" t="str">
        <f>IF(stdProdLT(Main[[#This Row],[Comments]])=0.1,"N/A",IF(stdProdLT(Main[[#This Row],[Comments]])=0,"",stdProdLT(Main[[#This Row],[Comments]])))</f>
        <v/>
      </c>
      <c r="H704" s="68">
        <f>IF(AND(Main[[#This Row],[In Stock Date]]&lt;&gt;"",Main[[#This Row],[Revised Due Date]]&lt;&gt;""),Main[[#This Row],[In Stock Date]]-Main[[#This Row],[Revised Due Date]],"")</f>
        <v>-294</v>
      </c>
      <c r="I704" s="65" t="s">
        <v>2056</v>
      </c>
      <c r="J704" s="65" t="s">
        <v>52</v>
      </c>
      <c r="K704" s="65" t="s">
        <v>1924</v>
      </c>
      <c r="L704" s="67"/>
      <c r="M704" s="69" t="str">
        <f>IF(Main[[#This Row],[Tech Start Date]]&lt;1/1/1990,"",IF(Main[[#This Row],[Class]]="C",WORKDAY(Main[[#This Row],[Tech Start Date]],9),IF(Main[[#This Row],[Class]]="B", WORKDAY(Main[[#This Row],[Tech Start Date]],6),IF(Main[[#This Row],[Class]]="A",WORKDAY(Main[[#This Row],[Tech Start Date]],2),""))))</f>
        <v/>
      </c>
      <c r="N704" s="69" t="str">
        <f>IF(Main[[#This Row],[Tech Start Date]]&lt;1/1/1990,"",IF(Main[[#This Row],[Class]]="C",WORKDAY(Main[[#This Row],[Tech Start Date]],19),IF(Main[[#This Row],[Class]]="B", WORKDAY(Main[[#This Row],[Tech Start Date]],12),IF(Main[[#This Row],[Class]]="A",WORKDAY(Main[[#This Row],[Tech Start Date]],4),""))))</f>
        <v/>
      </c>
      <c r="O704" s="69" t="str">
        <f>IF(Main[[#This Row],[Tech Start Date]]&lt;1/1/1990,"",IF(Main[[#This Row],[Class]]="C",WORKDAY(Main[[#This Row],[Tech Start Date]],23),IF(Main[[#This Row],[Class]]="B", WORKDAY(Main[[#This Row],[Tech Start Date]],15),IF(Main[[#This Row],[Class]]="A",WORKDAY(Main[[#This Row],[Tech Start Date]],5),""))))</f>
        <v/>
      </c>
      <c r="P704" s="69" t="str">
        <f>IF(Main[[#This Row],[Tech Start Date]]&lt;1/1/1990,"",IF(Main[[#This Row],[Class]]="C",WORKDAY(Main[[#This Row],[Tech Start Date]],28),IF(Main[[#This Row],[Class]]="B", WORKDAY(Main[[#This Row],[Tech Start Date]],19),IF(Main[[#This Row],[Class]]="A",WORKDAY(Main[[#This Row],[Tech Start Date]],9),""))))</f>
        <v/>
      </c>
      <c r="Q704" s="67"/>
      <c r="R704" s="67">
        <v>40781</v>
      </c>
      <c r="S704" s="65" t="s">
        <v>6</v>
      </c>
      <c r="T704" s="70" t="s">
        <v>2098</v>
      </c>
      <c r="U704" s="65" t="s">
        <v>29</v>
      </c>
      <c r="V704" s="65" t="s">
        <v>1918</v>
      </c>
      <c r="W704" s="65" t="s">
        <v>1919</v>
      </c>
      <c r="X704" s="65" t="s">
        <v>2907</v>
      </c>
      <c r="Y704" s="65" t="s">
        <v>3085</v>
      </c>
      <c r="Z704" s="65" t="s">
        <v>108</v>
      </c>
      <c r="AA704" s="65" t="s">
        <v>2907</v>
      </c>
    </row>
    <row r="705" spans="1:27" ht="17.45" customHeight="1">
      <c r="A705" s="131" t="str">
        <f>IF(priority(Main[[#This Row],[Comments]])&lt;&gt;0, priority(Main[[#This Row],[Comments]]),"")</f>
        <v/>
      </c>
      <c r="B705" s="99" t="s">
        <v>1549</v>
      </c>
      <c r="C705" s="65" t="s">
        <v>4</v>
      </c>
      <c r="D705" s="66" t="s">
        <v>39</v>
      </c>
      <c r="E705" s="67"/>
      <c r="F705" s="67"/>
      <c r="G705" s="64" t="str">
        <f>IF(stdProdLT(Main[[#This Row],[Comments]])=0.1,"N/A",IF(stdProdLT(Main[[#This Row],[Comments]])=0,"",stdProdLT(Main[[#This Row],[Comments]])))</f>
        <v/>
      </c>
      <c r="H705" s="68" t="str">
        <f>IF(AND(Main[[#This Row],[In Stock Date]]&lt;&gt;"",Main[[#This Row],[Revised Due Date]]&lt;&gt;""),Main[[#This Row],[In Stock Date]]-Main[[#This Row],[Revised Due Date]],"")</f>
        <v/>
      </c>
      <c r="I705" s="65" t="s">
        <v>4</v>
      </c>
      <c r="J705" s="65" t="s">
        <v>4</v>
      </c>
      <c r="K705" s="65" t="s">
        <v>4</v>
      </c>
      <c r="L705" s="67"/>
      <c r="M705" s="69" t="str">
        <f>IF(Main[[#This Row],[Tech Start Date]]&lt;1/1/1990,"",IF(Main[[#This Row],[Class]]="C",WORKDAY(Main[[#This Row],[Tech Start Date]],9),IF(Main[[#This Row],[Class]]="B", WORKDAY(Main[[#This Row],[Tech Start Date]],6),IF(Main[[#This Row],[Class]]="A",WORKDAY(Main[[#This Row],[Tech Start Date]],2),""))))</f>
        <v/>
      </c>
      <c r="N705" s="69" t="str">
        <f>IF(Main[[#This Row],[Tech Start Date]]&lt;1/1/1990,"",IF(Main[[#This Row],[Class]]="C",WORKDAY(Main[[#This Row],[Tech Start Date]],19),IF(Main[[#This Row],[Class]]="B", WORKDAY(Main[[#This Row],[Tech Start Date]],12),IF(Main[[#This Row],[Class]]="A",WORKDAY(Main[[#This Row],[Tech Start Date]],4),""))))</f>
        <v/>
      </c>
      <c r="O705" s="69" t="str">
        <f>IF(Main[[#This Row],[Tech Start Date]]&lt;1/1/1990,"",IF(Main[[#This Row],[Class]]="C",WORKDAY(Main[[#This Row],[Tech Start Date]],23),IF(Main[[#This Row],[Class]]="B", WORKDAY(Main[[#This Row],[Tech Start Date]],15),IF(Main[[#This Row],[Class]]="A",WORKDAY(Main[[#This Row],[Tech Start Date]],5),""))))</f>
        <v/>
      </c>
      <c r="P705" s="69" t="str">
        <f>IF(Main[[#This Row],[Tech Start Date]]&lt;1/1/1990,"",IF(Main[[#This Row],[Class]]="C",WORKDAY(Main[[#This Row],[Tech Start Date]],28),IF(Main[[#This Row],[Class]]="B", WORKDAY(Main[[#This Row],[Tech Start Date]],19),IF(Main[[#This Row],[Class]]="A",WORKDAY(Main[[#This Row],[Tech Start Date]],9),""))))</f>
        <v/>
      </c>
      <c r="Q705" s="67">
        <v>40669</v>
      </c>
      <c r="R705" s="67"/>
      <c r="S705" s="65" t="s">
        <v>6</v>
      </c>
      <c r="T705" s="70" t="s">
        <v>4</v>
      </c>
      <c r="U705" s="65" t="s">
        <v>14</v>
      </c>
      <c r="V705" s="65" t="s">
        <v>1920</v>
      </c>
      <c r="W705" s="65" t="s">
        <v>4</v>
      </c>
      <c r="X705" s="65" t="s">
        <v>2824</v>
      </c>
      <c r="Y705" s="65" t="s">
        <v>2935</v>
      </c>
      <c r="Z705" s="65" t="s">
        <v>4</v>
      </c>
      <c r="AA705" s="65" t="s">
        <v>2824</v>
      </c>
    </row>
    <row r="706" spans="1:27" ht="17.45" customHeight="1">
      <c r="A706" s="131" t="str">
        <f>IF(priority(Main[[#This Row],[Comments]])&lt;&gt;0, priority(Main[[#This Row],[Comments]]),"")</f>
        <v/>
      </c>
      <c r="B706" s="99" t="s">
        <v>2733</v>
      </c>
      <c r="C706" s="65" t="s">
        <v>4</v>
      </c>
      <c r="D706" s="66" t="s">
        <v>3238</v>
      </c>
      <c r="E706" s="67">
        <v>40917.478506944448</v>
      </c>
      <c r="F706" s="67"/>
      <c r="G706" s="64" t="str">
        <f>IF(stdProdLT(Main[[#This Row],[Comments]])=0.1,"N/A",IF(stdProdLT(Main[[#This Row],[Comments]])=0,"",stdProdLT(Main[[#This Row],[Comments]])))</f>
        <v/>
      </c>
      <c r="H706" s="68" t="str">
        <f>IF(AND(Main[[#This Row],[In Stock Date]]&lt;&gt;"",Main[[#This Row],[Revised Due Date]]&lt;&gt;""),Main[[#This Row],[In Stock Date]]-Main[[#This Row],[Revised Due Date]],"")</f>
        <v/>
      </c>
      <c r="I706" s="65" t="s">
        <v>4</v>
      </c>
      <c r="J706" s="65" t="s">
        <v>4</v>
      </c>
      <c r="K706" s="65" t="s">
        <v>4</v>
      </c>
      <c r="L706" s="67"/>
      <c r="M706" s="69" t="str">
        <f>IF(Main[[#This Row],[Tech Start Date]]&lt;1/1/1990,"",IF(Main[[#This Row],[Class]]="C",WORKDAY(Main[[#This Row],[Tech Start Date]],9),IF(Main[[#This Row],[Class]]="B", WORKDAY(Main[[#This Row],[Tech Start Date]],6),IF(Main[[#This Row],[Class]]="A",WORKDAY(Main[[#This Row],[Tech Start Date]],2),""))))</f>
        <v/>
      </c>
      <c r="N706" s="69" t="str">
        <f>IF(Main[[#This Row],[Tech Start Date]]&lt;1/1/1990,"",IF(Main[[#This Row],[Class]]="C",WORKDAY(Main[[#This Row],[Tech Start Date]],19),IF(Main[[#This Row],[Class]]="B", WORKDAY(Main[[#This Row],[Tech Start Date]],12),IF(Main[[#This Row],[Class]]="A",WORKDAY(Main[[#This Row],[Tech Start Date]],4),""))))</f>
        <v/>
      </c>
      <c r="O706" s="69" t="str">
        <f>IF(Main[[#This Row],[Tech Start Date]]&lt;1/1/1990,"",IF(Main[[#This Row],[Class]]="C",WORKDAY(Main[[#This Row],[Tech Start Date]],23),IF(Main[[#This Row],[Class]]="B", WORKDAY(Main[[#This Row],[Tech Start Date]],15),IF(Main[[#This Row],[Class]]="A",WORKDAY(Main[[#This Row],[Tech Start Date]],5),""))))</f>
        <v/>
      </c>
      <c r="P706" s="69" t="str">
        <f>IF(Main[[#This Row],[Tech Start Date]]&lt;1/1/1990,"",IF(Main[[#This Row],[Class]]="C",WORKDAY(Main[[#This Row],[Tech Start Date]],28),IF(Main[[#This Row],[Class]]="B", WORKDAY(Main[[#This Row],[Tech Start Date]],19),IF(Main[[#This Row],[Class]]="A",WORKDAY(Main[[#This Row],[Tech Start Date]],9),""))))</f>
        <v/>
      </c>
      <c r="Q706" s="67"/>
      <c r="R706" s="67"/>
      <c r="S706" s="65" t="s">
        <v>6</v>
      </c>
      <c r="T706" s="70" t="s">
        <v>4</v>
      </c>
      <c r="U706" s="65" t="s">
        <v>7</v>
      </c>
      <c r="V706" s="65" t="s">
        <v>1917</v>
      </c>
      <c r="W706" s="65" t="s">
        <v>1921</v>
      </c>
      <c r="X706" s="65" t="s">
        <v>102</v>
      </c>
      <c r="Y706" s="65" t="s">
        <v>3086</v>
      </c>
      <c r="Z706" s="65" t="s">
        <v>4</v>
      </c>
      <c r="AA706" s="65" t="s">
        <v>3397</v>
      </c>
    </row>
    <row r="707" spans="1:27" ht="17.45" customHeight="1">
      <c r="A707" s="131" t="str">
        <f>IF(priority(Main[[#This Row],[Comments]])&lt;&gt;0, priority(Main[[#This Row],[Comments]]),"")</f>
        <v/>
      </c>
      <c r="B707" s="99" t="s">
        <v>1551</v>
      </c>
      <c r="C707" s="65" t="s">
        <v>4</v>
      </c>
      <c r="D707" s="66" t="s">
        <v>631</v>
      </c>
      <c r="E707" s="67">
        <v>40371.35765046296</v>
      </c>
      <c r="F707" s="67"/>
      <c r="G707" s="64" t="str">
        <f>IF(stdProdLT(Main[[#This Row],[Comments]])=0.1,"N/A",IF(stdProdLT(Main[[#This Row],[Comments]])=0,"",stdProdLT(Main[[#This Row],[Comments]])))</f>
        <v/>
      </c>
      <c r="H707" s="68" t="str">
        <f>IF(AND(Main[[#This Row],[In Stock Date]]&lt;&gt;"",Main[[#This Row],[Revised Due Date]]&lt;&gt;""),Main[[#This Row],[In Stock Date]]-Main[[#This Row],[Revised Due Date]],"")</f>
        <v/>
      </c>
      <c r="I707" s="65" t="s">
        <v>4</v>
      </c>
      <c r="J707" s="65" t="s">
        <v>4</v>
      </c>
      <c r="K707" s="65" t="s">
        <v>4</v>
      </c>
      <c r="L707" s="67"/>
      <c r="M707" s="69" t="str">
        <f>IF(Main[[#This Row],[Tech Start Date]]&lt;1/1/1990,"",IF(Main[[#This Row],[Class]]="C",WORKDAY(Main[[#This Row],[Tech Start Date]],9),IF(Main[[#This Row],[Class]]="B", WORKDAY(Main[[#This Row],[Tech Start Date]],6),IF(Main[[#This Row],[Class]]="A",WORKDAY(Main[[#This Row],[Tech Start Date]],2),""))))</f>
        <v/>
      </c>
      <c r="N707" s="69" t="str">
        <f>IF(Main[[#This Row],[Tech Start Date]]&lt;1/1/1990,"",IF(Main[[#This Row],[Class]]="C",WORKDAY(Main[[#This Row],[Tech Start Date]],19),IF(Main[[#This Row],[Class]]="B", WORKDAY(Main[[#This Row],[Tech Start Date]],12),IF(Main[[#This Row],[Class]]="A",WORKDAY(Main[[#This Row],[Tech Start Date]],4),""))))</f>
        <v/>
      </c>
      <c r="O707" s="69" t="str">
        <f>IF(Main[[#This Row],[Tech Start Date]]&lt;1/1/1990,"",IF(Main[[#This Row],[Class]]="C",WORKDAY(Main[[#This Row],[Tech Start Date]],23),IF(Main[[#This Row],[Class]]="B", WORKDAY(Main[[#This Row],[Tech Start Date]],15),IF(Main[[#This Row],[Class]]="A",WORKDAY(Main[[#This Row],[Tech Start Date]],5),""))))</f>
        <v/>
      </c>
      <c r="P707" s="69" t="str">
        <f>IF(Main[[#This Row],[Tech Start Date]]&lt;1/1/1990,"",IF(Main[[#This Row],[Class]]="C",WORKDAY(Main[[#This Row],[Tech Start Date]],28),IF(Main[[#This Row],[Class]]="B", WORKDAY(Main[[#This Row],[Tech Start Date]],19),IF(Main[[#This Row],[Class]]="A",WORKDAY(Main[[#This Row],[Tech Start Date]],9),""))))</f>
        <v/>
      </c>
      <c r="Q707" s="67">
        <v>40385</v>
      </c>
      <c r="R707" s="67"/>
      <c r="S707" s="65" t="s">
        <v>6</v>
      </c>
      <c r="T707" s="70" t="s">
        <v>4</v>
      </c>
      <c r="U707" s="65" t="s">
        <v>7</v>
      </c>
      <c r="V707" s="65" t="s">
        <v>1917</v>
      </c>
      <c r="W707" s="65" t="s">
        <v>1919</v>
      </c>
      <c r="X707" s="65" t="s">
        <v>102</v>
      </c>
      <c r="Y707" s="65" t="s">
        <v>3038</v>
      </c>
      <c r="Z707" s="65" t="s">
        <v>4</v>
      </c>
      <c r="AA707" s="65" t="s">
        <v>3408</v>
      </c>
    </row>
    <row r="708" spans="1:27" ht="17.45" customHeight="1">
      <c r="A708" s="131" t="str">
        <f>IF(priority(Main[[#This Row],[Comments]])&lt;&gt;0, priority(Main[[#This Row],[Comments]]),"")</f>
        <v/>
      </c>
      <c r="B708" s="99" t="s">
        <v>1552</v>
      </c>
      <c r="C708" s="65" t="s">
        <v>4</v>
      </c>
      <c r="D708" s="66" t="s">
        <v>632</v>
      </c>
      <c r="E708" s="67">
        <v>40371.37263888889</v>
      </c>
      <c r="F708" s="67"/>
      <c r="G708" s="64" t="str">
        <f>IF(stdProdLT(Main[[#This Row],[Comments]])=0.1,"N/A",IF(stdProdLT(Main[[#This Row],[Comments]])=0,"",stdProdLT(Main[[#This Row],[Comments]])))</f>
        <v/>
      </c>
      <c r="H708" s="68" t="str">
        <f>IF(AND(Main[[#This Row],[In Stock Date]]&lt;&gt;"",Main[[#This Row],[Revised Due Date]]&lt;&gt;""),Main[[#This Row],[In Stock Date]]-Main[[#This Row],[Revised Due Date]],"")</f>
        <v/>
      </c>
      <c r="I708" s="65" t="s">
        <v>4</v>
      </c>
      <c r="J708" s="65" t="s">
        <v>4</v>
      </c>
      <c r="K708" s="65" t="s">
        <v>4</v>
      </c>
      <c r="L708" s="67"/>
      <c r="M708" s="69" t="str">
        <f>IF(Main[[#This Row],[Tech Start Date]]&lt;1/1/1990,"",IF(Main[[#This Row],[Class]]="C",WORKDAY(Main[[#This Row],[Tech Start Date]],9),IF(Main[[#This Row],[Class]]="B", WORKDAY(Main[[#This Row],[Tech Start Date]],6),IF(Main[[#This Row],[Class]]="A",WORKDAY(Main[[#This Row],[Tech Start Date]],2),""))))</f>
        <v/>
      </c>
      <c r="N708" s="69" t="str">
        <f>IF(Main[[#This Row],[Tech Start Date]]&lt;1/1/1990,"",IF(Main[[#This Row],[Class]]="C",WORKDAY(Main[[#This Row],[Tech Start Date]],19),IF(Main[[#This Row],[Class]]="B", WORKDAY(Main[[#This Row],[Tech Start Date]],12),IF(Main[[#This Row],[Class]]="A",WORKDAY(Main[[#This Row],[Tech Start Date]],4),""))))</f>
        <v/>
      </c>
      <c r="O708" s="69" t="str">
        <f>IF(Main[[#This Row],[Tech Start Date]]&lt;1/1/1990,"",IF(Main[[#This Row],[Class]]="C",WORKDAY(Main[[#This Row],[Tech Start Date]],23),IF(Main[[#This Row],[Class]]="B", WORKDAY(Main[[#This Row],[Tech Start Date]],15),IF(Main[[#This Row],[Class]]="A",WORKDAY(Main[[#This Row],[Tech Start Date]],5),""))))</f>
        <v/>
      </c>
      <c r="P708" s="69" t="str">
        <f>IF(Main[[#This Row],[Tech Start Date]]&lt;1/1/1990,"",IF(Main[[#This Row],[Class]]="C",WORKDAY(Main[[#This Row],[Tech Start Date]],28),IF(Main[[#This Row],[Class]]="B", WORKDAY(Main[[#This Row],[Tech Start Date]],19),IF(Main[[#This Row],[Class]]="A",WORKDAY(Main[[#This Row],[Tech Start Date]],9),""))))</f>
        <v/>
      </c>
      <c r="Q708" s="67">
        <v>40385</v>
      </c>
      <c r="R708" s="67"/>
      <c r="S708" s="65" t="s">
        <v>6</v>
      </c>
      <c r="T708" s="70" t="s">
        <v>4</v>
      </c>
      <c r="U708" s="65" t="s">
        <v>7</v>
      </c>
      <c r="V708" s="65" t="s">
        <v>1917</v>
      </c>
      <c r="W708" s="65" t="s">
        <v>1919</v>
      </c>
      <c r="X708" s="65" t="s">
        <v>102</v>
      </c>
      <c r="Y708" s="65" t="s">
        <v>3038</v>
      </c>
      <c r="Z708" s="65" t="s">
        <v>4</v>
      </c>
      <c r="AA708" s="65" t="s">
        <v>3408</v>
      </c>
    </row>
    <row r="709" spans="1:27" ht="17.45" customHeight="1">
      <c r="A709" s="131" t="str">
        <f>IF(priority(Main[[#This Row],[Comments]])&lt;&gt;0, priority(Main[[#This Row],[Comments]]),"")</f>
        <v/>
      </c>
      <c r="B709" s="99" t="s">
        <v>1398</v>
      </c>
      <c r="C709" s="65" t="s">
        <v>4</v>
      </c>
      <c r="D709" s="66" t="s">
        <v>480</v>
      </c>
      <c r="E709" s="67"/>
      <c r="F709" s="67"/>
      <c r="G709" s="64" t="str">
        <f>IF(stdProdLT(Main[[#This Row],[Comments]])=0.1,"N/A",IF(stdProdLT(Main[[#This Row],[Comments]])=0,"",stdProdLT(Main[[#This Row],[Comments]])))</f>
        <v/>
      </c>
      <c r="H709" s="68" t="str">
        <f>IF(AND(Main[[#This Row],[In Stock Date]]&lt;&gt;"",Main[[#This Row],[Revised Due Date]]&lt;&gt;""),Main[[#This Row],[In Stock Date]]-Main[[#This Row],[Revised Due Date]],"")</f>
        <v/>
      </c>
      <c r="I709" s="65" t="s">
        <v>4</v>
      </c>
      <c r="J709" s="65" t="s">
        <v>4</v>
      </c>
      <c r="K709" s="65" t="s">
        <v>4</v>
      </c>
      <c r="L709" s="67"/>
      <c r="M709" s="69" t="str">
        <f>IF(Main[[#This Row],[Tech Start Date]]&lt;1/1/1990,"",IF(Main[[#This Row],[Class]]="C",WORKDAY(Main[[#This Row],[Tech Start Date]],9),IF(Main[[#This Row],[Class]]="B", WORKDAY(Main[[#This Row],[Tech Start Date]],6),IF(Main[[#This Row],[Class]]="A",WORKDAY(Main[[#This Row],[Tech Start Date]],2),""))))</f>
        <v/>
      </c>
      <c r="N709" s="69" t="str">
        <f>IF(Main[[#This Row],[Tech Start Date]]&lt;1/1/1990,"",IF(Main[[#This Row],[Class]]="C",WORKDAY(Main[[#This Row],[Tech Start Date]],19),IF(Main[[#This Row],[Class]]="B", WORKDAY(Main[[#This Row],[Tech Start Date]],12),IF(Main[[#This Row],[Class]]="A",WORKDAY(Main[[#This Row],[Tech Start Date]],4),""))))</f>
        <v/>
      </c>
      <c r="O709" s="69" t="str">
        <f>IF(Main[[#This Row],[Tech Start Date]]&lt;1/1/1990,"",IF(Main[[#This Row],[Class]]="C",WORKDAY(Main[[#This Row],[Tech Start Date]],23),IF(Main[[#This Row],[Class]]="B", WORKDAY(Main[[#This Row],[Tech Start Date]],15),IF(Main[[#This Row],[Class]]="A",WORKDAY(Main[[#This Row],[Tech Start Date]],5),""))))</f>
        <v/>
      </c>
      <c r="P709" s="69" t="str">
        <f>IF(Main[[#This Row],[Tech Start Date]]&lt;1/1/1990,"",IF(Main[[#This Row],[Class]]="C",WORKDAY(Main[[#This Row],[Tech Start Date]],28),IF(Main[[#This Row],[Class]]="B", WORKDAY(Main[[#This Row],[Tech Start Date]],19),IF(Main[[#This Row],[Class]]="A",WORKDAY(Main[[#This Row],[Tech Start Date]],9),""))))</f>
        <v/>
      </c>
      <c r="Q709" s="67"/>
      <c r="R709" s="67"/>
      <c r="S709" s="65" t="s">
        <v>4</v>
      </c>
      <c r="T709" s="70" t="s">
        <v>4</v>
      </c>
      <c r="U709" s="65" t="s">
        <v>14</v>
      </c>
      <c r="V709" s="65" t="s">
        <v>1920</v>
      </c>
      <c r="W709" s="65" t="s">
        <v>4</v>
      </c>
      <c r="X709" s="65" t="s">
        <v>2825</v>
      </c>
      <c r="Y709" s="65" t="s">
        <v>2938</v>
      </c>
      <c r="Z709" s="65" t="s">
        <v>4</v>
      </c>
      <c r="AA709" s="65" t="s">
        <v>2825</v>
      </c>
    </row>
    <row r="710" spans="1:27" ht="17.45" customHeight="1">
      <c r="A710" s="131" t="str">
        <f>IF(priority(Main[[#This Row],[Comments]])&lt;&gt;0, priority(Main[[#This Row],[Comments]]),"")</f>
        <v/>
      </c>
      <c r="B710" s="99" t="s">
        <v>1153</v>
      </c>
      <c r="C710" s="65" t="s">
        <v>4</v>
      </c>
      <c r="D710" s="66" t="s">
        <v>208</v>
      </c>
      <c r="E710" s="67"/>
      <c r="F710" s="67"/>
      <c r="G710" s="64" t="str">
        <f>IF(stdProdLT(Main[[#This Row],[Comments]])=0.1,"N/A",IF(stdProdLT(Main[[#This Row],[Comments]])=0,"",stdProdLT(Main[[#This Row],[Comments]])))</f>
        <v/>
      </c>
      <c r="H710" s="68" t="str">
        <f>IF(AND(Main[[#This Row],[In Stock Date]]&lt;&gt;"",Main[[#This Row],[Revised Due Date]]&lt;&gt;""),Main[[#This Row],[In Stock Date]]-Main[[#This Row],[Revised Due Date]],"")</f>
        <v/>
      </c>
      <c r="I710" s="65" t="s">
        <v>4</v>
      </c>
      <c r="J710" s="65" t="s">
        <v>28</v>
      </c>
      <c r="K710" s="65" t="s">
        <v>4</v>
      </c>
      <c r="L710" s="67"/>
      <c r="M710" s="69" t="str">
        <f>IF(Main[[#This Row],[Tech Start Date]]&lt;1/1/1990,"",IF(Main[[#This Row],[Class]]="C",WORKDAY(Main[[#This Row],[Tech Start Date]],9),IF(Main[[#This Row],[Class]]="B", WORKDAY(Main[[#This Row],[Tech Start Date]],6),IF(Main[[#This Row],[Class]]="A",WORKDAY(Main[[#This Row],[Tech Start Date]],2),""))))</f>
        <v/>
      </c>
      <c r="N710" s="69" t="str">
        <f>IF(Main[[#This Row],[Tech Start Date]]&lt;1/1/1990,"",IF(Main[[#This Row],[Class]]="C",WORKDAY(Main[[#This Row],[Tech Start Date]],19),IF(Main[[#This Row],[Class]]="B", WORKDAY(Main[[#This Row],[Tech Start Date]],12),IF(Main[[#This Row],[Class]]="A",WORKDAY(Main[[#This Row],[Tech Start Date]],4),""))))</f>
        <v/>
      </c>
      <c r="O710" s="69" t="str">
        <f>IF(Main[[#This Row],[Tech Start Date]]&lt;1/1/1990,"",IF(Main[[#This Row],[Class]]="C",WORKDAY(Main[[#This Row],[Tech Start Date]],23),IF(Main[[#This Row],[Class]]="B", WORKDAY(Main[[#This Row],[Tech Start Date]],15),IF(Main[[#This Row],[Class]]="A",WORKDAY(Main[[#This Row],[Tech Start Date]],5),""))))</f>
        <v/>
      </c>
      <c r="P710" s="69" t="str">
        <f>IF(Main[[#This Row],[Tech Start Date]]&lt;1/1/1990,"",IF(Main[[#This Row],[Class]]="C",WORKDAY(Main[[#This Row],[Tech Start Date]],28),IF(Main[[#This Row],[Class]]="B", WORKDAY(Main[[#This Row],[Tech Start Date]],19),IF(Main[[#This Row],[Class]]="A",WORKDAY(Main[[#This Row],[Tech Start Date]],9),""))))</f>
        <v/>
      </c>
      <c r="Q710" s="67"/>
      <c r="R710" s="67"/>
      <c r="S710" s="65" t="s">
        <v>6</v>
      </c>
      <c r="T710" s="70" t="s">
        <v>4</v>
      </c>
      <c r="U710" s="65" t="s">
        <v>14</v>
      </c>
      <c r="V710" s="65" t="s">
        <v>1927</v>
      </c>
      <c r="W710" s="65" t="s">
        <v>1923</v>
      </c>
      <c r="X710" s="65" t="s">
        <v>50</v>
      </c>
      <c r="Y710" s="65" t="s">
        <v>2969</v>
      </c>
      <c r="Z710" s="65" t="s">
        <v>30</v>
      </c>
      <c r="AA710" s="65" t="s">
        <v>885</v>
      </c>
    </row>
    <row r="711" spans="1:27" ht="17.45" customHeight="1">
      <c r="A711" s="131" t="str">
        <f>IF(priority(Main[[#This Row],[Comments]])&lt;&gt;0, priority(Main[[#This Row],[Comments]]),"")</f>
        <v/>
      </c>
      <c r="B711" s="99" t="s">
        <v>1400</v>
      </c>
      <c r="C711" s="65" t="s">
        <v>47</v>
      </c>
      <c r="D711" s="66" t="s">
        <v>482</v>
      </c>
      <c r="E711" s="67">
        <v>39937.619513888887</v>
      </c>
      <c r="F711" s="67"/>
      <c r="G711" s="64" t="str">
        <f>IF(stdProdLT(Main[[#This Row],[Comments]])=0.1,"N/A",IF(stdProdLT(Main[[#This Row],[Comments]])=0,"",stdProdLT(Main[[#This Row],[Comments]])))</f>
        <v/>
      </c>
      <c r="H711" s="68" t="str">
        <f>IF(AND(Main[[#This Row],[In Stock Date]]&lt;&gt;"",Main[[#This Row],[Revised Due Date]]&lt;&gt;""),Main[[#This Row],[In Stock Date]]-Main[[#This Row],[Revised Due Date]],"")</f>
        <v/>
      </c>
      <c r="I711" s="65" t="s">
        <v>4</v>
      </c>
      <c r="J711" s="65" t="s">
        <v>4</v>
      </c>
      <c r="K711" s="65" t="s">
        <v>4</v>
      </c>
      <c r="L711" s="67"/>
      <c r="M711" s="69" t="str">
        <f>IF(Main[[#This Row],[Tech Start Date]]&lt;1/1/1990,"",IF(Main[[#This Row],[Class]]="C",WORKDAY(Main[[#This Row],[Tech Start Date]],9),IF(Main[[#This Row],[Class]]="B", WORKDAY(Main[[#This Row],[Tech Start Date]],6),IF(Main[[#This Row],[Class]]="A",WORKDAY(Main[[#This Row],[Tech Start Date]],2),""))))</f>
        <v/>
      </c>
      <c r="N711" s="69" t="str">
        <f>IF(Main[[#This Row],[Tech Start Date]]&lt;1/1/1990,"",IF(Main[[#This Row],[Class]]="C",WORKDAY(Main[[#This Row],[Tech Start Date]],19),IF(Main[[#This Row],[Class]]="B", WORKDAY(Main[[#This Row],[Tech Start Date]],12),IF(Main[[#This Row],[Class]]="A",WORKDAY(Main[[#This Row],[Tech Start Date]],4),""))))</f>
        <v/>
      </c>
      <c r="O711" s="69" t="str">
        <f>IF(Main[[#This Row],[Tech Start Date]]&lt;1/1/1990,"",IF(Main[[#This Row],[Class]]="C",WORKDAY(Main[[#This Row],[Tech Start Date]],23),IF(Main[[#This Row],[Class]]="B", WORKDAY(Main[[#This Row],[Tech Start Date]],15),IF(Main[[#This Row],[Class]]="A",WORKDAY(Main[[#This Row],[Tech Start Date]],5),""))))</f>
        <v/>
      </c>
      <c r="P711" s="69" t="str">
        <f>IF(Main[[#This Row],[Tech Start Date]]&lt;1/1/1990,"",IF(Main[[#This Row],[Class]]="C",WORKDAY(Main[[#This Row],[Tech Start Date]],28),IF(Main[[#This Row],[Class]]="B", WORKDAY(Main[[#This Row],[Tech Start Date]],19),IF(Main[[#This Row],[Class]]="A",WORKDAY(Main[[#This Row],[Tech Start Date]],9),""))))</f>
        <v/>
      </c>
      <c r="Q711" s="67"/>
      <c r="R711" s="67"/>
      <c r="S711" s="65" t="s">
        <v>17</v>
      </c>
      <c r="T711" s="70" t="s">
        <v>4</v>
      </c>
      <c r="U711" s="65" t="s">
        <v>7</v>
      </c>
      <c r="V711" s="65" t="s">
        <v>1920</v>
      </c>
      <c r="W711" s="65" t="s">
        <v>4</v>
      </c>
      <c r="X711" s="65" t="s">
        <v>2833</v>
      </c>
      <c r="Y711" s="65" t="s">
        <v>2954</v>
      </c>
      <c r="Z711" s="65" t="s">
        <v>4</v>
      </c>
      <c r="AA711" s="65" t="s">
        <v>2833</v>
      </c>
    </row>
    <row r="712" spans="1:27" ht="17.45" customHeight="1">
      <c r="A712" s="131" t="str">
        <f>IF(priority(Main[[#This Row],[Comments]])&lt;&gt;0, priority(Main[[#This Row],[Comments]]),"")</f>
        <v/>
      </c>
      <c r="B712" s="99" t="s">
        <v>1401</v>
      </c>
      <c r="C712" s="65" t="s">
        <v>93</v>
      </c>
      <c r="D712" s="66" t="s">
        <v>563</v>
      </c>
      <c r="E712" s="67"/>
      <c r="F712" s="67">
        <v>40210</v>
      </c>
      <c r="G712" s="64" t="str">
        <f>IF(stdProdLT(Main[[#This Row],[Comments]])=0.1,"N/A",IF(stdProdLT(Main[[#This Row],[Comments]])=0,"",stdProdLT(Main[[#This Row],[Comments]])))</f>
        <v/>
      </c>
      <c r="H712" s="68" t="str">
        <f>IF(AND(Main[[#This Row],[In Stock Date]]&lt;&gt;"",Main[[#This Row],[Revised Due Date]]&lt;&gt;""),Main[[#This Row],[In Stock Date]]-Main[[#This Row],[Revised Due Date]],"")</f>
        <v/>
      </c>
      <c r="I712" s="65" t="s">
        <v>4</v>
      </c>
      <c r="J712" s="65" t="s">
        <v>4</v>
      </c>
      <c r="K712" s="65" t="s">
        <v>4</v>
      </c>
      <c r="L712" s="67"/>
      <c r="M712" s="69" t="str">
        <f>IF(Main[[#This Row],[Tech Start Date]]&lt;1/1/1990,"",IF(Main[[#This Row],[Class]]="C",WORKDAY(Main[[#This Row],[Tech Start Date]],9),IF(Main[[#This Row],[Class]]="B", WORKDAY(Main[[#This Row],[Tech Start Date]],6),IF(Main[[#This Row],[Class]]="A",WORKDAY(Main[[#This Row],[Tech Start Date]],2),""))))</f>
        <v/>
      </c>
      <c r="N712" s="69" t="str">
        <f>IF(Main[[#This Row],[Tech Start Date]]&lt;1/1/1990,"",IF(Main[[#This Row],[Class]]="C",WORKDAY(Main[[#This Row],[Tech Start Date]],19),IF(Main[[#This Row],[Class]]="B", WORKDAY(Main[[#This Row],[Tech Start Date]],12),IF(Main[[#This Row],[Class]]="A",WORKDAY(Main[[#This Row],[Tech Start Date]],4),""))))</f>
        <v/>
      </c>
      <c r="O712" s="69" t="str">
        <f>IF(Main[[#This Row],[Tech Start Date]]&lt;1/1/1990,"",IF(Main[[#This Row],[Class]]="C",WORKDAY(Main[[#This Row],[Tech Start Date]],23),IF(Main[[#This Row],[Class]]="B", WORKDAY(Main[[#This Row],[Tech Start Date]],15),IF(Main[[#This Row],[Class]]="A",WORKDAY(Main[[#This Row],[Tech Start Date]],5),""))))</f>
        <v/>
      </c>
      <c r="P712" s="69" t="str">
        <f>IF(Main[[#This Row],[Tech Start Date]]&lt;1/1/1990,"",IF(Main[[#This Row],[Class]]="C",WORKDAY(Main[[#This Row],[Tech Start Date]],28),IF(Main[[#This Row],[Class]]="B", WORKDAY(Main[[#This Row],[Tech Start Date]],19),IF(Main[[#This Row],[Class]]="A",WORKDAY(Main[[#This Row],[Tech Start Date]],9),""))))</f>
        <v/>
      </c>
      <c r="Q712" s="67">
        <v>40195</v>
      </c>
      <c r="R712" s="67"/>
      <c r="S712" s="65" t="s">
        <v>11</v>
      </c>
      <c r="T712" s="70" t="s">
        <v>4</v>
      </c>
      <c r="U712" s="65" t="s">
        <v>12</v>
      </c>
      <c r="V712" s="65" t="s">
        <v>1927</v>
      </c>
      <c r="W712" s="65" t="s">
        <v>1928</v>
      </c>
      <c r="X712" s="65" t="s">
        <v>2851</v>
      </c>
      <c r="Y712" s="65" t="s">
        <v>4</v>
      </c>
      <c r="Z712" s="65" t="s">
        <v>4</v>
      </c>
      <c r="AA712" s="65" t="s">
        <v>2851</v>
      </c>
    </row>
    <row r="713" spans="1:27" ht="17.45" customHeight="1">
      <c r="A713" s="131" t="str">
        <f>IF(priority(Main[[#This Row],[Comments]])&lt;&gt;0, priority(Main[[#This Row],[Comments]]),"")</f>
        <v/>
      </c>
      <c r="B713" s="99" t="s">
        <v>1747</v>
      </c>
      <c r="C713" s="65" t="s">
        <v>4</v>
      </c>
      <c r="D713" s="66" t="s">
        <v>795</v>
      </c>
      <c r="E713" s="67">
        <v>40584.406446759262</v>
      </c>
      <c r="F713" s="67">
        <v>40602</v>
      </c>
      <c r="G713" s="64" t="str">
        <f>IF(stdProdLT(Main[[#This Row],[Comments]])=0.1,"N/A",IF(stdProdLT(Main[[#This Row],[Comments]])=0,"",stdProdLT(Main[[#This Row],[Comments]])))</f>
        <v/>
      </c>
      <c r="H713" s="68" t="str">
        <f>IF(AND(Main[[#This Row],[In Stock Date]]&lt;&gt;"",Main[[#This Row],[Revised Due Date]]&lt;&gt;""),Main[[#This Row],[In Stock Date]]-Main[[#This Row],[Revised Due Date]],"")</f>
        <v/>
      </c>
      <c r="I713" s="65" t="s">
        <v>4</v>
      </c>
      <c r="J713" s="65" t="s">
        <v>28</v>
      </c>
      <c r="K713" s="71" t="s">
        <v>1929</v>
      </c>
      <c r="L713" s="67"/>
      <c r="M713" s="69" t="str">
        <f>IF(Main[[#This Row],[Tech Start Date]]&lt;1/1/1990,"",IF(Main[[#This Row],[Class]]="C",WORKDAY(Main[[#This Row],[Tech Start Date]],9),IF(Main[[#This Row],[Class]]="B", WORKDAY(Main[[#This Row],[Tech Start Date]],6),IF(Main[[#This Row],[Class]]="A",WORKDAY(Main[[#This Row],[Tech Start Date]],2),""))))</f>
        <v/>
      </c>
      <c r="N713" s="69" t="str">
        <f>IF(Main[[#This Row],[Tech Start Date]]&lt;1/1/1990,"",IF(Main[[#This Row],[Class]]="C",WORKDAY(Main[[#This Row],[Tech Start Date]],19),IF(Main[[#This Row],[Class]]="B", WORKDAY(Main[[#This Row],[Tech Start Date]],12),IF(Main[[#This Row],[Class]]="A",WORKDAY(Main[[#This Row],[Tech Start Date]],4),""))))</f>
        <v/>
      </c>
      <c r="O713" s="69" t="str">
        <f>IF(Main[[#This Row],[Tech Start Date]]&lt;1/1/1990,"",IF(Main[[#This Row],[Class]]="C",WORKDAY(Main[[#This Row],[Tech Start Date]],23),IF(Main[[#This Row],[Class]]="B", WORKDAY(Main[[#This Row],[Tech Start Date]],15),IF(Main[[#This Row],[Class]]="A",WORKDAY(Main[[#This Row],[Tech Start Date]],5),""))))</f>
        <v/>
      </c>
      <c r="P713" s="69" t="str">
        <f>IF(Main[[#This Row],[Tech Start Date]]&lt;1/1/1990,"",IF(Main[[#This Row],[Class]]="C",WORKDAY(Main[[#This Row],[Tech Start Date]],28),IF(Main[[#This Row],[Class]]="B", WORKDAY(Main[[#This Row],[Tech Start Date]],19),IF(Main[[#This Row],[Class]]="A",WORKDAY(Main[[#This Row],[Tech Start Date]],9),""))))</f>
        <v/>
      </c>
      <c r="Q713" s="67">
        <v>40602</v>
      </c>
      <c r="R713" s="67"/>
      <c r="S713" s="65" t="s">
        <v>17</v>
      </c>
      <c r="T713" s="70" t="s">
        <v>4</v>
      </c>
      <c r="U713" s="65" t="s">
        <v>7</v>
      </c>
      <c r="V713" s="65" t="s">
        <v>1917</v>
      </c>
      <c r="W713" s="65" t="s">
        <v>1925</v>
      </c>
      <c r="X713" s="65" t="s">
        <v>2834</v>
      </c>
      <c r="Y713" s="65" t="s">
        <v>2956</v>
      </c>
      <c r="Z713" s="65" t="s">
        <v>129</v>
      </c>
      <c r="AA713" s="65" t="s">
        <v>2834</v>
      </c>
    </row>
    <row r="714" spans="1:27" ht="17.45" customHeight="1">
      <c r="A714" s="131" t="str">
        <f>IF(priority(Main[[#This Row],[Comments]])&lt;&gt;0, priority(Main[[#This Row],[Comments]]),"")</f>
        <v/>
      </c>
      <c r="B714" s="99" t="s">
        <v>1404</v>
      </c>
      <c r="C714" s="65" t="s">
        <v>31</v>
      </c>
      <c r="D714" s="66" t="s">
        <v>484</v>
      </c>
      <c r="E714" s="67"/>
      <c r="F714" s="67"/>
      <c r="G714" s="64" t="str">
        <f>IF(stdProdLT(Main[[#This Row],[Comments]])=0.1,"N/A",IF(stdProdLT(Main[[#This Row],[Comments]])=0,"",stdProdLT(Main[[#This Row],[Comments]])))</f>
        <v/>
      </c>
      <c r="H714" s="68" t="str">
        <f>IF(AND(Main[[#This Row],[In Stock Date]]&lt;&gt;"",Main[[#This Row],[Revised Due Date]]&lt;&gt;""),Main[[#This Row],[In Stock Date]]-Main[[#This Row],[Revised Due Date]],"")</f>
        <v/>
      </c>
      <c r="I714" s="65" t="s">
        <v>4</v>
      </c>
      <c r="J714" s="65" t="s">
        <v>4</v>
      </c>
      <c r="K714" s="65" t="s">
        <v>4</v>
      </c>
      <c r="L714" s="67"/>
      <c r="M714" s="69" t="str">
        <f>IF(Main[[#This Row],[Tech Start Date]]&lt;1/1/1990,"",IF(Main[[#This Row],[Class]]="C",WORKDAY(Main[[#This Row],[Tech Start Date]],9),IF(Main[[#This Row],[Class]]="B", WORKDAY(Main[[#This Row],[Tech Start Date]],6),IF(Main[[#This Row],[Class]]="A",WORKDAY(Main[[#This Row],[Tech Start Date]],2),""))))</f>
        <v/>
      </c>
      <c r="N714" s="69" t="str">
        <f>IF(Main[[#This Row],[Tech Start Date]]&lt;1/1/1990,"",IF(Main[[#This Row],[Class]]="C",WORKDAY(Main[[#This Row],[Tech Start Date]],19),IF(Main[[#This Row],[Class]]="B", WORKDAY(Main[[#This Row],[Tech Start Date]],12),IF(Main[[#This Row],[Class]]="A",WORKDAY(Main[[#This Row],[Tech Start Date]],4),""))))</f>
        <v/>
      </c>
      <c r="O714" s="69" t="str">
        <f>IF(Main[[#This Row],[Tech Start Date]]&lt;1/1/1990,"",IF(Main[[#This Row],[Class]]="C",WORKDAY(Main[[#This Row],[Tech Start Date]],23),IF(Main[[#This Row],[Class]]="B", WORKDAY(Main[[#This Row],[Tech Start Date]],15),IF(Main[[#This Row],[Class]]="A",WORKDAY(Main[[#This Row],[Tech Start Date]],5),""))))</f>
        <v/>
      </c>
      <c r="P714" s="69" t="str">
        <f>IF(Main[[#This Row],[Tech Start Date]]&lt;1/1/1990,"",IF(Main[[#This Row],[Class]]="C",WORKDAY(Main[[#This Row],[Tech Start Date]],28),IF(Main[[#This Row],[Class]]="B", WORKDAY(Main[[#This Row],[Tech Start Date]],19),IF(Main[[#This Row],[Class]]="A",WORKDAY(Main[[#This Row],[Tech Start Date]],9),""))))</f>
        <v/>
      </c>
      <c r="Q714" s="67">
        <v>40318</v>
      </c>
      <c r="R714" s="67"/>
      <c r="S714" s="65" t="s">
        <v>11</v>
      </c>
      <c r="T714" s="70" t="s">
        <v>4</v>
      </c>
      <c r="U714" s="65" t="s">
        <v>14</v>
      </c>
      <c r="V714" s="65" t="s">
        <v>1920</v>
      </c>
      <c r="W714" s="65" t="s">
        <v>1919</v>
      </c>
      <c r="X714" s="65" t="s">
        <v>2836</v>
      </c>
      <c r="Y714" s="65" t="s">
        <v>4</v>
      </c>
      <c r="Z714" s="65" t="s">
        <v>4</v>
      </c>
      <c r="AA714" s="65" t="s">
        <v>2836</v>
      </c>
    </row>
    <row r="715" spans="1:27" ht="17.45" customHeight="1">
      <c r="A715" s="131" t="str">
        <f>IF(priority(Main[[#This Row],[Comments]])&lt;&gt;0, priority(Main[[#This Row],[Comments]]),"")</f>
        <v/>
      </c>
      <c r="B715" s="99" t="s">
        <v>2193</v>
      </c>
      <c r="C715" s="65" t="s">
        <v>4</v>
      </c>
      <c r="D715" s="66" t="s">
        <v>2194</v>
      </c>
      <c r="E715" s="67">
        <v>40784.623067129629</v>
      </c>
      <c r="F715" s="67"/>
      <c r="G715" s="64" t="str">
        <f>IF(stdProdLT(Main[[#This Row],[Comments]])=0.1,"N/A",IF(stdProdLT(Main[[#This Row],[Comments]])=0,"",stdProdLT(Main[[#This Row],[Comments]])))</f>
        <v/>
      </c>
      <c r="H715" s="68" t="str">
        <f>IF(AND(Main[[#This Row],[In Stock Date]]&lt;&gt;"",Main[[#This Row],[Revised Due Date]]&lt;&gt;""),Main[[#This Row],[In Stock Date]]-Main[[#This Row],[Revised Due Date]],"")</f>
        <v/>
      </c>
      <c r="I715" s="65" t="s">
        <v>4</v>
      </c>
      <c r="J715" s="65" t="s">
        <v>4</v>
      </c>
      <c r="K715" s="65" t="s">
        <v>4</v>
      </c>
      <c r="L715" s="67"/>
      <c r="M715" s="69" t="str">
        <f>IF(Main[[#This Row],[Tech Start Date]]&lt;1/1/1990,"",IF(Main[[#This Row],[Class]]="C",WORKDAY(Main[[#This Row],[Tech Start Date]],9),IF(Main[[#This Row],[Class]]="B", WORKDAY(Main[[#This Row],[Tech Start Date]],6),IF(Main[[#This Row],[Class]]="A",WORKDAY(Main[[#This Row],[Tech Start Date]],2),""))))</f>
        <v/>
      </c>
      <c r="N715" s="69" t="str">
        <f>IF(Main[[#This Row],[Tech Start Date]]&lt;1/1/1990,"",IF(Main[[#This Row],[Class]]="C",WORKDAY(Main[[#This Row],[Tech Start Date]],19),IF(Main[[#This Row],[Class]]="B", WORKDAY(Main[[#This Row],[Tech Start Date]],12),IF(Main[[#This Row],[Class]]="A",WORKDAY(Main[[#This Row],[Tech Start Date]],4),""))))</f>
        <v/>
      </c>
      <c r="O715" s="69" t="str">
        <f>IF(Main[[#This Row],[Tech Start Date]]&lt;1/1/1990,"",IF(Main[[#This Row],[Class]]="C",WORKDAY(Main[[#This Row],[Tech Start Date]],23),IF(Main[[#This Row],[Class]]="B", WORKDAY(Main[[#This Row],[Tech Start Date]],15),IF(Main[[#This Row],[Class]]="A",WORKDAY(Main[[#This Row],[Tech Start Date]],5),""))))</f>
        <v/>
      </c>
      <c r="P715" s="69" t="str">
        <f>IF(Main[[#This Row],[Tech Start Date]]&lt;1/1/1990,"",IF(Main[[#This Row],[Class]]="C",WORKDAY(Main[[#This Row],[Tech Start Date]],28),IF(Main[[#This Row],[Class]]="B", WORKDAY(Main[[#This Row],[Tech Start Date]],19),IF(Main[[#This Row],[Class]]="A",WORKDAY(Main[[#This Row],[Tech Start Date]],9),""))))</f>
        <v/>
      </c>
      <c r="Q715" s="67"/>
      <c r="R715" s="67"/>
      <c r="S715" s="65" t="s">
        <v>17</v>
      </c>
      <c r="T715" s="70" t="s">
        <v>4</v>
      </c>
      <c r="U715" s="65" t="s">
        <v>7</v>
      </c>
      <c r="V715" s="65" t="s">
        <v>1920</v>
      </c>
      <c r="W715" s="65" t="s">
        <v>1922</v>
      </c>
      <c r="X715" s="65" t="s">
        <v>2891</v>
      </c>
      <c r="Y715" s="65" t="s">
        <v>3047</v>
      </c>
      <c r="Z715" s="65" t="s">
        <v>4</v>
      </c>
      <c r="AA715" s="65" t="s">
        <v>2891</v>
      </c>
    </row>
    <row r="716" spans="1:27" ht="17.45" customHeight="1">
      <c r="A716" s="131" t="str">
        <f>IF(priority(Main[[#This Row],[Comments]])&lt;&gt;0, priority(Main[[#This Row],[Comments]]),"")</f>
        <v/>
      </c>
      <c r="B716" s="99" t="s">
        <v>1406</v>
      </c>
      <c r="C716" s="65" t="s">
        <v>184</v>
      </c>
      <c r="D716" s="66" t="s">
        <v>486</v>
      </c>
      <c r="E716" s="67"/>
      <c r="F716" s="67"/>
      <c r="G716" s="64" t="str">
        <f>IF(stdProdLT(Main[[#This Row],[Comments]])=0.1,"N/A",IF(stdProdLT(Main[[#This Row],[Comments]])=0,"",stdProdLT(Main[[#This Row],[Comments]])))</f>
        <v/>
      </c>
      <c r="H716" s="68" t="str">
        <f>IF(AND(Main[[#This Row],[In Stock Date]]&lt;&gt;"",Main[[#This Row],[Revised Due Date]]&lt;&gt;""),Main[[#This Row],[In Stock Date]]-Main[[#This Row],[Revised Due Date]],"")</f>
        <v/>
      </c>
      <c r="I716" s="65" t="s">
        <v>4</v>
      </c>
      <c r="J716" s="65" t="s">
        <v>4</v>
      </c>
      <c r="K716" s="65" t="s">
        <v>4</v>
      </c>
      <c r="L716" s="67"/>
      <c r="M716" s="69" t="str">
        <f>IF(Main[[#This Row],[Tech Start Date]]&lt;1/1/1990,"",IF(Main[[#This Row],[Class]]="C",WORKDAY(Main[[#This Row],[Tech Start Date]],9),IF(Main[[#This Row],[Class]]="B", WORKDAY(Main[[#This Row],[Tech Start Date]],6),IF(Main[[#This Row],[Class]]="A",WORKDAY(Main[[#This Row],[Tech Start Date]],2),""))))</f>
        <v/>
      </c>
      <c r="N716" s="69" t="str">
        <f>IF(Main[[#This Row],[Tech Start Date]]&lt;1/1/1990,"",IF(Main[[#This Row],[Class]]="C",WORKDAY(Main[[#This Row],[Tech Start Date]],19),IF(Main[[#This Row],[Class]]="B", WORKDAY(Main[[#This Row],[Tech Start Date]],12),IF(Main[[#This Row],[Class]]="A",WORKDAY(Main[[#This Row],[Tech Start Date]],4),""))))</f>
        <v/>
      </c>
      <c r="O716" s="69" t="str">
        <f>IF(Main[[#This Row],[Tech Start Date]]&lt;1/1/1990,"",IF(Main[[#This Row],[Class]]="C",WORKDAY(Main[[#This Row],[Tech Start Date]],23),IF(Main[[#This Row],[Class]]="B", WORKDAY(Main[[#This Row],[Tech Start Date]],15),IF(Main[[#This Row],[Class]]="A",WORKDAY(Main[[#This Row],[Tech Start Date]],5),""))))</f>
        <v/>
      </c>
      <c r="P716" s="69" t="str">
        <f>IF(Main[[#This Row],[Tech Start Date]]&lt;1/1/1990,"",IF(Main[[#This Row],[Class]]="C",WORKDAY(Main[[#This Row],[Tech Start Date]],28),IF(Main[[#This Row],[Class]]="B", WORKDAY(Main[[#This Row],[Tech Start Date]],19),IF(Main[[#This Row],[Class]]="A",WORKDAY(Main[[#This Row],[Tech Start Date]],9),""))))</f>
        <v/>
      </c>
      <c r="Q716" s="67">
        <v>40116</v>
      </c>
      <c r="R716" s="67"/>
      <c r="S716" s="65" t="s">
        <v>11</v>
      </c>
      <c r="T716" s="70" t="s">
        <v>4</v>
      </c>
      <c r="U716" s="65" t="s">
        <v>14</v>
      </c>
      <c r="V716" s="65" t="s">
        <v>1920</v>
      </c>
      <c r="W716" s="65" t="s">
        <v>1919</v>
      </c>
      <c r="X716" s="65" t="s">
        <v>2869</v>
      </c>
      <c r="Y716" s="65" t="s">
        <v>4</v>
      </c>
      <c r="Z716" s="65" t="s">
        <v>4</v>
      </c>
      <c r="AA716" s="65" t="s">
        <v>2869</v>
      </c>
    </row>
    <row r="717" spans="1:27" ht="17.45" customHeight="1">
      <c r="A717" s="131" t="str">
        <f>IF(priority(Main[[#This Row],[Comments]])&lt;&gt;0, priority(Main[[#This Row],[Comments]]),"")</f>
        <v/>
      </c>
      <c r="B717" s="99" t="s">
        <v>1573</v>
      </c>
      <c r="C717" s="65" t="s">
        <v>652</v>
      </c>
      <c r="D717" s="66" t="s">
        <v>653</v>
      </c>
      <c r="E717" s="67">
        <v>40350.419861111113</v>
      </c>
      <c r="F717" s="67">
        <v>40444</v>
      </c>
      <c r="G717" s="64" t="str">
        <f>IF(stdProdLT(Main[[#This Row],[Comments]])=0.1,"N/A",IF(stdProdLT(Main[[#This Row],[Comments]])=0,"",stdProdLT(Main[[#This Row],[Comments]])))</f>
        <v/>
      </c>
      <c r="H717" s="68" t="str">
        <f>IF(AND(Main[[#This Row],[In Stock Date]]&lt;&gt;"",Main[[#This Row],[Revised Due Date]]&lt;&gt;""),Main[[#This Row],[In Stock Date]]-Main[[#This Row],[Revised Due Date]],"")</f>
        <v/>
      </c>
      <c r="I717" s="65" t="s">
        <v>654</v>
      </c>
      <c r="J717" s="65" t="s">
        <v>28</v>
      </c>
      <c r="K717" s="65" t="s">
        <v>1929</v>
      </c>
      <c r="L717" s="67"/>
      <c r="M717" s="69" t="str">
        <f>IF(Main[[#This Row],[Tech Start Date]]&lt;1/1/1990,"",IF(Main[[#This Row],[Class]]="C",WORKDAY(Main[[#This Row],[Tech Start Date]],9),IF(Main[[#This Row],[Class]]="B", WORKDAY(Main[[#This Row],[Tech Start Date]],6),IF(Main[[#This Row],[Class]]="A",WORKDAY(Main[[#This Row],[Tech Start Date]],2),""))))</f>
        <v/>
      </c>
      <c r="N717" s="69" t="str">
        <f>IF(Main[[#This Row],[Tech Start Date]]&lt;1/1/1990,"",IF(Main[[#This Row],[Class]]="C",WORKDAY(Main[[#This Row],[Tech Start Date]],19),IF(Main[[#This Row],[Class]]="B", WORKDAY(Main[[#This Row],[Tech Start Date]],12),IF(Main[[#This Row],[Class]]="A",WORKDAY(Main[[#This Row],[Tech Start Date]],4),""))))</f>
        <v/>
      </c>
      <c r="O717" s="69" t="str">
        <f>IF(Main[[#This Row],[Tech Start Date]]&lt;1/1/1990,"",IF(Main[[#This Row],[Class]]="C",WORKDAY(Main[[#This Row],[Tech Start Date]],23),IF(Main[[#This Row],[Class]]="B", WORKDAY(Main[[#This Row],[Tech Start Date]],15),IF(Main[[#This Row],[Class]]="A",WORKDAY(Main[[#This Row],[Tech Start Date]],5),""))))</f>
        <v/>
      </c>
      <c r="P717" s="69" t="str">
        <f>IF(Main[[#This Row],[Tech Start Date]]&lt;1/1/1990,"",IF(Main[[#This Row],[Class]]="C",WORKDAY(Main[[#This Row],[Tech Start Date]],28),IF(Main[[#This Row],[Class]]="B", WORKDAY(Main[[#This Row],[Tech Start Date]],19),IF(Main[[#This Row],[Class]]="A",WORKDAY(Main[[#This Row],[Tech Start Date]],9),""))))</f>
        <v/>
      </c>
      <c r="Q717" s="67">
        <v>40353</v>
      </c>
      <c r="R717" s="67"/>
      <c r="S717" s="65" t="s">
        <v>17</v>
      </c>
      <c r="T717" s="70" t="s">
        <v>4</v>
      </c>
      <c r="U717" s="65" t="s">
        <v>7</v>
      </c>
      <c r="V717" s="65" t="s">
        <v>1920</v>
      </c>
      <c r="W717" s="65" t="s">
        <v>1922</v>
      </c>
      <c r="X717" s="65" t="s">
        <v>2892</v>
      </c>
      <c r="Y717" s="65" t="s">
        <v>3048</v>
      </c>
      <c r="Z717" s="65" t="s">
        <v>530</v>
      </c>
      <c r="AA717" s="65" t="s">
        <v>3425</v>
      </c>
    </row>
    <row r="718" spans="1:27" ht="17.45" customHeight="1">
      <c r="A718" s="131" t="str">
        <f>IF(priority(Main[[#This Row],[Comments]])&lt;&gt;0, priority(Main[[#This Row],[Comments]]),"")</f>
        <v/>
      </c>
      <c r="B718" s="99" t="s">
        <v>1408</v>
      </c>
      <c r="C718" s="65" t="s">
        <v>67</v>
      </c>
      <c r="D718" s="66" t="s">
        <v>488</v>
      </c>
      <c r="E718" s="67"/>
      <c r="F718" s="67">
        <v>40561</v>
      </c>
      <c r="G718" s="64" t="str">
        <f>IF(stdProdLT(Main[[#This Row],[Comments]])=0.1,"N/A",IF(stdProdLT(Main[[#This Row],[Comments]])=0,"",stdProdLT(Main[[#This Row],[Comments]])))</f>
        <v/>
      </c>
      <c r="H718" s="68" t="str">
        <f>IF(AND(Main[[#This Row],[In Stock Date]]&lt;&gt;"",Main[[#This Row],[Revised Due Date]]&lt;&gt;""),Main[[#This Row],[In Stock Date]]-Main[[#This Row],[Revised Due Date]],"")</f>
        <v/>
      </c>
      <c r="I718" s="65" t="s">
        <v>4</v>
      </c>
      <c r="J718" s="65" t="s">
        <v>4</v>
      </c>
      <c r="K718" s="65" t="s">
        <v>4</v>
      </c>
      <c r="L718" s="67"/>
      <c r="M718" s="69" t="str">
        <f>IF(Main[[#This Row],[Tech Start Date]]&lt;1/1/1990,"",IF(Main[[#This Row],[Class]]="C",WORKDAY(Main[[#This Row],[Tech Start Date]],9),IF(Main[[#This Row],[Class]]="B", WORKDAY(Main[[#This Row],[Tech Start Date]],6),IF(Main[[#This Row],[Class]]="A",WORKDAY(Main[[#This Row],[Tech Start Date]],2),""))))</f>
        <v/>
      </c>
      <c r="N718" s="69" t="str">
        <f>IF(Main[[#This Row],[Tech Start Date]]&lt;1/1/1990,"",IF(Main[[#This Row],[Class]]="C",WORKDAY(Main[[#This Row],[Tech Start Date]],19),IF(Main[[#This Row],[Class]]="B", WORKDAY(Main[[#This Row],[Tech Start Date]],12),IF(Main[[#This Row],[Class]]="A",WORKDAY(Main[[#This Row],[Tech Start Date]],4),""))))</f>
        <v/>
      </c>
      <c r="O718" s="69" t="str">
        <f>IF(Main[[#This Row],[Tech Start Date]]&lt;1/1/1990,"",IF(Main[[#This Row],[Class]]="C",WORKDAY(Main[[#This Row],[Tech Start Date]],23),IF(Main[[#This Row],[Class]]="B", WORKDAY(Main[[#This Row],[Tech Start Date]],15),IF(Main[[#This Row],[Class]]="A",WORKDAY(Main[[#This Row],[Tech Start Date]],5),""))))</f>
        <v/>
      </c>
      <c r="P718" s="69" t="str">
        <f>IF(Main[[#This Row],[Tech Start Date]]&lt;1/1/1990,"",IF(Main[[#This Row],[Class]]="C",WORKDAY(Main[[#This Row],[Tech Start Date]],28),IF(Main[[#This Row],[Class]]="B", WORKDAY(Main[[#This Row],[Tech Start Date]],19),IF(Main[[#This Row],[Class]]="A",WORKDAY(Main[[#This Row],[Tech Start Date]],9),""))))</f>
        <v/>
      </c>
      <c r="Q718" s="67"/>
      <c r="R718" s="67"/>
      <c r="S718" s="65" t="s">
        <v>11</v>
      </c>
      <c r="T718" s="70" t="s">
        <v>4</v>
      </c>
      <c r="U718" s="65" t="s">
        <v>14</v>
      </c>
      <c r="V718" s="65" t="s">
        <v>1920</v>
      </c>
      <c r="W718" s="65" t="s">
        <v>1923</v>
      </c>
      <c r="X718" s="65" t="s">
        <v>50</v>
      </c>
      <c r="Y718" s="65" t="s">
        <v>4</v>
      </c>
      <c r="Z718" s="65" t="s">
        <v>4</v>
      </c>
      <c r="AA718" s="65" t="s">
        <v>4</v>
      </c>
    </row>
    <row r="719" spans="1:27" ht="17.45" customHeight="1">
      <c r="A719" s="131" t="str">
        <f>IF(priority(Main[[#This Row],[Comments]])&lt;&gt;0, priority(Main[[#This Row],[Comments]]),"")</f>
        <v/>
      </c>
      <c r="B719" s="99" t="s">
        <v>1410</v>
      </c>
      <c r="C719" s="65" t="s">
        <v>31</v>
      </c>
      <c r="D719" s="66" t="s">
        <v>490</v>
      </c>
      <c r="E719" s="67"/>
      <c r="F719" s="67">
        <v>40203</v>
      </c>
      <c r="G719" s="64" t="str">
        <f>IF(stdProdLT(Main[[#This Row],[Comments]])=0.1,"N/A",IF(stdProdLT(Main[[#This Row],[Comments]])=0,"",stdProdLT(Main[[#This Row],[Comments]])))</f>
        <v/>
      </c>
      <c r="H719" s="68" t="str">
        <f>IF(AND(Main[[#This Row],[In Stock Date]]&lt;&gt;"",Main[[#This Row],[Revised Due Date]]&lt;&gt;""),Main[[#This Row],[In Stock Date]]-Main[[#This Row],[Revised Due Date]],"")</f>
        <v/>
      </c>
      <c r="I719" s="65" t="s">
        <v>4</v>
      </c>
      <c r="J719" s="65" t="s">
        <v>4</v>
      </c>
      <c r="K719" s="65" t="s">
        <v>4</v>
      </c>
      <c r="L719" s="67"/>
      <c r="M719" s="69" t="str">
        <f>IF(Main[[#This Row],[Tech Start Date]]&lt;1/1/1990,"",IF(Main[[#This Row],[Class]]="C",WORKDAY(Main[[#This Row],[Tech Start Date]],9),IF(Main[[#This Row],[Class]]="B", WORKDAY(Main[[#This Row],[Tech Start Date]],6),IF(Main[[#This Row],[Class]]="A",WORKDAY(Main[[#This Row],[Tech Start Date]],2),""))))</f>
        <v/>
      </c>
      <c r="N719" s="69" t="str">
        <f>IF(Main[[#This Row],[Tech Start Date]]&lt;1/1/1990,"",IF(Main[[#This Row],[Class]]="C",WORKDAY(Main[[#This Row],[Tech Start Date]],19),IF(Main[[#This Row],[Class]]="B", WORKDAY(Main[[#This Row],[Tech Start Date]],12),IF(Main[[#This Row],[Class]]="A",WORKDAY(Main[[#This Row],[Tech Start Date]],4),""))))</f>
        <v/>
      </c>
      <c r="O719" s="69" t="str">
        <f>IF(Main[[#This Row],[Tech Start Date]]&lt;1/1/1990,"",IF(Main[[#This Row],[Class]]="C",WORKDAY(Main[[#This Row],[Tech Start Date]],23),IF(Main[[#This Row],[Class]]="B", WORKDAY(Main[[#This Row],[Tech Start Date]],15),IF(Main[[#This Row],[Class]]="A",WORKDAY(Main[[#This Row],[Tech Start Date]],5),""))))</f>
        <v/>
      </c>
      <c r="P719" s="69" t="str">
        <f>IF(Main[[#This Row],[Tech Start Date]]&lt;1/1/1990,"",IF(Main[[#This Row],[Class]]="C",WORKDAY(Main[[#This Row],[Tech Start Date]],28),IF(Main[[#This Row],[Class]]="B", WORKDAY(Main[[#This Row],[Tech Start Date]],19),IF(Main[[#This Row],[Class]]="A",WORKDAY(Main[[#This Row],[Tech Start Date]],9),""))))</f>
        <v/>
      </c>
      <c r="Q719" s="67">
        <v>40063</v>
      </c>
      <c r="R719" s="67"/>
      <c r="S719" s="65" t="s">
        <v>11</v>
      </c>
      <c r="T719" s="70" t="s">
        <v>4</v>
      </c>
      <c r="U719" s="65" t="s">
        <v>14</v>
      </c>
      <c r="V719" s="65" t="s">
        <v>1927</v>
      </c>
      <c r="W719" s="65" t="s">
        <v>1923</v>
      </c>
      <c r="X719" s="65" t="s">
        <v>2877</v>
      </c>
      <c r="Y719" s="65" t="s">
        <v>4</v>
      </c>
      <c r="Z719" s="65" t="s">
        <v>4</v>
      </c>
      <c r="AA719" s="65" t="s">
        <v>2877</v>
      </c>
    </row>
    <row r="720" spans="1:27" ht="17.45" customHeight="1">
      <c r="A720" s="131" t="str">
        <f>IF(priority(Main[[#This Row],[Comments]])&lt;&gt;0, priority(Main[[#This Row],[Comments]]),"")</f>
        <v/>
      </c>
      <c r="B720" s="99" t="s">
        <v>1411</v>
      </c>
      <c r="C720" s="65" t="s">
        <v>4</v>
      </c>
      <c r="D720" s="66" t="s">
        <v>491</v>
      </c>
      <c r="E720" s="67">
        <v>40381.391886574071</v>
      </c>
      <c r="F720" s="67"/>
      <c r="G720" s="64" t="str">
        <f>IF(stdProdLT(Main[[#This Row],[Comments]])=0.1,"N/A",IF(stdProdLT(Main[[#This Row],[Comments]])=0,"",stdProdLT(Main[[#This Row],[Comments]])))</f>
        <v/>
      </c>
      <c r="H720" s="68" t="str">
        <f>IF(AND(Main[[#This Row],[In Stock Date]]&lt;&gt;"",Main[[#This Row],[Revised Due Date]]&lt;&gt;""),Main[[#This Row],[In Stock Date]]-Main[[#This Row],[Revised Due Date]],"")</f>
        <v/>
      </c>
      <c r="I720" s="65" t="s">
        <v>4</v>
      </c>
      <c r="J720" s="65" t="s">
        <v>28</v>
      </c>
      <c r="K720" s="65" t="s">
        <v>4</v>
      </c>
      <c r="L720" s="67"/>
      <c r="M720" s="69" t="str">
        <f>IF(Main[[#This Row],[Tech Start Date]]&lt;1/1/1990,"",IF(Main[[#This Row],[Class]]="C",WORKDAY(Main[[#This Row],[Tech Start Date]],9),IF(Main[[#This Row],[Class]]="B", WORKDAY(Main[[#This Row],[Tech Start Date]],6),IF(Main[[#This Row],[Class]]="A",WORKDAY(Main[[#This Row],[Tech Start Date]],2),""))))</f>
        <v/>
      </c>
      <c r="N720" s="69" t="str">
        <f>IF(Main[[#This Row],[Tech Start Date]]&lt;1/1/1990,"",IF(Main[[#This Row],[Class]]="C",WORKDAY(Main[[#This Row],[Tech Start Date]],19),IF(Main[[#This Row],[Class]]="B", WORKDAY(Main[[#This Row],[Tech Start Date]],12),IF(Main[[#This Row],[Class]]="A",WORKDAY(Main[[#This Row],[Tech Start Date]],4),""))))</f>
        <v/>
      </c>
      <c r="O720" s="69" t="str">
        <f>IF(Main[[#This Row],[Tech Start Date]]&lt;1/1/1990,"",IF(Main[[#This Row],[Class]]="C",WORKDAY(Main[[#This Row],[Tech Start Date]],23),IF(Main[[#This Row],[Class]]="B", WORKDAY(Main[[#This Row],[Tech Start Date]],15),IF(Main[[#This Row],[Class]]="A",WORKDAY(Main[[#This Row],[Tech Start Date]],5),""))))</f>
        <v/>
      </c>
      <c r="P720" s="69" t="str">
        <f>IF(Main[[#This Row],[Tech Start Date]]&lt;1/1/1990,"",IF(Main[[#This Row],[Class]]="C",WORKDAY(Main[[#This Row],[Tech Start Date]],28),IF(Main[[#This Row],[Class]]="B", WORKDAY(Main[[#This Row],[Tech Start Date]],19),IF(Main[[#This Row],[Class]]="A",WORKDAY(Main[[#This Row],[Tech Start Date]],9),""))))</f>
        <v/>
      </c>
      <c r="Q720" s="67">
        <v>40451</v>
      </c>
      <c r="R720" s="67"/>
      <c r="S720" s="65" t="s">
        <v>6</v>
      </c>
      <c r="T720" s="70" t="s">
        <v>4</v>
      </c>
      <c r="U720" s="65" t="s">
        <v>7</v>
      </c>
      <c r="V720" s="65" t="s">
        <v>1917</v>
      </c>
      <c r="W720" s="65" t="s">
        <v>1919</v>
      </c>
      <c r="X720" s="65" t="s">
        <v>2893</v>
      </c>
      <c r="Y720" s="65" t="s">
        <v>3049</v>
      </c>
      <c r="Z720" s="65" t="s">
        <v>129</v>
      </c>
      <c r="AA720" s="65" t="s">
        <v>2893</v>
      </c>
    </row>
    <row r="721" spans="1:27" ht="17.45" customHeight="1">
      <c r="A721" s="131" t="str">
        <f>IF(priority(Main[[#This Row],[Comments]])&lt;&gt;0, priority(Main[[#This Row],[Comments]]),"")</f>
        <v/>
      </c>
      <c r="B721" s="99" t="s">
        <v>1465</v>
      </c>
      <c r="C721" s="65" t="s">
        <v>93</v>
      </c>
      <c r="D721" s="66" t="s">
        <v>558</v>
      </c>
      <c r="E721" s="67"/>
      <c r="F721" s="67">
        <v>40299</v>
      </c>
      <c r="G721" s="64" t="str">
        <f>IF(stdProdLT(Main[[#This Row],[Comments]])=0.1,"N/A",IF(stdProdLT(Main[[#This Row],[Comments]])=0,"",stdProdLT(Main[[#This Row],[Comments]])))</f>
        <v/>
      </c>
      <c r="H721" s="68" t="str">
        <f>IF(AND(Main[[#This Row],[In Stock Date]]&lt;&gt;"",Main[[#This Row],[Revised Due Date]]&lt;&gt;""),Main[[#This Row],[In Stock Date]]-Main[[#This Row],[Revised Due Date]],"")</f>
        <v/>
      </c>
      <c r="I721" s="65" t="s">
        <v>4</v>
      </c>
      <c r="J721" s="65" t="s">
        <v>4</v>
      </c>
      <c r="K721" s="65" t="s">
        <v>4</v>
      </c>
      <c r="L721" s="67"/>
      <c r="M721" s="69" t="str">
        <f>IF(Main[[#This Row],[Tech Start Date]]&lt;1/1/1990,"",IF(Main[[#This Row],[Class]]="C",WORKDAY(Main[[#This Row],[Tech Start Date]],9),IF(Main[[#This Row],[Class]]="B", WORKDAY(Main[[#This Row],[Tech Start Date]],6),IF(Main[[#This Row],[Class]]="A",WORKDAY(Main[[#This Row],[Tech Start Date]],2),""))))</f>
        <v/>
      </c>
      <c r="N721" s="69" t="str">
        <f>IF(Main[[#This Row],[Tech Start Date]]&lt;1/1/1990,"",IF(Main[[#This Row],[Class]]="C",WORKDAY(Main[[#This Row],[Tech Start Date]],19),IF(Main[[#This Row],[Class]]="B", WORKDAY(Main[[#This Row],[Tech Start Date]],12),IF(Main[[#This Row],[Class]]="A",WORKDAY(Main[[#This Row],[Tech Start Date]],4),""))))</f>
        <v/>
      </c>
      <c r="O721" s="69" t="str">
        <f>IF(Main[[#This Row],[Tech Start Date]]&lt;1/1/1990,"",IF(Main[[#This Row],[Class]]="C",WORKDAY(Main[[#This Row],[Tech Start Date]],23),IF(Main[[#This Row],[Class]]="B", WORKDAY(Main[[#This Row],[Tech Start Date]],15),IF(Main[[#This Row],[Class]]="A",WORKDAY(Main[[#This Row],[Tech Start Date]],5),""))))</f>
        <v/>
      </c>
      <c r="P721" s="69" t="str">
        <f>IF(Main[[#This Row],[Tech Start Date]]&lt;1/1/1990,"",IF(Main[[#This Row],[Class]]="C",WORKDAY(Main[[#This Row],[Tech Start Date]],28),IF(Main[[#This Row],[Class]]="B", WORKDAY(Main[[#This Row],[Tech Start Date]],19),IF(Main[[#This Row],[Class]]="A",WORKDAY(Main[[#This Row],[Tech Start Date]],9),""))))</f>
        <v/>
      </c>
      <c r="Q721" s="67">
        <v>40171</v>
      </c>
      <c r="R721" s="67"/>
      <c r="S721" s="65" t="s">
        <v>11</v>
      </c>
      <c r="T721" s="70" t="s">
        <v>4</v>
      </c>
      <c r="U721" s="65" t="s">
        <v>14</v>
      </c>
      <c r="V721" s="65" t="s">
        <v>1920</v>
      </c>
      <c r="W721" s="65" t="s">
        <v>1923</v>
      </c>
      <c r="X721" s="65" t="s">
        <v>530</v>
      </c>
      <c r="Y721" s="65" t="s">
        <v>3059</v>
      </c>
      <c r="Z721" s="65" t="s">
        <v>4</v>
      </c>
      <c r="AA721" s="65" t="s">
        <v>3428</v>
      </c>
    </row>
    <row r="722" spans="1:27" ht="17.45" customHeight="1">
      <c r="A722" s="131" t="str">
        <f>IF(priority(Main[[#This Row],[Comments]])&lt;&gt;0, priority(Main[[#This Row],[Comments]]),"")</f>
        <v/>
      </c>
      <c r="B722" s="99" t="s">
        <v>1466</v>
      </c>
      <c r="C722" s="65" t="s">
        <v>47</v>
      </c>
      <c r="D722" s="66" t="s">
        <v>559</v>
      </c>
      <c r="E722" s="67">
        <v>39937.590590277781</v>
      </c>
      <c r="F722" s="67"/>
      <c r="G722" s="64" t="str">
        <f>IF(stdProdLT(Main[[#This Row],[Comments]])=0.1,"N/A",IF(stdProdLT(Main[[#This Row],[Comments]])=0,"",stdProdLT(Main[[#This Row],[Comments]])))</f>
        <v/>
      </c>
      <c r="H722" s="68" t="str">
        <f>IF(AND(Main[[#This Row],[In Stock Date]]&lt;&gt;"",Main[[#This Row],[Revised Due Date]]&lt;&gt;""),Main[[#This Row],[In Stock Date]]-Main[[#This Row],[Revised Due Date]],"")</f>
        <v/>
      </c>
      <c r="I722" s="65" t="s">
        <v>4</v>
      </c>
      <c r="J722" s="65" t="s">
        <v>4</v>
      </c>
      <c r="K722" s="65" t="s">
        <v>4</v>
      </c>
      <c r="L722" s="67"/>
      <c r="M722" s="69" t="str">
        <f>IF(Main[[#This Row],[Tech Start Date]]&lt;1/1/1990,"",IF(Main[[#This Row],[Class]]="C",WORKDAY(Main[[#This Row],[Tech Start Date]],9),IF(Main[[#This Row],[Class]]="B", WORKDAY(Main[[#This Row],[Tech Start Date]],6),IF(Main[[#This Row],[Class]]="A",WORKDAY(Main[[#This Row],[Tech Start Date]],2),""))))</f>
        <v/>
      </c>
      <c r="N722" s="69" t="str">
        <f>IF(Main[[#This Row],[Tech Start Date]]&lt;1/1/1990,"",IF(Main[[#This Row],[Class]]="C",WORKDAY(Main[[#This Row],[Tech Start Date]],19),IF(Main[[#This Row],[Class]]="B", WORKDAY(Main[[#This Row],[Tech Start Date]],12),IF(Main[[#This Row],[Class]]="A",WORKDAY(Main[[#This Row],[Tech Start Date]],4),""))))</f>
        <v/>
      </c>
      <c r="O722" s="69" t="str">
        <f>IF(Main[[#This Row],[Tech Start Date]]&lt;1/1/1990,"",IF(Main[[#This Row],[Class]]="C",WORKDAY(Main[[#This Row],[Tech Start Date]],23),IF(Main[[#This Row],[Class]]="B", WORKDAY(Main[[#This Row],[Tech Start Date]],15),IF(Main[[#This Row],[Class]]="A",WORKDAY(Main[[#This Row],[Tech Start Date]],5),""))))</f>
        <v/>
      </c>
      <c r="P722" s="69" t="str">
        <f>IF(Main[[#This Row],[Tech Start Date]]&lt;1/1/1990,"",IF(Main[[#This Row],[Class]]="C",WORKDAY(Main[[#This Row],[Tech Start Date]],28),IF(Main[[#This Row],[Class]]="B", WORKDAY(Main[[#This Row],[Tech Start Date]],19),IF(Main[[#This Row],[Class]]="A",WORKDAY(Main[[#This Row],[Tech Start Date]],9),""))))</f>
        <v/>
      </c>
      <c r="Q722" s="67"/>
      <c r="R722" s="67"/>
      <c r="S722" s="65" t="s">
        <v>17</v>
      </c>
      <c r="T722" s="70" t="s">
        <v>4</v>
      </c>
      <c r="U722" s="65" t="s">
        <v>7</v>
      </c>
      <c r="V722" s="65" t="s">
        <v>1920</v>
      </c>
      <c r="W722" s="65" t="s">
        <v>4</v>
      </c>
      <c r="X722" s="65" t="s">
        <v>2833</v>
      </c>
      <c r="Y722" s="65" t="s">
        <v>2954</v>
      </c>
      <c r="Z722" s="65" t="s">
        <v>4</v>
      </c>
      <c r="AA722" s="65" t="s">
        <v>2833</v>
      </c>
    </row>
    <row r="723" spans="1:27" ht="17.45" customHeight="1">
      <c r="A723" s="131" t="str">
        <f>IF(priority(Main[[#This Row],[Comments]])&lt;&gt;0, priority(Main[[#This Row],[Comments]]),"")</f>
        <v/>
      </c>
      <c r="B723" s="99" t="s">
        <v>1467</v>
      </c>
      <c r="C723" s="65" t="s">
        <v>277</v>
      </c>
      <c r="D723" s="66" t="s">
        <v>560</v>
      </c>
      <c r="E723" s="67"/>
      <c r="F723" s="67">
        <v>40567</v>
      </c>
      <c r="G723" s="64" t="str">
        <f>IF(stdProdLT(Main[[#This Row],[Comments]])=0.1,"N/A",IF(stdProdLT(Main[[#This Row],[Comments]])=0,"",stdProdLT(Main[[#This Row],[Comments]])))</f>
        <v/>
      </c>
      <c r="H723" s="68" t="str">
        <f>IF(AND(Main[[#This Row],[In Stock Date]]&lt;&gt;"",Main[[#This Row],[Revised Due Date]]&lt;&gt;""),Main[[#This Row],[In Stock Date]]-Main[[#This Row],[Revised Due Date]],"")</f>
        <v/>
      </c>
      <c r="I723" s="65" t="s">
        <v>4</v>
      </c>
      <c r="J723" s="65" t="s">
        <v>4</v>
      </c>
      <c r="K723" s="65" t="s">
        <v>4</v>
      </c>
      <c r="L723" s="67"/>
      <c r="M723" s="69" t="str">
        <f>IF(Main[[#This Row],[Tech Start Date]]&lt;1/1/1990,"",IF(Main[[#This Row],[Class]]="C",WORKDAY(Main[[#This Row],[Tech Start Date]],9),IF(Main[[#This Row],[Class]]="B", WORKDAY(Main[[#This Row],[Tech Start Date]],6),IF(Main[[#This Row],[Class]]="A",WORKDAY(Main[[#This Row],[Tech Start Date]],2),""))))</f>
        <v/>
      </c>
      <c r="N723" s="69" t="str">
        <f>IF(Main[[#This Row],[Tech Start Date]]&lt;1/1/1990,"",IF(Main[[#This Row],[Class]]="C",WORKDAY(Main[[#This Row],[Tech Start Date]],19),IF(Main[[#This Row],[Class]]="B", WORKDAY(Main[[#This Row],[Tech Start Date]],12),IF(Main[[#This Row],[Class]]="A",WORKDAY(Main[[#This Row],[Tech Start Date]],4),""))))</f>
        <v/>
      </c>
      <c r="O723" s="69" t="str">
        <f>IF(Main[[#This Row],[Tech Start Date]]&lt;1/1/1990,"",IF(Main[[#This Row],[Class]]="C",WORKDAY(Main[[#This Row],[Tech Start Date]],23),IF(Main[[#This Row],[Class]]="B", WORKDAY(Main[[#This Row],[Tech Start Date]],15),IF(Main[[#This Row],[Class]]="A",WORKDAY(Main[[#This Row],[Tech Start Date]],5),""))))</f>
        <v/>
      </c>
      <c r="P723" s="69" t="str">
        <f>IF(Main[[#This Row],[Tech Start Date]]&lt;1/1/1990,"",IF(Main[[#This Row],[Class]]="C",WORKDAY(Main[[#This Row],[Tech Start Date]],28),IF(Main[[#This Row],[Class]]="B", WORKDAY(Main[[#This Row],[Tech Start Date]],19),IF(Main[[#This Row],[Class]]="A",WORKDAY(Main[[#This Row],[Tech Start Date]],9),""))))</f>
        <v/>
      </c>
      <c r="Q723" s="67">
        <v>40427</v>
      </c>
      <c r="R723" s="67"/>
      <c r="S723" s="65" t="s">
        <v>11</v>
      </c>
      <c r="T723" s="70" t="s">
        <v>4</v>
      </c>
      <c r="U723" s="65" t="s">
        <v>14</v>
      </c>
      <c r="V723" s="65" t="s">
        <v>1917</v>
      </c>
      <c r="W723" s="65" t="s">
        <v>1925</v>
      </c>
      <c r="X723" s="65" t="s">
        <v>2849</v>
      </c>
      <c r="Y723" s="65" t="s">
        <v>4</v>
      </c>
      <c r="Z723" s="65" t="s">
        <v>4</v>
      </c>
      <c r="AA723" s="65" t="s">
        <v>2849</v>
      </c>
    </row>
    <row r="724" spans="1:27" ht="17.45" customHeight="1">
      <c r="A724" s="131" t="str">
        <f>IF(priority(Main[[#This Row],[Comments]])&lt;&gt;0, priority(Main[[#This Row],[Comments]]),"")</f>
        <v/>
      </c>
      <c r="B724" s="99" t="s">
        <v>1468</v>
      </c>
      <c r="C724" s="65" t="s">
        <v>4</v>
      </c>
      <c r="D724" s="66" t="s">
        <v>561</v>
      </c>
      <c r="E724" s="67">
        <v>40414.808692129627</v>
      </c>
      <c r="F724" s="67"/>
      <c r="G724" s="64" t="str">
        <f>IF(stdProdLT(Main[[#This Row],[Comments]])=0.1,"N/A",IF(stdProdLT(Main[[#This Row],[Comments]])=0,"",stdProdLT(Main[[#This Row],[Comments]])))</f>
        <v/>
      </c>
      <c r="H724" s="68" t="str">
        <f>IF(AND(Main[[#This Row],[In Stock Date]]&lt;&gt;"",Main[[#This Row],[Revised Due Date]]&lt;&gt;""),Main[[#This Row],[In Stock Date]]-Main[[#This Row],[Revised Due Date]],"")</f>
        <v/>
      </c>
      <c r="I724" s="65" t="s">
        <v>4</v>
      </c>
      <c r="J724" s="65" t="s">
        <v>28</v>
      </c>
      <c r="K724" s="65" t="s">
        <v>4</v>
      </c>
      <c r="L724" s="67"/>
      <c r="M724" s="69" t="str">
        <f>IF(Main[[#This Row],[Tech Start Date]]&lt;1/1/1990,"",IF(Main[[#This Row],[Class]]="C",WORKDAY(Main[[#This Row],[Tech Start Date]],9),IF(Main[[#This Row],[Class]]="B", WORKDAY(Main[[#This Row],[Tech Start Date]],6),IF(Main[[#This Row],[Class]]="A",WORKDAY(Main[[#This Row],[Tech Start Date]],2),""))))</f>
        <v/>
      </c>
      <c r="N724" s="69" t="str">
        <f>IF(Main[[#This Row],[Tech Start Date]]&lt;1/1/1990,"",IF(Main[[#This Row],[Class]]="C",WORKDAY(Main[[#This Row],[Tech Start Date]],19),IF(Main[[#This Row],[Class]]="B", WORKDAY(Main[[#This Row],[Tech Start Date]],12),IF(Main[[#This Row],[Class]]="A",WORKDAY(Main[[#This Row],[Tech Start Date]],4),""))))</f>
        <v/>
      </c>
      <c r="O724" s="69" t="str">
        <f>IF(Main[[#This Row],[Tech Start Date]]&lt;1/1/1990,"",IF(Main[[#This Row],[Class]]="C",WORKDAY(Main[[#This Row],[Tech Start Date]],23),IF(Main[[#This Row],[Class]]="B", WORKDAY(Main[[#This Row],[Tech Start Date]],15),IF(Main[[#This Row],[Class]]="A",WORKDAY(Main[[#This Row],[Tech Start Date]],5),""))))</f>
        <v/>
      </c>
      <c r="P724" s="69" t="str">
        <f>IF(Main[[#This Row],[Tech Start Date]]&lt;1/1/1990,"",IF(Main[[#This Row],[Class]]="C",WORKDAY(Main[[#This Row],[Tech Start Date]],28),IF(Main[[#This Row],[Class]]="B", WORKDAY(Main[[#This Row],[Tech Start Date]],19),IF(Main[[#This Row],[Class]]="A",WORKDAY(Main[[#This Row],[Tech Start Date]],9),""))))</f>
        <v/>
      </c>
      <c r="Q724" s="67">
        <v>40429</v>
      </c>
      <c r="R724" s="67"/>
      <c r="S724" s="65" t="s">
        <v>318</v>
      </c>
      <c r="T724" s="70" t="s">
        <v>4</v>
      </c>
      <c r="U724" s="65" t="s">
        <v>7</v>
      </c>
      <c r="V724" s="65" t="s">
        <v>1917</v>
      </c>
      <c r="W724" s="65" t="s">
        <v>1921</v>
      </c>
      <c r="X724" s="65" t="s">
        <v>2827</v>
      </c>
      <c r="Y724" s="65" t="s">
        <v>2942</v>
      </c>
      <c r="Z724" s="65" t="s">
        <v>129</v>
      </c>
      <c r="AA724" s="65" t="s">
        <v>2827</v>
      </c>
    </row>
    <row r="725" spans="1:27" ht="17.45" customHeight="1">
      <c r="A725" s="131" t="str">
        <f>IF(priority(Main[[#This Row],[Comments]])&lt;&gt;0, priority(Main[[#This Row],[Comments]]),"")</f>
        <v/>
      </c>
      <c r="B725" s="99" t="s">
        <v>1994</v>
      </c>
      <c r="C725" s="65" t="s">
        <v>4</v>
      </c>
      <c r="D725" s="66" t="s">
        <v>1995</v>
      </c>
      <c r="E725" s="67">
        <v>40737.450219907405</v>
      </c>
      <c r="F725" s="67"/>
      <c r="G725" s="64" t="str">
        <f>IF(stdProdLT(Main[[#This Row],[Comments]])=0.1,"N/A",IF(stdProdLT(Main[[#This Row],[Comments]])=0,"",stdProdLT(Main[[#This Row],[Comments]])))</f>
        <v/>
      </c>
      <c r="H725" s="68" t="str">
        <f>IF(AND(Main[[#This Row],[In Stock Date]]&lt;&gt;"",Main[[#This Row],[Revised Due Date]]&lt;&gt;""),Main[[#This Row],[In Stock Date]]-Main[[#This Row],[Revised Due Date]],"")</f>
        <v/>
      </c>
      <c r="I725" s="65" t="s">
        <v>4</v>
      </c>
      <c r="J725" s="65" t="s">
        <v>4</v>
      </c>
      <c r="K725" s="65" t="s">
        <v>4</v>
      </c>
      <c r="L725" s="67"/>
      <c r="M725" s="69" t="str">
        <f>IF(Main[[#This Row],[Tech Start Date]]&lt;1/1/1990,"",IF(Main[[#This Row],[Class]]="C",WORKDAY(Main[[#This Row],[Tech Start Date]],9),IF(Main[[#This Row],[Class]]="B", WORKDAY(Main[[#This Row],[Tech Start Date]],6),IF(Main[[#This Row],[Class]]="A",WORKDAY(Main[[#This Row],[Tech Start Date]],2),""))))</f>
        <v/>
      </c>
      <c r="N725" s="69" t="str">
        <f>IF(Main[[#This Row],[Tech Start Date]]&lt;1/1/1990,"",IF(Main[[#This Row],[Class]]="C",WORKDAY(Main[[#This Row],[Tech Start Date]],19),IF(Main[[#This Row],[Class]]="B", WORKDAY(Main[[#This Row],[Tech Start Date]],12),IF(Main[[#This Row],[Class]]="A",WORKDAY(Main[[#This Row],[Tech Start Date]],4),""))))</f>
        <v/>
      </c>
      <c r="O725" s="69" t="str">
        <f>IF(Main[[#This Row],[Tech Start Date]]&lt;1/1/1990,"",IF(Main[[#This Row],[Class]]="C",WORKDAY(Main[[#This Row],[Tech Start Date]],23),IF(Main[[#This Row],[Class]]="B", WORKDAY(Main[[#This Row],[Tech Start Date]],15),IF(Main[[#This Row],[Class]]="A",WORKDAY(Main[[#This Row],[Tech Start Date]],5),""))))</f>
        <v/>
      </c>
      <c r="P725" s="69" t="str">
        <f>IF(Main[[#This Row],[Tech Start Date]]&lt;1/1/1990,"",IF(Main[[#This Row],[Class]]="C",WORKDAY(Main[[#This Row],[Tech Start Date]],28),IF(Main[[#This Row],[Class]]="B", WORKDAY(Main[[#This Row],[Tech Start Date]],19),IF(Main[[#This Row],[Class]]="A",WORKDAY(Main[[#This Row],[Tech Start Date]],9),""))))</f>
        <v/>
      </c>
      <c r="Q725" s="67">
        <v>40759</v>
      </c>
      <c r="R725" s="67"/>
      <c r="S725" s="65" t="s">
        <v>6</v>
      </c>
      <c r="T725" s="70" t="s">
        <v>4</v>
      </c>
      <c r="U725" s="65" t="s">
        <v>7</v>
      </c>
      <c r="V725" s="65" t="s">
        <v>1917</v>
      </c>
      <c r="W725" s="65" t="s">
        <v>1925</v>
      </c>
      <c r="X725" s="65" t="s">
        <v>2827</v>
      </c>
      <c r="Y725" s="65" t="s">
        <v>2942</v>
      </c>
      <c r="Z725" s="65" t="s">
        <v>4</v>
      </c>
      <c r="AA725" s="65" t="s">
        <v>2827</v>
      </c>
    </row>
    <row r="726" spans="1:27" ht="17.45" customHeight="1">
      <c r="A726" s="131" t="str">
        <f>IF(priority(Main[[#This Row],[Comments]])&lt;&gt;0, priority(Main[[#This Row],[Comments]]),"")</f>
        <v/>
      </c>
      <c r="B726" s="99" t="s">
        <v>1439</v>
      </c>
      <c r="C726" s="65" t="s">
        <v>180</v>
      </c>
      <c r="D726" s="66" t="s">
        <v>515</v>
      </c>
      <c r="E726" s="67"/>
      <c r="F726" s="67">
        <v>40374</v>
      </c>
      <c r="G726" s="64" t="str">
        <f>IF(stdProdLT(Main[[#This Row],[Comments]])=0.1,"N/A",IF(stdProdLT(Main[[#This Row],[Comments]])=0,"",stdProdLT(Main[[#This Row],[Comments]])))</f>
        <v/>
      </c>
      <c r="H726" s="68" t="str">
        <f>IF(AND(Main[[#This Row],[In Stock Date]]&lt;&gt;"",Main[[#This Row],[Revised Due Date]]&lt;&gt;""),Main[[#This Row],[In Stock Date]]-Main[[#This Row],[Revised Due Date]],"")</f>
        <v/>
      </c>
      <c r="I726" s="65" t="s">
        <v>4</v>
      </c>
      <c r="J726" s="65" t="s">
        <v>4</v>
      </c>
      <c r="K726" s="65" t="s">
        <v>4</v>
      </c>
      <c r="L726" s="67"/>
      <c r="M726" s="69" t="str">
        <f>IF(Main[[#This Row],[Tech Start Date]]&lt;1/1/1990,"",IF(Main[[#This Row],[Class]]="C",WORKDAY(Main[[#This Row],[Tech Start Date]],9),IF(Main[[#This Row],[Class]]="B", WORKDAY(Main[[#This Row],[Tech Start Date]],6),IF(Main[[#This Row],[Class]]="A",WORKDAY(Main[[#This Row],[Tech Start Date]],2),""))))</f>
        <v/>
      </c>
      <c r="N726" s="69" t="str">
        <f>IF(Main[[#This Row],[Tech Start Date]]&lt;1/1/1990,"",IF(Main[[#This Row],[Class]]="C",WORKDAY(Main[[#This Row],[Tech Start Date]],19),IF(Main[[#This Row],[Class]]="B", WORKDAY(Main[[#This Row],[Tech Start Date]],12),IF(Main[[#This Row],[Class]]="A",WORKDAY(Main[[#This Row],[Tech Start Date]],4),""))))</f>
        <v/>
      </c>
      <c r="O726" s="69" t="str">
        <f>IF(Main[[#This Row],[Tech Start Date]]&lt;1/1/1990,"",IF(Main[[#This Row],[Class]]="C",WORKDAY(Main[[#This Row],[Tech Start Date]],23),IF(Main[[#This Row],[Class]]="B", WORKDAY(Main[[#This Row],[Tech Start Date]],15),IF(Main[[#This Row],[Class]]="A",WORKDAY(Main[[#This Row],[Tech Start Date]],5),""))))</f>
        <v/>
      </c>
      <c r="P726" s="69" t="str">
        <f>IF(Main[[#This Row],[Tech Start Date]]&lt;1/1/1990,"",IF(Main[[#This Row],[Class]]="C",WORKDAY(Main[[#This Row],[Tech Start Date]],28),IF(Main[[#This Row],[Class]]="B", WORKDAY(Main[[#This Row],[Tech Start Date]],19),IF(Main[[#This Row],[Class]]="A",WORKDAY(Main[[#This Row],[Tech Start Date]],9),""))))</f>
        <v/>
      </c>
      <c r="Q726" s="67">
        <v>40298</v>
      </c>
      <c r="R726" s="67"/>
      <c r="S726" s="65" t="s">
        <v>11</v>
      </c>
      <c r="T726" s="70" t="s">
        <v>4</v>
      </c>
      <c r="U726" s="65" t="s">
        <v>14</v>
      </c>
      <c r="V726" s="65" t="s">
        <v>1917</v>
      </c>
      <c r="W726" s="65" t="s">
        <v>1923</v>
      </c>
      <c r="X726" s="65" t="s">
        <v>2830</v>
      </c>
      <c r="Y726" s="65" t="s">
        <v>2949</v>
      </c>
      <c r="Z726" s="65" t="s">
        <v>4</v>
      </c>
      <c r="AA726" s="65" t="s">
        <v>2830</v>
      </c>
    </row>
    <row r="727" spans="1:27" ht="17.45" customHeight="1">
      <c r="A727" s="131" t="str">
        <f>IF(priority(Main[[#This Row],[Comments]])&lt;&gt;0, priority(Main[[#This Row],[Comments]]),"")</f>
        <v/>
      </c>
      <c r="B727" s="99" t="s">
        <v>1504</v>
      </c>
      <c r="C727" s="65" t="s">
        <v>58</v>
      </c>
      <c r="D727" s="66" t="s">
        <v>577</v>
      </c>
      <c r="E727" s="67"/>
      <c r="F727" s="67">
        <v>40697</v>
      </c>
      <c r="G727" s="64" t="str">
        <f>IF(stdProdLT(Main[[#This Row],[Comments]])=0.1,"N/A",IF(stdProdLT(Main[[#This Row],[Comments]])=0,"",stdProdLT(Main[[#This Row],[Comments]])))</f>
        <v/>
      </c>
      <c r="H727" s="68" t="str">
        <f>IF(AND(Main[[#This Row],[In Stock Date]]&lt;&gt;"",Main[[#This Row],[Revised Due Date]]&lt;&gt;""),Main[[#This Row],[In Stock Date]]-Main[[#This Row],[Revised Due Date]],"")</f>
        <v/>
      </c>
      <c r="I727" s="65" t="s">
        <v>417</v>
      </c>
      <c r="J727" s="65" t="s">
        <v>75</v>
      </c>
      <c r="K727" s="65" t="s">
        <v>1924</v>
      </c>
      <c r="L727" s="67"/>
      <c r="M727" s="69" t="str">
        <f>IF(Main[[#This Row],[Tech Start Date]]&lt;1/1/1990,"",IF(Main[[#This Row],[Class]]="C",WORKDAY(Main[[#This Row],[Tech Start Date]],9),IF(Main[[#This Row],[Class]]="B", WORKDAY(Main[[#This Row],[Tech Start Date]],6),IF(Main[[#This Row],[Class]]="A",WORKDAY(Main[[#This Row],[Tech Start Date]],2),""))))</f>
        <v/>
      </c>
      <c r="N727" s="69" t="str">
        <f>IF(Main[[#This Row],[Tech Start Date]]&lt;1/1/1990,"",IF(Main[[#This Row],[Class]]="C",WORKDAY(Main[[#This Row],[Tech Start Date]],19),IF(Main[[#This Row],[Class]]="B", WORKDAY(Main[[#This Row],[Tech Start Date]],12),IF(Main[[#This Row],[Class]]="A",WORKDAY(Main[[#This Row],[Tech Start Date]],4),""))))</f>
        <v/>
      </c>
      <c r="O727" s="69" t="str">
        <f>IF(Main[[#This Row],[Tech Start Date]]&lt;1/1/1990,"",IF(Main[[#This Row],[Class]]="C",WORKDAY(Main[[#This Row],[Tech Start Date]],23),IF(Main[[#This Row],[Class]]="B", WORKDAY(Main[[#This Row],[Tech Start Date]],15),IF(Main[[#This Row],[Class]]="A",WORKDAY(Main[[#This Row],[Tech Start Date]],5),""))))</f>
        <v/>
      </c>
      <c r="P727" s="69" t="str">
        <f>IF(Main[[#This Row],[Tech Start Date]]&lt;1/1/1990,"",IF(Main[[#This Row],[Class]]="C",WORKDAY(Main[[#This Row],[Tech Start Date]],28),IF(Main[[#This Row],[Class]]="B", WORKDAY(Main[[#This Row],[Tech Start Date]],19),IF(Main[[#This Row],[Class]]="A",WORKDAY(Main[[#This Row],[Tech Start Date]],9),""))))</f>
        <v/>
      </c>
      <c r="Q727" s="67">
        <v>40539</v>
      </c>
      <c r="R727" s="67"/>
      <c r="S727" s="65" t="s">
        <v>11</v>
      </c>
      <c r="T727" s="70" t="s">
        <v>4</v>
      </c>
      <c r="U727" s="65" t="s">
        <v>14</v>
      </c>
      <c r="V727" s="65" t="s">
        <v>1927</v>
      </c>
      <c r="W727" s="65" t="s">
        <v>1923</v>
      </c>
      <c r="X727" s="65" t="s">
        <v>2835</v>
      </c>
      <c r="Y727" s="65" t="s">
        <v>2957</v>
      </c>
      <c r="Z727" s="65" t="s">
        <v>306</v>
      </c>
      <c r="AA727" s="65" t="s">
        <v>2835</v>
      </c>
    </row>
    <row r="728" spans="1:27" ht="17.45" customHeight="1">
      <c r="A728" s="131" t="str">
        <f>IF(priority(Main[[#This Row],[Comments]])&lt;&gt;0, priority(Main[[#This Row],[Comments]]),"")</f>
        <v/>
      </c>
      <c r="B728" s="99" t="s">
        <v>1506</v>
      </c>
      <c r="C728" s="65" t="s">
        <v>579</v>
      </c>
      <c r="D728" s="66" t="s">
        <v>580</v>
      </c>
      <c r="E728" s="67"/>
      <c r="F728" s="67">
        <v>40596</v>
      </c>
      <c r="G728" s="64" t="str">
        <f>IF(stdProdLT(Main[[#This Row],[Comments]])=0.1,"N/A",IF(stdProdLT(Main[[#This Row],[Comments]])=0,"",stdProdLT(Main[[#This Row],[Comments]])))</f>
        <v/>
      </c>
      <c r="H728" s="68" t="str">
        <f>IF(AND(Main[[#This Row],[In Stock Date]]&lt;&gt;"",Main[[#This Row],[Revised Due Date]]&lt;&gt;""),Main[[#This Row],[In Stock Date]]-Main[[#This Row],[Revised Due Date]],"")</f>
        <v/>
      </c>
      <c r="I728" s="65" t="s">
        <v>4</v>
      </c>
      <c r="J728" s="65" t="s">
        <v>28</v>
      </c>
      <c r="K728" s="71" t="s">
        <v>4</v>
      </c>
      <c r="L728" s="67"/>
      <c r="M728" s="69" t="str">
        <f>IF(Main[[#This Row],[Tech Start Date]]&lt;1/1/1990,"",IF(Main[[#This Row],[Class]]="C",WORKDAY(Main[[#This Row],[Tech Start Date]],9),IF(Main[[#This Row],[Class]]="B", WORKDAY(Main[[#This Row],[Tech Start Date]],6),IF(Main[[#This Row],[Class]]="A",WORKDAY(Main[[#This Row],[Tech Start Date]],2),""))))</f>
        <v/>
      </c>
      <c r="N728" s="69" t="str">
        <f>IF(Main[[#This Row],[Tech Start Date]]&lt;1/1/1990,"",IF(Main[[#This Row],[Class]]="C",WORKDAY(Main[[#This Row],[Tech Start Date]],19),IF(Main[[#This Row],[Class]]="B", WORKDAY(Main[[#This Row],[Tech Start Date]],12),IF(Main[[#This Row],[Class]]="A",WORKDAY(Main[[#This Row],[Tech Start Date]],4),""))))</f>
        <v/>
      </c>
      <c r="O728" s="69" t="str">
        <f>IF(Main[[#This Row],[Tech Start Date]]&lt;1/1/1990,"",IF(Main[[#This Row],[Class]]="C",WORKDAY(Main[[#This Row],[Tech Start Date]],23),IF(Main[[#This Row],[Class]]="B", WORKDAY(Main[[#This Row],[Tech Start Date]],15),IF(Main[[#This Row],[Class]]="A",WORKDAY(Main[[#This Row],[Tech Start Date]],5),""))))</f>
        <v/>
      </c>
      <c r="P728" s="69" t="str">
        <f>IF(Main[[#This Row],[Tech Start Date]]&lt;1/1/1990,"",IF(Main[[#This Row],[Class]]="C",WORKDAY(Main[[#This Row],[Tech Start Date]],28),IF(Main[[#This Row],[Class]]="B", WORKDAY(Main[[#This Row],[Tech Start Date]],19),IF(Main[[#This Row],[Class]]="A",WORKDAY(Main[[#This Row],[Tech Start Date]],9),""))))</f>
        <v/>
      </c>
      <c r="Q728" s="67">
        <v>40414</v>
      </c>
      <c r="R728" s="67"/>
      <c r="S728" s="65" t="s">
        <v>11</v>
      </c>
      <c r="T728" s="70" t="s">
        <v>4</v>
      </c>
      <c r="U728" s="65" t="s">
        <v>14</v>
      </c>
      <c r="V728" s="65" t="s">
        <v>1920</v>
      </c>
      <c r="W728" s="65" t="s">
        <v>1922</v>
      </c>
      <c r="X728" s="65" t="s">
        <v>2832</v>
      </c>
      <c r="Y728" s="65" t="s">
        <v>2952</v>
      </c>
      <c r="Z728" s="65" t="s">
        <v>530</v>
      </c>
      <c r="AA728" s="65" t="s">
        <v>2832</v>
      </c>
    </row>
    <row r="729" spans="1:27" ht="17.45" customHeight="1">
      <c r="A729" s="131" t="str">
        <f>IF(priority(Main[[#This Row],[Comments]])&lt;&gt;0, priority(Main[[#This Row],[Comments]]),"")</f>
        <v/>
      </c>
      <c r="B729" s="99" t="s">
        <v>1507</v>
      </c>
      <c r="C729" s="65" t="s">
        <v>581</v>
      </c>
      <c r="D729" s="66" t="s">
        <v>582</v>
      </c>
      <c r="E729" s="67"/>
      <c r="F729" s="67"/>
      <c r="G729" s="64" t="str">
        <f>IF(stdProdLT(Main[[#This Row],[Comments]])=0.1,"N/A",IF(stdProdLT(Main[[#This Row],[Comments]])=0,"",stdProdLT(Main[[#This Row],[Comments]])))</f>
        <v/>
      </c>
      <c r="H729" s="68" t="str">
        <f>IF(AND(Main[[#This Row],[In Stock Date]]&lt;&gt;"",Main[[#This Row],[Revised Due Date]]&lt;&gt;""),Main[[#This Row],[In Stock Date]]-Main[[#This Row],[Revised Due Date]],"")</f>
        <v/>
      </c>
      <c r="I729" s="65" t="s">
        <v>4</v>
      </c>
      <c r="J729" s="65" t="s">
        <v>4</v>
      </c>
      <c r="K729" s="65" t="s">
        <v>4</v>
      </c>
      <c r="L729" s="67"/>
      <c r="M729" s="69" t="str">
        <f>IF(Main[[#This Row],[Tech Start Date]]&lt;1/1/1990,"",IF(Main[[#This Row],[Class]]="C",WORKDAY(Main[[#This Row],[Tech Start Date]],9),IF(Main[[#This Row],[Class]]="B", WORKDAY(Main[[#This Row],[Tech Start Date]],6),IF(Main[[#This Row],[Class]]="A",WORKDAY(Main[[#This Row],[Tech Start Date]],2),""))))</f>
        <v/>
      </c>
      <c r="N729" s="69" t="str">
        <f>IF(Main[[#This Row],[Tech Start Date]]&lt;1/1/1990,"",IF(Main[[#This Row],[Class]]="C",WORKDAY(Main[[#This Row],[Tech Start Date]],19),IF(Main[[#This Row],[Class]]="B", WORKDAY(Main[[#This Row],[Tech Start Date]],12),IF(Main[[#This Row],[Class]]="A",WORKDAY(Main[[#This Row],[Tech Start Date]],4),""))))</f>
        <v/>
      </c>
      <c r="O729" s="69" t="str">
        <f>IF(Main[[#This Row],[Tech Start Date]]&lt;1/1/1990,"",IF(Main[[#This Row],[Class]]="C",WORKDAY(Main[[#This Row],[Tech Start Date]],23),IF(Main[[#This Row],[Class]]="B", WORKDAY(Main[[#This Row],[Tech Start Date]],15),IF(Main[[#This Row],[Class]]="A",WORKDAY(Main[[#This Row],[Tech Start Date]],5),""))))</f>
        <v/>
      </c>
      <c r="P729" s="69" t="str">
        <f>IF(Main[[#This Row],[Tech Start Date]]&lt;1/1/1990,"",IF(Main[[#This Row],[Class]]="C",WORKDAY(Main[[#This Row],[Tech Start Date]],28),IF(Main[[#This Row],[Class]]="B", WORKDAY(Main[[#This Row],[Tech Start Date]],19),IF(Main[[#This Row],[Class]]="A",WORKDAY(Main[[#This Row],[Tech Start Date]],9),""))))</f>
        <v/>
      </c>
      <c r="Q729" s="67">
        <v>40476</v>
      </c>
      <c r="R729" s="67"/>
      <c r="S729" s="65" t="s">
        <v>11</v>
      </c>
      <c r="T729" s="70" t="s">
        <v>4</v>
      </c>
      <c r="U729" s="65" t="s">
        <v>14</v>
      </c>
      <c r="V729" s="65" t="s">
        <v>1917</v>
      </c>
      <c r="W729" s="65" t="s">
        <v>1925</v>
      </c>
      <c r="X729" s="65" t="s">
        <v>2885</v>
      </c>
      <c r="Y729" s="65" t="s">
        <v>3033</v>
      </c>
      <c r="Z729" s="65" t="s">
        <v>4</v>
      </c>
      <c r="AA729" s="65" t="s">
        <v>2885</v>
      </c>
    </row>
    <row r="730" spans="1:27" ht="17.45" customHeight="1">
      <c r="A730" s="131" t="str">
        <f>IF(priority(Main[[#This Row],[Comments]])&lt;&gt;0, priority(Main[[#This Row],[Comments]]),"")</f>
        <v/>
      </c>
      <c r="B730" s="99" t="s">
        <v>1508</v>
      </c>
      <c r="C730" s="65" t="s">
        <v>31</v>
      </c>
      <c r="D730" s="66" t="s">
        <v>583</v>
      </c>
      <c r="E730" s="67"/>
      <c r="F730" s="67">
        <v>40330</v>
      </c>
      <c r="G730" s="64" t="str">
        <f>IF(stdProdLT(Main[[#This Row],[Comments]])=0.1,"N/A",IF(stdProdLT(Main[[#This Row],[Comments]])=0,"",stdProdLT(Main[[#This Row],[Comments]])))</f>
        <v/>
      </c>
      <c r="H730" s="68" t="str">
        <f>IF(AND(Main[[#This Row],[In Stock Date]]&lt;&gt;"",Main[[#This Row],[Revised Due Date]]&lt;&gt;""),Main[[#This Row],[In Stock Date]]-Main[[#This Row],[Revised Due Date]],"")</f>
        <v/>
      </c>
      <c r="I730" s="65" t="s">
        <v>4</v>
      </c>
      <c r="J730" s="65" t="s">
        <v>4</v>
      </c>
      <c r="K730" s="65" t="s">
        <v>4</v>
      </c>
      <c r="L730" s="67"/>
      <c r="M730" s="69" t="str">
        <f>IF(Main[[#This Row],[Tech Start Date]]&lt;1/1/1990,"",IF(Main[[#This Row],[Class]]="C",WORKDAY(Main[[#This Row],[Tech Start Date]],9),IF(Main[[#This Row],[Class]]="B", WORKDAY(Main[[#This Row],[Tech Start Date]],6),IF(Main[[#This Row],[Class]]="A",WORKDAY(Main[[#This Row],[Tech Start Date]],2),""))))</f>
        <v/>
      </c>
      <c r="N730" s="69" t="str">
        <f>IF(Main[[#This Row],[Tech Start Date]]&lt;1/1/1990,"",IF(Main[[#This Row],[Class]]="C",WORKDAY(Main[[#This Row],[Tech Start Date]],19),IF(Main[[#This Row],[Class]]="B", WORKDAY(Main[[#This Row],[Tech Start Date]],12),IF(Main[[#This Row],[Class]]="A",WORKDAY(Main[[#This Row],[Tech Start Date]],4),""))))</f>
        <v/>
      </c>
      <c r="O730" s="69" t="str">
        <f>IF(Main[[#This Row],[Tech Start Date]]&lt;1/1/1990,"",IF(Main[[#This Row],[Class]]="C",WORKDAY(Main[[#This Row],[Tech Start Date]],23),IF(Main[[#This Row],[Class]]="B", WORKDAY(Main[[#This Row],[Tech Start Date]],15),IF(Main[[#This Row],[Class]]="A",WORKDAY(Main[[#This Row],[Tech Start Date]],5),""))))</f>
        <v/>
      </c>
      <c r="P730" s="69" t="str">
        <f>IF(Main[[#This Row],[Tech Start Date]]&lt;1/1/1990,"",IF(Main[[#This Row],[Class]]="C",WORKDAY(Main[[#This Row],[Tech Start Date]],28),IF(Main[[#This Row],[Class]]="B", WORKDAY(Main[[#This Row],[Tech Start Date]],19),IF(Main[[#This Row],[Class]]="A",WORKDAY(Main[[#This Row],[Tech Start Date]],9),""))))</f>
        <v/>
      </c>
      <c r="Q730" s="67">
        <v>40210</v>
      </c>
      <c r="R730" s="67"/>
      <c r="S730" s="65" t="s">
        <v>11</v>
      </c>
      <c r="T730" s="70" t="s">
        <v>4</v>
      </c>
      <c r="U730" s="65" t="s">
        <v>14</v>
      </c>
      <c r="V730" s="65" t="s">
        <v>1918</v>
      </c>
      <c r="W730" s="65" t="s">
        <v>1923</v>
      </c>
      <c r="X730" s="65" t="s">
        <v>2830</v>
      </c>
      <c r="Y730" s="65" t="s">
        <v>2949</v>
      </c>
      <c r="Z730" s="65" t="s">
        <v>4</v>
      </c>
      <c r="AA730" s="65" t="s">
        <v>2830</v>
      </c>
    </row>
    <row r="731" spans="1:27" ht="17.45" customHeight="1">
      <c r="A731" s="131" t="str">
        <f>IF(priority(Main[[#This Row],[Comments]])&lt;&gt;0, priority(Main[[#This Row],[Comments]]),"")</f>
        <v/>
      </c>
      <c r="B731" s="99" t="s">
        <v>1509</v>
      </c>
      <c r="C731" s="65" t="s">
        <v>4</v>
      </c>
      <c r="D731" s="66" t="s">
        <v>584</v>
      </c>
      <c r="E731" s="67"/>
      <c r="F731" s="67"/>
      <c r="G731" s="64" t="str">
        <f>IF(stdProdLT(Main[[#This Row],[Comments]])=0.1,"N/A",IF(stdProdLT(Main[[#This Row],[Comments]])=0,"",stdProdLT(Main[[#This Row],[Comments]])))</f>
        <v/>
      </c>
      <c r="H731" s="68" t="str">
        <f>IF(AND(Main[[#This Row],[In Stock Date]]&lt;&gt;"",Main[[#This Row],[Revised Due Date]]&lt;&gt;""),Main[[#This Row],[In Stock Date]]-Main[[#This Row],[Revised Due Date]],"")</f>
        <v/>
      </c>
      <c r="I731" s="65" t="s">
        <v>4</v>
      </c>
      <c r="J731" s="65" t="s">
        <v>4</v>
      </c>
      <c r="K731" s="71" t="s">
        <v>4</v>
      </c>
      <c r="L731" s="67"/>
      <c r="M731" s="69" t="str">
        <f>IF(Main[[#This Row],[Tech Start Date]]&lt;1/1/1990,"",IF(Main[[#This Row],[Class]]="C",WORKDAY(Main[[#This Row],[Tech Start Date]],9),IF(Main[[#This Row],[Class]]="B", WORKDAY(Main[[#This Row],[Tech Start Date]],6),IF(Main[[#This Row],[Class]]="A",WORKDAY(Main[[#This Row],[Tech Start Date]],2),""))))</f>
        <v/>
      </c>
      <c r="N731" s="69" t="str">
        <f>IF(Main[[#This Row],[Tech Start Date]]&lt;1/1/1990,"",IF(Main[[#This Row],[Class]]="C",WORKDAY(Main[[#This Row],[Tech Start Date]],19),IF(Main[[#This Row],[Class]]="B", WORKDAY(Main[[#This Row],[Tech Start Date]],12),IF(Main[[#This Row],[Class]]="A",WORKDAY(Main[[#This Row],[Tech Start Date]],4),""))))</f>
        <v/>
      </c>
      <c r="O731" s="69" t="str">
        <f>IF(Main[[#This Row],[Tech Start Date]]&lt;1/1/1990,"",IF(Main[[#This Row],[Class]]="C",WORKDAY(Main[[#This Row],[Tech Start Date]],23),IF(Main[[#This Row],[Class]]="B", WORKDAY(Main[[#This Row],[Tech Start Date]],15),IF(Main[[#This Row],[Class]]="A",WORKDAY(Main[[#This Row],[Tech Start Date]],5),""))))</f>
        <v/>
      </c>
      <c r="P731" s="69" t="str">
        <f>IF(Main[[#This Row],[Tech Start Date]]&lt;1/1/1990,"",IF(Main[[#This Row],[Class]]="C",WORKDAY(Main[[#This Row],[Tech Start Date]],28),IF(Main[[#This Row],[Class]]="B", WORKDAY(Main[[#This Row],[Tech Start Date]],19),IF(Main[[#This Row],[Class]]="A",WORKDAY(Main[[#This Row],[Tech Start Date]],9),""))))</f>
        <v/>
      </c>
      <c r="Q731" s="67">
        <v>40543</v>
      </c>
      <c r="R731" s="67"/>
      <c r="S731" s="65" t="s">
        <v>17</v>
      </c>
      <c r="T731" s="70" t="s">
        <v>4</v>
      </c>
      <c r="U731" s="65" t="s">
        <v>14</v>
      </c>
      <c r="V731" s="65" t="s">
        <v>1932</v>
      </c>
      <c r="W731" s="65" t="s">
        <v>1919</v>
      </c>
      <c r="X731" s="65" t="s">
        <v>129</v>
      </c>
      <c r="Y731" s="65" t="s">
        <v>2939</v>
      </c>
      <c r="Z731" s="65" t="s">
        <v>4</v>
      </c>
      <c r="AA731" s="65" t="s">
        <v>129</v>
      </c>
    </row>
    <row r="732" spans="1:27" ht="17.45" customHeight="1">
      <c r="A732" s="131" t="str">
        <f>IF(priority(Main[[#This Row],[Comments]])&lt;&gt;0, priority(Main[[#This Row],[Comments]]),"")</f>
        <v/>
      </c>
      <c r="B732" s="99" t="s">
        <v>1510</v>
      </c>
      <c r="C732" s="65" t="s">
        <v>378</v>
      </c>
      <c r="D732" s="66" t="s">
        <v>585</v>
      </c>
      <c r="E732" s="67"/>
      <c r="F732" s="67">
        <v>40228</v>
      </c>
      <c r="G732" s="64" t="str">
        <f>IF(stdProdLT(Main[[#This Row],[Comments]])=0.1,"N/A",IF(stdProdLT(Main[[#This Row],[Comments]])=0,"",stdProdLT(Main[[#This Row],[Comments]])))</f>
        <v/>
      </c>
      <c r="H732" s="68" t="str">
        <f>IF(AND(Main[[#This Row],[In Stock Date]]&lt;&gt;"",Main[[#This Row],[Revised Due Date]]&lt;&gt;""),Main[[#This Row],[In Stock Date]]-Main[[#This Row],[Revised Due Date]],"")</f>
        <v/>
      </c>
      <c r="I732" s="65" t="s">
        <v>4</v>
      </c>
      <c r="J732" s="65" t="s">
        <v>4</v>
      </c>
      <c r="K732" s="65" t="s">
        <v>4</v>
      </c>
      <c r="L732" s="67"/>
      <c r="M732" s="69" t="str">
        <f>IF(Main[[#This Row],[Tech Start Date]]&lt;1/1/1990,"",IF(Main[[#This Row],[Class]]="C",WORKDAY(Main[[#This Row],[Tech Start Date]],9),IF(Main[[#This Row],[Class]]="B", WORKDAY(Main[[#This Row],[Tech Start Date]],6),IF(Main[[#This Row],[Class]]="A",WORKDAY(Main[[#This Row],[Tech Start Date]],2),""))))</f>
        <v/>
      </c>
      <c r="N732" s="69" t="str">
        <f>IF(Main[[#This Row],[Tech Start Date]]&lt;1/1/1990,"",IF(Main[[#This Row],[Class]]="C",WORKDAY(Main[[#This Row],[Tech Start Date]],19),IF(Main[[#This Row],[Class]]="B", WORKDAY(Main[[#This Row],[Tech Start Date]],12),IF(Main[[#This Row],[Class]]="A",WORKDAY(Main[[#This Row],[Tech Start Date]],4),""))))</f>
        <v/>
      </c>
      <c r="O732" s="69" t="str">
        <f>IF(Main[[#This Row],[Tech Start Date]]&lt;1/1/1990,"",IF(Main[[#This Row],[Class]]="C",WORKDAY(Main[[#This Row],[Tech Start Date]],23),IF(Main[[#This Row],[Class]]="B", WORKDAY(Main[[#This Row],[Tech Start Date]],15),IF(Main[[#This Row],[Class]]="A",WORKDAY(Main[[#This Row],[Tech Start Date]],5),""))))</f>
        <v/>
      </c>
      <c r="P732" s="69" t="str">
        <f>IF(Main[[#This Row],[Tech Start Date]]&lt;1/1/1990,"",IF(Main[[#This Row],[Class]]="C",WORKDAY(Main[[#This Row],[Tech Start Date]],28),IF(Main[[#This Row],[Class]]="B", WORKDAY(Main[[#This Row],[Tech Start Date]],19),IF(Main[[#This Row],[Class]]="A",WORKDAY(Main[[#This Row],[Tech Start Date]],9),""))))</f>
        <v/>
      </c>
      <c r="Q732" s="67">
        <v>40153</v>
      </c>
      <c r="R732" s="67"/>
      <c r="S732" s="65" t="s">
        <v>11</v>
      </c>
      <c r="T732" s="70" t="s">
        <v>4</v>
      </c>
      <c r="U732" s="65" t="s">
        <v>14</v>
      </c>
      <c r="V732" s="65" t="s">
        <v>1920</v>
      </c>
      <c r="W732" s="65" t="s">
        <v>1925</v>
      </c>
      <c r="X732" s="65" t="s">
        <v>2869</v>
      </c>
      <c r="Y732" s="65" t="s">
        <v>4</v>
      </c>
      <c r="Z732" s="65" t="s">
        <v>4</v>
      </c>
      <c r="AA732" s="65" t="s">
        <v>2869</v>
      </c>
    </row>
    <row r="733" spans="1:27" ht="17.45" customHeight="1">
      <c r="A733" s="131" t="str">
        <f>IF(priority(Main[[#This Row],[Comments]])&lt;&gt;0, priority(Main[[#This Row],[Comments]]),"")</f>
        <v/>
      </c>
      <c r="B733" s="99" t="s">
        <v>1511</v>
      </c>
      <c r="C733" s="65" t="s">
        <v>275</v>
      </c>
      <c r="D733" s="66" t="s">
        <v>586</v>
      </c>
      <c r="E733" s="67"/>
      <c r="F733" s="67">
        <v>40186</v>
      </c>
      <c r="G733" s="64" t="str">
        <f>IF(stdProdLT(Main[[#This Row],[Comments]])=0.1,"N/A",IF(stdProdLT(Main[[#This Row],[Comments]])=0,"",stdProdLT(Main[[#This Row],[Comments]])))</f>
        <v/>
      </c>
      <c r="H733" s="68" t="str">
        <f>IF(AND(Main[[#This Row],[In Stock Date]]&lt;&gt;"",Main[[#This Row],[Revised Due Date]]&lt;&gt;""),Main[[#This Row],[In Stock Date]]-Main[[#This Row],[Revised Due Date]],"")</f>
        <v/>
      </c>
      <c r="I733" s="65" t="s">
        <v>4</v>
      </c>
      <c r="J733" s="65" t="s">
        <v>4</v>
      </c>
      <c r="K733" s="65" t="s">
        <v>4</v>
      </c>
      <c r="L733" s="67"/>
      <c r="M733" s="69" t="str">
        <f>IF(Main[[#This Row],[Tech Start Date]]&lt;1/1/1990,"",IF(Main[[#This Row],[Class]]="C",WORKDAY(Main[[#This Row],[Tech Start Date]],9),IF(Main[[#This Row],[Class]]="B", WORKDAY(Main[[#This Row],[Tech Start Date]],6),IF(Main[[#This Row],[Class]]="A",WORKDAY(Main[[#This Row],[Tech Start Date]],2),""))))</f>
        <v/>
      </c>
      <c r="N733" s="69" t="str">
        <f>IF(Main[[#This Row],[Tech Start Date]]&lt;1/1/1990,"",IF(Main[[#This Row],[Class]]="C",WORKDAY(Main[[#This Row],[Tech Start Date]],19),IF(Main[[#This Row],[Class]]="B", WORKDAY(Main[[#This Row],[Tech Start Date]],12),IF(Main[[#This Row],[Class]]="A",WORKDAY(Main[[#This Row],[Tech Start Date]],4),""))))</f>
        <v/>
      </c>
      <c r="O733" s="69" t="str">
        <f>IF(Main[[#This Row],[Tech Start Date]]&lt;1/1/1990,"",IF(Main[[#This Row],[Class]]="C",WORKDAY(Main[[#This Row],[Tech Start Date]],23),IF(Main[[#This Row],[Class]]="B", WORKDAY(Main[[#This Row],[Tech Start Date]],15),IF(Main[[#This Row],[Class]]="A",WORKDAY(Main[[#This Row],[Tech Start Date]],5),""))))</f>
        <v/>
      </c>
      <c r="P733" s="69" t="str">
        <f>IF(Main[[#This Row],[Tech Start Date]]&lt;1/1/1990,"",IF(Main[[#This Row],[Class]]="C",WORKDAY(Main[[#This Row],[Tech Start Date]],28),IF(Main[[#This Row],[Class]]="B", WORKDAY(Main[[#This Row],[Tech Start Date]],19),IF(Main[[#This Row],[Class]]="A",WORKDAY(Main[[#This Row],[Tech Start Date]],9),""))))</f>
        <v/>
      </c>
      <c r="Q733" s="67">
        <v>40186</v>
      </c>
      <c r="R733" s="67"/>
      <c r="S733" s="65" t="s">
        <v>11</v>
      </c>
      <c r="T733" s="70" t="s">
        <v>4</v>
      </c>
      <c r="U733" s="65" t="s">
        <v>14</v>
      </c>
      <c r="V733" s="65" t="s">
        <v>1920</v>
      </c>
      <c r="W733" s="65" t="s">
        <v>1925</v>
      </c>
      <c r="X733" s="65" t="s">
        <v>2848</v>
      </c>
      <c r="Y733" s="65" t="s">
        <v>4</v>
      </c>
      <c r="Z733" s="65" t="s">
        <v>4</v>
      </c>
      <c r="AA733" s="65" t="s">
        <v>2848</v>
      </c>
    </row>
    <row r="734" spans="1:27" ht="17.45" customHeight="1">
      <c r="A734" s="131" t="str">
        <f>IF(priority(Main[[#This Row],[Comments]])&lt;&gt;0, priority(Main[[#This Row],[Comments]]),"")</f>
        <v/>
      </c>
      <c r="B734" s="99" t="s">
        <v>2263</v>
      </c>
      <c r="C734" s="65" t="s">
        <v>2259</v>
      </c>
      <c r="D734" s="66" t="s">
        <v>2260</v>
      </c>
      <c r="E734" s="67"/>
      <c r="F734" s="67"/>
      <c r="G734" s="64" t="str">
        <f>IF(stdProdLT(Main[[#This Row],[Comments]])=0.1,"N/A",IF(stdProdLT(Main[[#This Row],[Comments]])=0,"",stdProdLT(Main[[#This Row],[Comments]])))</f>
        <v/>
      </c>
      <c r="H734" s="68" t="str">
        <f>IF(AND(Main[[#This Row],[In Stock Date]]&lt;&gt;"",Main[[#This Row],[Revised Due Date]]&lt;&gt;""),Main[[#This Row],[In Stock Date]]-Main[[#This Row],[Revised Due Date]],"")</f>
        <v/>
      </c>
      <c r="I734" s="65" t="s">
        <v>4</v>
      </c>
      <c r="J734" s="65" t="s">
        <v>4</v>
      </c>
      <c r="K734" s="71" t="s">
        <v>4</v>
      </c>
      <c r="L734" s="67"/>
      <c r="M734" s="69" t="str">
        <f>IF(Main[[#This Row],[Tech Start Date]]&lt;1/1/1990,"",IF(Main[[#This Row],[Class]]="C",WORKDAY(Main[[#This Row],[Tech Start Date]],9),IF(Main[[#This Row],[Class]]="B", WORKDAY(Main[[#This Row],[Tech Start Date]],6),IF(Main[[#This Row],[Class]]="A",WORKDAY(Main[[#This Row],[Tech Start Date]],2),""))))</f>
        <v/>
      </c>
      <c r="N734" s="69" t="str">
        <f>IF(Main[[#This Row],[Tech Start Date]]&lt;1/1/1990,"",IF(Main[[#This Row],[Class]]="C",WORKDAY(Main[[#This Row],[Tech Start Date]],19),IF(Main[[#This Row],[Class]]="B", WORKDAY(Main[[#This Row],[Tech Start Date]],12),IF(Main[[#This Row],[Class]]="A",WORKDAY(Main[[#This Row],[Tech Start Date]],4),""))))</f>
        <v/>
      </c>
      <c r="O734" s="69" t="str">
        <f>IF(Main[[#This Row],[Tech Start Date]]&lt;1/1/1990,"",IF(Main[[#This Row],[Class]]="C",WORKDAY(Main[[#This Row],[Tech Start Date]],23),IF(Main[[#This Row],[Class]]="B", WORKDAY(Main[[#This Row],[Tech Start Date]],15),IF(Main[[#This Row],[Class]]="A",WORKDAY(Main[[#This Row],[Tech Start Date]],5),""))))</f>
        <v/>
      </c>
      <c r="P734" s="69" t="str">
        <f>IF(Main[[#This Row],[Tech Start Date]]&lt;1/1/1990,"",IF(Main[[#This Row],[Class]]="C",WORKDAY(Main[[#This Row],[Tech Start Date]],28),IF(Main[[#This Row],[Class]]="B", WORKDAY(Main[[#This Row],[Tech Start Date]],19),IF(Main[[#This Row],[Class]]="A",WORKDAY(Main[[#This Row],[Tech Start Date]],9),""))))</f>
        <v/>
      </c>
      <c r="Q734" s="67">
        <v>40806</v>
      </c>
      <c r="R734" s="67"/>
      <c r="S734" s="65" t="s">
        <v>6</v>
      </c>
      <c r="T734" s="70" t="s">
        <v>4</v>
      </c>
      <c r="U734" s="65" t="s">
        <v>12</v>
      </c>
      <c r="V734" s="65" t="s">
        <v>1918</v>
      </c>
      <c r="W734" s="65" t="s">
        <v>1925</v>
      </c>
      <c r="X734" s="65" t="s">
        <v>2885</v>
      </c>
      <c r="Y734" s="65" t="s">
        <v>3033</v>
      </c>
      <c r="Z734" s="65" t="s">
        <v>4</v>
      </c>
      <c r="AA734" s="65" t="s">
        <v>2885</v>
      </c>
    </row>
    <row r="735" spans="1:27" ht="17.45" customHeight="1">
      <c r="A735" s="131" t="str">
        <f>IF(priority(Main[[#This Row],[Comments]])&lt;&gt;0, priority(Main[[#This Row],[Comments]]),"")</f>
        <v/>
      </c>
      <c r="B735" s="99" t="s">
        <v>1554</v>
      </c>
      <c r="C735" s="65" t="s">
        <v>95</v>
      </c>
      <c r="D735" s="66" t="s">
        <v>636</v>
      </c>
      <c r="E735" s="67"/>
      <c r="F735" s="67">
        <v>40195</v>
      </c>
      <c r="G735" s="64" t="str">
        <f>IF(stdProdLT(Main[[#This Row],[Comments]])=0.1,"N/A",IF(stdProdLT(Main[[#This Row],[Comments]])=0,"",stdProdLT(Main[[#This Row],[Comments]])))</f>
        <v/>
      </c>
      <c r="H735" s="68" t="str">
        <f>IF(AND(Main[[#This Row],[In Stock Date]]&lt;&gt;"",Main[[#This Row],[Revised Due Date]]&lt;&gt;""),Main[[#This Row],[In Stock Date]]-Main[[#This Row],[Revised Due Date]],"")</f>
        <v/>
      </c>
      <c r="I735" s="65" t="s">
        <v>4</v>
      </c>
      <c r="J735" s="65" t="s">
        <v>4</v>
      </c>
      <c r="K735" s="71" t="s">
        <v>4</v>
      </c>
      <c r="L735" s="67"/>
      <c r="M735" s="69" t="str">
        <f>IF(Main[[#This Row],[Tech Start Date]]&lt;1/1/1990,"",IF(Main[[#This Row],[Class]]="C",WORKDAY(Main[[#This Row],[Tech Start Date]],9),IF(Main[[#This Row],[Class]]="B", WORKDAY(Main[[#This Row],[Tech Start Date]],6),IF(Main[[#This Row],[Class]]="A",WORKDAY(Main[[#This Row],[Tech Start Date]],2),""))))</f>
        <v/>
      </c>
      <c r="N735" s="69" t="str">
        <f>IF(Main[[#This Row],[Tech Start Date]]&lt;1/1/1990,"",IF(Main[[#This Row],[Class]]="C",WORKDAY(Main[[#This Row],[Tech Start Date]],19),IF(Main[[#This Row],[Class]]="B", WORKDAY(Main[[#This Row],[Tech Start Date]],12),IF(Main[[#This Row],[Class]]="A",WORKDAY(Main[[#This Row],[Tech Start Date]],4),""))))</f>
        <v/>
      </c>
      <c r="O735" s="69" t="str">
        <f>IF(Main[[#This Row],[Tech Start Date]]&lt;1/1/1990,"",IF(Main[[#This Row],[Class]]="C",WORKDAY(Main[[#This Row],[Tech Start Date]],23),IF(Main[[#This Row],[Class]]="B", WORKDAY(Main[[#This Row],[Tech Start Date]],15),IF(Main[[#This Row],[Class]]="A",WORKDAY(Main[[#This Row],[Tech Start Date]],5),""))))</f>
        <v/>
      </c>
      <c r="P735" s="69" t="str">
        <f>IF(Main[[#This Row],[Tech Start Date]]&lt;1/1/1990,"",IF(Main[[#This Row],[Class]]="C",WORKDAY(Main[[#This Row],[Tech Start Date]],28),IF(Main[[#This Row],[Class]]="B", WORKDAY(Main[[#This Row],[Tech Start Date]],19),IF(Main[[#This Row],[Class]]="A",WORKDAY(Main[[#This Row],[Tech Start Date]],9),""))))</f>
        <v/>
      </c>
      <c r="Q735" s="67">
        <v>40070</v>
      </c>
      <c r="R735" s="67"/>
      <c r="S735" s="65" t="s">
        <v>11</v>
      </c>
      <c r="T735" s="70" t="s">
        <v>4</v>
      </c>
      <c r="U735" s="65" t="s">
        <v>14</v>
      </c>
      <c r="V735" s="65" t="s">
        <v>1920</v>
      </c>
      <c r="W735" s="65" t="s">
        <v>1923</v>
      </c>
      <c r="X735" s="65" t="s">
        <v>2882</v>
      </c>
      <c r="Y735" s="65" t="s">
        <v>4</v>
      </c>
      <c r="Z735" s="65" t="s">
        <v>4</v>
      </c>
      <c r="AA735" s="65" t="s">
        <v>3418</v>
      </c>
    </row>
    <row r="736" spans="1:27" ht="17.45" customHeight="1">
      <c r="A736" s="131" t="str">
        <f>IF(priority(Main[[#This Row],[Comments]])&lt;&gt;0, priority(Main[[#This Row],[Comments]]),"")</f>
        <v/>
      </c>
      <c r="B736" s="99" t="s">
        <v>1555</v>
      </c>
      <c r="C736" s="65" t="s">
        <v>4</v>
      </c>
      <c r="D736" s="66" t="s">
        <v>633</v>
      </c>
      <c r="E736" s="67"/>
      <c r="F736" s="67"/>
      <c r="G736" s="64" t="str">
        <f>IF(stdProdLT(Main[[#This Row],[Comments]])=0.1,"N/A",IF(stdProdLT(Main[[#This Row],[Comments]])=0,"",stdProdLT(Main[[#This Row],[Comments]])))</f>
        <v/>
      </c>
      <c r="H736" s="68" t="str">
        <f>IF(AND(Main[[#This Row],[In Stock Date]]&lt;&gt;"",Main[[#This Row],[Revised Due Date]]&lt;&gt;""),Main[[#This Row],[In Stock Date]]-Main[[#This Row],[Revised Due Date]],"")</f>
        <v/>
      </c>
      <c r="I736" s="65" t="s">
        <v>399</v>
      </c>
      <c r="J736" s="65" t="s">
        <v>75</v>
      </c>
      <c r="K736" s="65" t="s">
        <v>4</v>
      </c>
      <c r="L736" s="67"/>
      <c r="M736" s="69" t="str">
        <f>IF(Main[[#This Row],[Tech Start Date]]&lt;1/1/1990,"",IF(Main[[#This Row],[Class]]="C",WORKDAY(Main[[#This Row],[Tech Start Date]],9),IF(Main[[#This Row],[Class]]="B", WORKDAY(Main[[#This Row],[Tech Start Date]],6),IF(Main[[#This Row],[Class]]="A",WORKDAY(Main[[#This Row],[Tech Start Date]],2),""))))</f>
        <v/>
      </c>
      <c r="N736" s="69" t="str">
        <f>IF(Main[[#This Row],[Tech Start Date]]&lt;1/1/1990,"",IF(Main[[#This Row],[Class]]="C",WORKDAY(Main[[#This Row],[Tech Start Date]],19),IF(Main[[#This Row],[Class]]="B", WORKDAY(Main[[#This Row],[Tech Start Date]],12),IF(Main[[#This Row],[Class]]="A",WORKDAY(Main[[#This Row],[Tech Start Date]],4),""))))</f>
        <v/>
      </c>
      <c r="O736" s="69" t="str">
        <f>IF(Main[[#This Row],[Tech Start Date]]&lt;1/1/1990,"",IF(Main[[#This Row],[Class]]="C",WORKDAY(Main[[#This Row],[Tech Start Date]],23),IF(Main[[#This Row],[Class]]="B", WORKDAY(Main[[#This Row],[Tech Start Date]],15),IF(Main[[#This Row],[Class]]="A",WORKDAY(Main[[#This Row],[Tech Start Date]],5),""))))</f>
        <v/>
      </c>
      <c r="P736" s="69" t="str">
        <f>IF(Main[[#This Row],[Tech Start Date]]&lt;1/1/1990,"",IF(Main[[#This Row],[Class]]="C",WORKDAY(Main[[#This Row],[Tech Start Date]],28),IF(Main[[#This Row],[Class]]="B", WORKDAY(Main[[#This Row],[Tech Start Date]],19),IF(Main[[#This Row],[Class]]="A",WORKDAY(Main[[#This Row],[Tech Start Date]],9),""))))</f>
        <v/>
      </c>
      <c r="Q736" s="67">
        <v>40186</v>
      </c>
      <c r="R736" s="67"/>
      <c r="S736" s="65" t="s">
        <v>6</v>
      </c>
      <c r="T736" s="70" t="s">
        <v>4</v>
      </c>
      <c r="U736" s="65" t="s">
        <v>14</v>
      </c>
      <c r="V736" s="65" t="s">
        <v>1920</v>
      </c>
      <c r="W736" s="65" t="s">
        <v>1928</v>
      </c>
      <c r="X736" s="65" t="s">
        <v>885</v>
      </c>
      <c r="Y736" s="65" t="s">
        <v>2969</v>
      </c>
      <c r="Z736" s="65" t="s">
        <v>306</v>
      </c>
      <c r="AA736" s="65" t="s">
        <v>885</v>
      </c>
    </row>
    <row r="737" spans="1:27" ht="17.45" customHeight="1">
      <c r="A737" s="131" t="str">
        <f>IF(priority(Main[[#This Row],[Comments]])&lt;&gt;0, priority(Main[[#This Row],[Comments]]),"")</f>
        <v/>
      </c>
      <c r="B737" s="99" t="s">
        <v>1556</v>
      </c>
      <c r="C737" s="65" t="s">
        <v>4</v>
      </c>
      <c r="D737" s="66" t="s">
        <v>634</v>
      </c>
      <c r="E737" s="67"/>
      <c r="F737" s="67"/>
      <c r="G737" s="64" t="str">
        <f>IF(stdProdLT(Main[[#This Row],[Comments]])=0.1,"N/A",IF(stdProdLT(Main[[#This Row],[Comments]])=0,"",stdProdLT(Main[[#This Row],[Comments]])))</f>
        <v/>
      </c>
      <c r="H737" s="68" t="str">
        <f>IF(AND(Main[[#This Row],[In Stock Date]]&lt;&gt;"",Main[[#This Row],[Revised Due Date]]&lt;&gt;""),Main[[#This Row],[In Stock Date]]-Main[[#This Row],[Revised Due Date]],"")</f>
        <v/>
      </c>
      <c r="I737" s="65" t="s">
        <v>4</v>
      </c>
      <c r="J737" s="65" t="s">
        <v>4</v>
      </c>
      <c r="K737" s="65" t="s">
        <v>4</v>
      </c>
      <c r="L737" s="67"/>
      <c r="M737" s="69" t="str">
        <f>IF(Main[[#This Row],[Tech Start Date]]&lt;1/1/1990,"",IF(Main[[#This Row],[Class]]="C",WORKDAY(Main[[#This Row],[Tech Start Date]],9),IF(Main[[#This Row],[Class]]="B", WORKDAY(Main[[#This Row],[Tech Start Date]],6),IF(Main[[#This Row],[Class]]="A",WORKDAY(Main[[#This Row],[Tech Start Date]],2),""))))</f>
        <v/>
      </c>
      <c r="N737" s="69" t="str">
        <f>IF(Main[[#This Row],[Tech Start Date]]&lt;1/1/1990,"",IF(Main[[#This Row],[Class]]="C",WORKDAY(Main[[#This Row],[Tech Start Date]],19),IF(Main[[#This Row],[Class]]="B", WORKDAY(Main[[#This Row],[Tech Start Date]],12),IF(Main[[#This Row],[Class]]="A",WORKDAY(Main[[#This Row],[Tech Start Date]],4),""))))</f>
        <v/>
      </c>
      <c r="O737" s="69" t="str">
        <f>IF(Main[[#This Row],[Tech Start Date]]&lt;1/1/1990,"",IF(Main[[#This Row],[Class]]="C",WORKDAY(Main[[#This Row],[Tech Start Date]],23),IF(Main[[#This Row],[Class]]="B", WORKDAY(Main[[#This Row],[Tech Start Date]],15),IF(Main[[#This Row],[Class]]="A",WORKDAY(Main[[#This Row],[Tech Start Date]],5),""))))</f>
        <v/>
      </c>
      <c r="P737" s="69" t="str">
        <f>IF(Main[[#This Row],[Tech Start Date]]&lt;1/1/1990,"",IF(Main[[#This Row],[Class]]="C",WORKDAY(Main[[#This Row],[Tech Start Date]],28),IF(Main[[#This Row],[Class]]="B", WORKDAY(Main[[#This Row],[Tech Start Date]],19),IF(Main[[#This Row],[Class]]="A",WORKDAY(Main[[#This Row],[Tech Start Date]],9),""))))</f>
        <v/>
      </c>
      <c r="Q737" s="67">
        <v>40389</v>
      </c>
      <c r="R737" s="67"/>
      <c r="S737" s="65" t="s">
        <v>6</v>
      </c>
      <c r="T737" s="70" t="s">
        <v>4</v>
      </c>
      <c r="U737" s="65" t="s">
        <v>12</v>
      </c>
      <c r="V737" s="65" t="s">
        <v>1917</v>
      </c>
      <c r="W737" s="65" t="s">
        <v>4</v>
      </c>
      <c r="X737" s="65" t="s">
        <v>909</v>
      </c>
      <c r="Y737" s="65" t="s">
        <v>3023</v>
      </c>
      <c r="Z737" s="65" t="s">
        <v>4</v>
      </c>
      <c r="AA737" s="65" t="s">
        <v>909</v>
      </c>
    </row>
    <row r="738" spans="1:27" ht="17.45" customHeight="1">
      <c r="A738" s="131" t="str">
        <f>IF(priority(Main[[#This Row],[Comments]])&lt;&gt;0, priority(Main[[#This Row],[Comments]]),"")</f>
        <v/>
      </c>
      <c r="B738" s="99" t="s">
        <v>1581</v>
      </c>
      <c r="C738" s="65" t="s">
        <v>79</v>
      </c>
      <c r="D738" s="66" t="s">
        <v>659</v>
      </c>
      <c r="E738" s="67"/>
      <c r="F738" s="67"/>
      <c r="G738" s="64" t="str">
        <f>IF(stdProdLT(Main[[#This Row],[Comments]])=0.1,"N/A",IF(stdProdLT(Main[[#This Row],[Comments]])=0,"",stdProdLT(Main[[#This Row],[Comments]])))</f>
        <v/>
      </c>
      <c r="H738" s="68" t="str">
        <f>IF(AND(Main[[#This Row],[In Stock Date]]&lt;&gt;"",Main[[#This Row],[Revised Due Date]]&lt;&gt;""),Main[[#This Row],[In Stock Date]]-Main[[#This Row],[Revised Due Date]],"")</f>
        <v/>
      </c>
      <c r="I738" s="65" t="s">
        <v>4</v>
      </c>
      <c r="J738" s="65" t="s">
        <v>28</v>
      </c>
      <c r="K738" s="65" t="s">
        <v>4</v>
      </c>
      <c r="L738" s="67"/>
      <c r="M738" s="69" t="str">
        <f>IF(Main[[#This Row],[Tech Start Date]]&lt;1/1/1990,"",IF(Main[[#This Row],[Class]]="C",WORKDAY(Main[[#This Row],[Tech Start Date]],9),IF(Main[[#This Row],[Class]]="B", WORKDAY(Main[[#This Row],[Tech Start Date]],6),IF(Main[[#This Row],[Class]]="A",WORKDAY(Main[[#This Row],[Tech Start Date]],2),""))))</f>
        <v/>
      </c>
      <c r="N738" s="69" t="str">
        <f>IF(Main[[#This Row],[Tech Start Date]]&lt;1/1/1990,"",IF(Main[[#This Row],[Class]]="C",WORKDAY(Main[[#This Row],[Tech Start Date]],19),IF(Main[[#This Row],[Class]]="B", WORKDAY(Main[[#This Row],[Tech Start Date]],12),IF(Main[[#This Row],[Class]]="A",WORKDAY(Main[[#This Row],[Tech Start Date]],4),""))))</f>
        <v/>
      </c>
      <c r="O738" s="69" t="str">
        <f>IF(Main[[#This Row],[Tech Start Date]]&lt;1/1/1990,"",IF(Main[[#This Row],[Class]]="C",WORKDAY(Main[[#This Row],[Tech Start Date]],23),IF(Main[[#This Row],[Class]]="B", WORKDAY(Main[[#This Row],[Tech Start Date]],15),IF(Main[[#This Row],[Class]]="A",WORKDAY(Main[[#This Row],[Tech Start Date]],5),""))))</f>
        <v/>
      </c>
      <c r="P738" s="69" t="str">
        <f>IF(Main[[#This Row],[Tech Start Date]]&lt;1/1/1990,"",IF(Main[[#This Row],[Class]]="C",WORKDAY(Main[[#This Row],[Tech Start Date]],28),IF(Main[[#This Row],[Class]]="B", WORKDAY(Main[[#This Row],[Tech Start Date]],19),IF(Main[[#This Row],[Class]]="A",WORKDAY(Main[[#This Row],[Tech Start Date]],9),""))))</f>
        <v/>
      </c>
      <c r="Q738" s="67"/>
      <c r="R738" s="67"/>
      <c r="S738" s="65" t="s">
        <v>6</v>
      </c>
      <c r="T738" s="70" t="s">
        <v>660</v>
      </c>
      <c r="U738" s="65" t="s">
        <v>14</v>
      </c>
      <c r="V738" s="65" t="s">
        <v>1918</v>
      </c>
      <c r="W738" s="65" t="s">
        <v>1919</v>
      </c>
      <c r="X738" s="65" t="s">
        <v>2867</v>
      </c>
      <c r="Y738" s="65" t="s">
        <v>3011</v>
      </c>
      <c r="Z738" s="65" t="s">
        <v>108</v>
      </c>
      <c r="AA738" s="65" t="s">
        <v>2867</v>
      </c>
    </row>
    <row r="739" spans="1:27" ht="17.45" customHeight="1">
      <c r="A739" s="131" t="str">
        <f>IF(priority(Main[[#This Row],[Comments]])&lt;&gt;0, priority(Main[[#This Row],[Comments]]),"")</f>
        <v/>
      </c>
      <c r="B739" s="99" t="s">
        <v>1177</v>
      </c>
      <c r="C739" s="65" t="s">
        <v>4</v>
      </c>
      <c r="D739" s="66" t="s">
        <v>1002</v>
      </c>
      <c r="E739" s="67">
        <v>40718.691643518519</v>
      </c>
      <c r="F739" s="67"/>
      <c r="G739" s="64" t="str">
        <f>IF(stdProdLT(Main[[#This Row],[Comments]])=0.1,"N/A",IF(stdProdLT(Main[[#This Row],[Comments]])=0,"",stdProdLT(Main[[#This Row],[Comments]])))</f>
        <v/>
      </c>
      <c r="H739" s="68" t="str">
        <f>IF(AND(Main[[#This Row],[In Stock Date]]&lt;&gt;"",Main[[#This Row],[Revised Due Date]]&lt;&gt;""),Main[[#This Row],[In Stock Date]]-Main[[#This Row],[Revised Due Date]],"")</f>
        <v/>
      </c>
      <c r="I739" s="65" t="s">
        <v>130</v>
      </c>
      <c r="J739" s="65" t="s">
        <v>70</v>
      </c>
      <c r="K739" s="65" t="s">
        <v>1926</v>
      </c>
      <c r="L739" s="67"/>
      <c r="M739" s="69" t="str">
        <f>IF(Main[[#This Row],[Tech Start Date]]&lt;1/1/1990,"",IF(Main[[#This Row],[Class]]="C",WORKDAY(Main[[#This Row],[Tech Start Date]],9),IF(Main[[#This Row],[Class]]="B", WORKDAY(Main[[#This Row],[Tech Start Date]],6),IF(Main[[#This Row],[Class]]="A",WORKDAY(Main[[#This Row],[Tech Start Date]],2),""))))</f>
        <v/>
      </c>
      <c r="N739" s="69" t="str">
        <f>IF(Main[[#This Row],[Tech Start Date]]&lt;1/1/1990,"",IF(Main[[#This Row],[Class]]="C",WORKDAY(Main[[#This Row],[Tech Start Date]],19),IF(Main[[#This Row],[Class]]="B", WORKDAY(Main[[#This Row],[Tech Start Date]],12),IF(Main[[#This Row],[Class]]="A",WORKDAY(Main[[#This Row],[Tech Start Date]],4),""))))</f>
        <v/>
      </c>
      <c r="O739" s="69" t="str">
        <f>IF(Main[[#This Row],[Tech Start Date]]&lt;1/1/1990,"",IF(Main[[#This Row],[Class]]="C",WORKDAY(Main[[#This Row],[Tech Start Date]],23),IF(Main[[#This Row],[Class]]="B", WORKDAY(Main[[#This Row],[Tech Start Date]],15),IF(Main[[#This Row],[Class]]="A",WORKDAY(Main[[#This Row],[Tech Start Date]],5),""))))</f>
        <v/>
      </c>
      <c r="P739" s="69" t="str">
        <f>IF(Main[[#This Row],[Tech Start Date]]&lt;1/1/1990,"",IF(Main[[#This Row],[Class]]="C",WORKDAY(Main[[#This Row],[Tech Start Date]],28),IF(Main[[#This Row],[Class]]="B", WORKDAY(Main[[#This Row],[Tech Start Date]],19),IF(Main[[#This Row],[Class]]="A",WORKDAY(Main[[#This Row],[Tech Start Date]],9),""))))</f>
        <v/>
      </c>
      <c r="Q739" s="67">
        <v>40753</v>
      </c>
      <c r="R739" s="67"/>
      <c r="S739" s="65" t="s">
        <v>6</v>
      </c>
      <c r="T739" s="70" t="s">
        <v>4</v>
      </c>
      <c r="U739" s="65" t="s">
        <v>29</v>
      </c>
      <c r="V739" s="65" t="s">
        <v>1920</v>
      </c>
      <c r="W739" s="65" t="s">
        <v>1921</v>
      </c>
      <c r="X739" s="65" t="s">
        <v>2825</v>
      </c>
      <c r="Y739" s="65" t="s">
        <v>2938</v>
      </c>
      <c r="Z739" s="65" t="s">
        <v>44</v>
      </c>
      <c r="AA739" s="65" t="s">
        <v>2825</v>
      </c>
    </row>
    <row r="740" spans="1:27" ht="17.45" customHeight="1">
      <c r="A740" s="131" t="str">
        <f>IF(priority(Main[[#This Row],[Comments]])&lt;&gt;0, priority(Main[[#This Row],[Comments]]),"")</f>
        <v/>
      </c>
      <c r="B740" s="99" t="s">
        <v>1557</v>
      </c>
      <c r="C740" s="65" t="s">
        <v>211</v>
      </c>
      <c r="D740" s="66" t="s">
        <v>413</v>
      </c>
      <c r="E740" s="67"/>
      <c r="F740" s="67">
        <v>40452</v>
      </c>
      <c r="G740" s="64" t="str">
        <f>IF(stdProdLT(Main[[#This Row],[Comments]])=0.1,"N/A",IF(stdProdLT(Main[[#This Row],[Comments]])=0,"",stdProdLT(Main[[#This Row],[Comments]])))</f>
        <v/>
      </c>
      <c r="H740" s="68" t="str">
        <f>IF(AND(Main[[#This Row],[In Stock Date]]&lt;&gt;"",Main[[#This Row],[Revised Due Date]]&lt;&gt;""),Main[[#This Row],[In Stock Date]]-Main[[#This Row],[Revised Due Date]],"")</f>
        <v/>
      </c>
      <c r="I740" s="65" t="s">
        <v>4</v>
      </c>
      <c r="J740" s="65" t="s">
        <v>4</v>
      </c>
      <c r="K740" s="65" t="s">
        <v>4</v>
      </c>
      <c r="L740" s="67"/>
      <c r="M740" s="69" t="str">
        <f>IF(Main[[#This Row],[Tech Start Date]]&lt;1/1/1990,"",IF(Main[[#This Row],[Class]]="C",WORKDAY(Main[[#This Row],[Tech Start Date]],9),IF(Main[[#This Row],[Class]]="B", WORKDAY(Main[[#This Row],[Tech Start Date]],6),IF(Main[[#This Row],[Class]]="A",WORKDAY(Main[[#This Row],[Tech Start Date]],2),""))))</f>
        <v/>
      </c>
      <c r="N740" s="69" t="str">
        <f>IF(Main[[#This Row],[Tech Start Date]]&lt;1/1/1990,"",IF(Main[[#This Row],[Class]]="C",WORKDAY(Main[[#This Row],[Tech Start Date]],19),IF(Main[[#This Row],[Class]]="B", WORKDAY(Main[[#This Row],[Tech Start Date]],12),IF(Main[[#This Row],[Class]]="A",WORKDAY(Main[[#This Row],[Tech Start Date]],4),""))))</f>
        <v/>
      </c>
      <c r="O740" s="69" t="str">
        <f>IF(Main[[#This Row],[Tech Start Date]]&lt;1/1/1990,"",IF(Main[[#This Row],[Class]]="C",WORKDAY(Main[[#This Row],[Tech Start Date]],23),IF(Main[[#This Row],[Class]]="B", WORKDAY(Main[[#This Row],[Tech Start Date]],15),IF(Main[[#This Row],[Class]]="A",WORKDAY(Main[[#This Row],[Tech Start Date]],5),""))))</f>
        <v/>
      </c>
      <c r="P740" s="69" t="str">
        <f>IF(Main[[#This Row],[Tech Start Date]]&lt;1/1/1990,"",IF(Main[[#This Row],[Class]]="C",WORKDAY(Main[[#This Row],[Tech Start Date]],28),IF(Main[[#This Row],[Class]]="B", WORKDAY(Main[[#This Row],[Tech Start Date]],19),IF(Main[[#This Row],[Class]]="A",WORKDAY(Main[[#This Row],[Tech Start Date]],9),""))))</f>
        <v/>
      </c>
      <c r="Q740" s="67">
        <v>40357</v>
      </c>
      <c r="R740" s="67"/>
      <c r="S740" s="65" t="s">
        <v>11</v>
      </c>
      <c r="T740" s="70" t="s">
        <v>4</v>
      </c>
      <c r="U740" s="65" t="s">
        <v>12</v>
      </c>
      <c r="V740" s="65" t="s">
        <v>1917</v>
      </c>
      <c r="W740" s="65" t="s">
        <v>1925</v>
      </c>
      <c r="X740" s="65" t="s">
        <v>2839</v>
      </c>
      <c r="Y740" s="65" t="s">
        <v>4</v>
      </c>
      <c r="Z740" s="65" t="s">
        <v>4</v>
      </c>
      <c r="AA740" s="65" t="s">
        <v>2839</v>
      </c>
    </row>
    <row r="741" spans="1:27" ht="17.45" customHeight="1">
      <c r="A741" s="131" t="str">
        <f>IF(priority(Main[[#This Row],[Comments]])&lt;&gt;0, priority(Main[[#This Row],[Comments]]),"")</f>
        <v/>
      </c>
      <c r="B741" s="99" t="s">
        <v>1989</v>
      </c>
      <c r="C741" s="65" t="s">
        <v>4</v>
      </c>
      <c r="D741" s="66" t="s">
        <v>2384</v>
      </c>
      <c r="E741" s="67"/>
      <c r="F741" s="67"/>
      <c r="G741" s="64" t="str">
        <f>IF(stdProdLT(Main[[#This Row],[Comments]])=0.1,"N/A",IF(stdProdLT(Main[[#This Row],[Comments]])=0,"",stdProdLT(Main[[#This Row],[Comments]])))</f>
        <v/>
      </c>
      <c r="H741" s="68" t="str">
        <f>IF(AND(Main[[#This Row],[In Stock Date]]&lt;&gt;"",Main[[#This Row],[Revised Due Date]]&lt;&gt;""),Main[[#This Row],[In Stock Date]]-Main[[#This Row],[Revised Due Date]],"")</f>
        <v/>
      </c>
      <c r="I741" s="65" t="s">
        <v>4</v>
      </c>
      <c r="J741" s="65" t="s">
        <v>4</v>
      </c>
      <c r="K741" s="71" t="s">
        <v>4</v>
      </c>
      <c r="L741" s="67"/>
      <c r="M741" s="69" t="str">
        <f>IF(Main[[#This Row],[Tech Start Date]]&lt;1/1/1990,"",IF(Main[[#This Row],[Class]]="C",WORKDAY(Main[[#This Row],[Tech Start Date]],9),IF(Main[[#This Row],[Class]]="B", WORKDAY(Main[[#This Row],[Tech Start Date]],6),IF(Main[[#This Row],[Class]]="A",WORKDAY(Main[[#This Row],[Tech Start Date]],2),""))))</f>
        <v/>
      </c>
      <c r="N741" s="69" t="str">
        <f>IF(Main[[#This Row],[Tech Start Date]]&lt;1/1/1990,"",IF(Main[[#This Row],[Class]]="C",WORKDAY(Main[[#This Row],[Tech Start Date]],19),IF(Main[[#This Row],[Class]]="B", WORKDAY(Main[[#This Row],[Tech Start Date]],12),IF(Main[[#This Row],[Class]]="A",WORKDAY(Main[[#This Row],[Tech Start Date]],4),""))))</f>
        <v/>
      </c>
      <c r="O741" s="69" t="str">
        <f>IF(Main[[#This Row],[Tech Start Date]]&lt;1/1/1990,"",IF(Main[[#This Row],[Class]]="C",WORKDAY(Main[[#This Row],[Tech Start Date]],23),IF(Main[[#This Row],[Class]]="B", WORKDAY(Main[[#This Row],[Tech Start Date]],15),IF(Main[[#This Row],[Class]]="A",WORKDAY(Main[[#This Row],[Tech Start Date]],5),""))))</f>
        <v/>
      </c>
      <c r="P741" s="69" t="str">
        <f>IF(Main[[#This Row],[Tech Start Date]]&lt;1/1/1990,"",IF(Main[[#This Row],[Class]]="C",WORKDAY(Main[[#This Row],[Tech Start Date]],28),IF(Main[[#This Row],[Class]]="B", WORKDAY(Main[[#This Row],[Tech Start Date]],19),IF(Main[[#This Row],[Class]]="A",WORKDAY(Main[[#This Row],[Tech Start Date]],9),""))))</f>
        <v/>
      </c>
      <c r="Q741" s="67"/>
      <c r="R741" s="67"/>
      <c r="S741" s="65" t="s">
        <v>6</v>
      </c>
      <c r="T741" s="70" t="s">
        <v>4</v>
      </c>
      <c r="U741" s="65" t="s">
        <v>14</v>
      </c>
      <c r="V741" s="65" t="s">
        <v>1917</v>
      </c>
      <c r="W741" s="65" t="s">
        <v>1921</v>
      </c>
      <c r="X741" s="65" t="s">
        <v>924</v>
      </c>
      <c r="Y741" s="65" t="s">
        <v>2988</v>
      </c>
      <c r="Z741" s="65" t="s">
        <v>4</v>
      </c>
      <c r="AA741" s="65" t="s">
        <v>924</v>
      </c>
    </row>
    <row r="742" spans="1:27" ht="17.45" customHeight="1">
      <c r="A742" s="131" t="str">
        <f>IF(priority(Main[[#This Row],[Comments]])&lt;&gt;0, priority(Main[[#This Row],[Comments]]),"")</f>
        <v/>
      </c>
      <c r="B742" s="99" t="s">
        <v>1558</v>
      </c>
      <c r="C742" s="65" t="s">
        <v>4</v>
      </c>
      <c r="D742" s="66" t="s">
        <v>637</v>
      </c>
      <c r="E742" s="67">
        <v>40413.550520833334</v>
      </c>
      <c r="F742" s="67"/>
      <c r="G742" s="64" t="str">
        <f>IF(stdProdLT(Main[[#This Row],[Comments]])=0.1,"N/A",IF(stdProdLT(Main[[#This Row],[Comments]])=0,"",stdProdLT(Main[[#This Row],[Comments]])))</f>
        <v/>
      </c>
      <c r="H742" s="68" t="str">
        <f>IF(AND(Main[[#This Row],[In Stock Date]]&lt;&gt;"",Main[[#This Row],[Revised Due Date]]&lt;&gt;""),Main[[#This Row],[In Stock Date]]-Main[[#This Row],[Revised Due Date]],"")</f>
        <v/>
      </c>
      <c r="I742" s="65" t="s">
        <v>4</v>
      </c>
      <c r="J742" s="65" t="s">
        <v>28</v>
      </c>
      <c r="K742" s="65" t="s">
        <v>4</v>
      </c>
      <c r="L742" s="67"/>
      <c r="M742" s="69" t="str">
        <f>IF(Main[[#This Row],[Tech Start Date]]&lt;1/1/1990,"",IF(Main[[#This Row],[Class]]="C",WORKDAY(Main[[#This Row],[Tech Start Date]],9),IF(Main[[#This Row],[Class]]="B", WORKDAY(Main[[#This Row],[Tech Start Date]],6),IF(Main[[#This Row],[Class]]="A",WORKDAY(Main[[#This Row],[Tech Start Date]],2),""))))</f>
        <v/>
      </c>
      <c r="N742" s="69" t="str">
        <f>IF(Main[[#This Row],[Tech Start Date]]&lt;1/1/1990,"",IF(Main[[#This Row],[Class]]="C",WORKDAY(Main[[#This Row],[Tech Start Date]],19),IF(Main[[#This Row],[Class]]="B", WORKDAY(Main[[#This Row],[Tech Start Date]],12),IF(Main[[#This Row],[Class]]="A",WORKDAY(Main[[#This Row],[Tech Start Date]],4),""))))</f>
        <v/>
      </c>
      <c r="O742" s="69" t="str">
        <f>IF(Main[[#This Row],[Tech Start Date]]&lt;1/1/1990,"",IF(Main[[#This Row],[Class]]="C",WORKDAY(Main[[#This Row],[Tech Start Date]],23),IF(Main[[#This Row],[Class]]="B", WORKDAY(Main[[#This Row],[Tech Start Date]],15),IF(Main[[#This Row],[Class]]="A",WORKDAY(Main[[#This Row],[Tech Start Date]],5),""))))</f>
        <v/>
      </c>
      <c r="P742" s="69" t="str">
        <f>IF(Main[[#This Row],[Tech Start Date]]&lt;1/1/1990,"",IF(Main[[#This Row],[Class]]="C",WORKDAY(Main[[#This Row],[Tech Start Date]],28),IF(Main[[#This Row],[Class]]="B", WORKDAY(Main[[#This Row],[Tech Start Date]],19),IF(Main[[#This Row],[Class]]="A",WORKDAY(Main[[#This Row],[Tech Start Date]],9),""))))</f>
        <v/>
      </c>
      <c r="Q742" s="67">
        <v>40451</v>
      </c>
      <c r="R742" s="67"/>
      <c r="S742" s="65" t="s">
        <v>6</v>
      </c>
      <c r="T742" s="70" t="s">
        <v>4</v>
      </c>
      <c r="U742" s="65" t="s">
        <v>7</v>
      </c>
      <c r="V742" s="65" t="s">
        <v>1917</v>
      </c>
      <c r="W742" s="65" t="s">
        <v>1919</v>
      </c>
      <c r="X742" s="65" t="s">
        <v>2893</v>
      </c>
      <c r="Y742" s="65" t="s">
        <v>3049</v>
      </c>
      <c r="Z742" s="65" t="s">
        <v>129</v>
      </c>
      <c r="AA742" s="65" t="s">
        <v>2893</v>
      </c>
    </row>
    <row r="743" spans="1:27" ht="17.45" customHeight="1">
      <c r="A743" s="131" t="str">
        <f>IF(priority(Main[[#This Row],[Comments]])&lt;&gt;0, priority(Main[[#This Row],[Comments]]),"")</f>
        <v/>
      </c>
      <c r="B743" s="99" t="s">
        <v>1345</v>
      </c>
      <c r="C743" s="65" t="s">
        <v>4</v>
      </c>
      <c r="D743" s="66" t="s">
        <v>2020</v>
      </c>
      <c r="E743" s="67"/>
      <c r="F743" s="67"/>
      <c r="G743" s="64" t="str">
        <f>IF(stdProdLT(Main[[#This Row],[Comments]])=0.1,"N/A",IF(stdProdLT(Main[[#This Row],[Comments]])=0,"",stdProdLT(Main[[#This Row],[Comments]])))</f>
        <v/>
      </c>
      <c r="H743" s="68" t="str">
        <f>IF(AND(Main[[#This Row],[In Stock Date]]&lt;&gt;"",Main[[#This Row],[Revised Due Date]]&lt;&gt;""),Main[[#This Row],[In Stock Date]]-Main[[#This Row],[Revised Due Date]],"")</f>
        <v/>
      </c>
      <c r="I743" s="65" t="s">
        <v>429</v>
      </c>
      <c r="J743" s="65" t="s">
        <v>70</v>
      </c>
      <c r="K743" s="65" t="s">
        <v>1926</v>
      </c>
      <c r="L743" s="67"/>
      <c r="M743" s="69" t="str">
        <f>IF(Main[[#This Row],[Tech Start Date]]&lt;1/1/1990,"",IF(Main[[#This Row],[Class]]="C",WORKDAY(Main[[#This Row],[Tech Start Date]],9),IF(Main[[#This Row],[Class]]="B", WORKDAY(Main[[#This Row],[Tech Start Date]],6),IF(Main[[#This Row],[Class]]="A",WORKDAY(Main[[#This Row],[Tech Start Date]],2),""))))</f>
        <v/>
      </c>
      <c r="N743" s="69" t="str">
        <f>IF(Main[[#This Row],[Tech Start Date]]&lt;1/1/1990,"",IF(Main[[#This Row],[Class]]="C",WORKDAY(Main[[#This Row],[Tech Start Date]],19),IF(Main[[#This Row],[Class]]="B", WORKDAY(Main[[#This Row],[Tech Start Date]],12),IF(Main[[#This Row],[Class]]="A",WORKDAY(Main[[#This Row],[Tech Start Date]],4),""))))</f>
        <v/>
      </c>
      <c r="O743" s="69" t="str">
        <f>IF(Main[[#This Row],[Tech Start Date]]&lt;1/1/1990,"",IF(Main[[#This Row],[Class]]="C",WORKDAY(Main[[#This Row],[Tech Start Date]],23),IF(Main[[#This Row],[Class]]="B", WORKDAY(Main[[#This Row],[Tech Start Date]],15),IF(Main[[#This Row],[Class]]="A",WORKDAY(Main[[#This Row],[Tech Start Date]],5),""))))</f>
        <v/>
      </c>
      <c r="P743" s="69" t="str">
        <f>IF(Main[[#This Row],[Tech Start Date]]&lt;1/1/1990,"",IF(Main[[#This Row],[Class]]="C",WORKDAY(Main[[#This Row],[Tech Start Date]],28),IF(Main[[#This Row],[Class]]="B", WORKDAY(Main[[#This Row],[Tech Start Date]],19),IF(Main[[#This Row],[Class]]="A",WORKDAY(Main[[#This Row],[Tech Start Date]],9),""))))</f>
        <v/>
      </c>
      <c r="Q743" s="67">
        <v>40717</v>
      </c>
      <c r="R743" s="67"/>
      <c r="S743" s="65" t="s">
        <v>6</v>
      </c>
      <c r="T743" s="70" t="s">
        <v>4</v>
      </c>
      <c r="U743" s="65" t="s">
        <v>14</v>
      </c>
      <c r="V743" s="65" t="s">
        <v>1920</v>
      </c>
      <c r="W743" s="65" t="s">
        <v>1921</v>
      </c>
      <c r="X743" s="65" t="s">
        <v>2828</v>
      </c>
      <c r="Y743" s="65" t="s">
        <v>2944</v>
      </c>
      <c r="Z743" s="65" t="s">
        <v>30</v>
      </c>
      <c r="AA743" s="65" t="s">
        <v>2828</v>
      </c>
    </row>
    <row r="744" spans="1:27" ht="17.45" customHeight="1">
      <c r="A744" s="131" t="str">
        <f>IF(priority(Main[[#This Row],[Comments]])&lt;&gt;0, priority(Main[[#This Row],[Comments]]),"")</f>
        <v/>
      </c>
      <c r="B744" s="99" t="s">
        <v>1560</v>
      </c>
      <c r="C744" s="65" t="s">
        <v>180</v>
      </c>
      <c r="D744" s="66" t="s">
        <v>638</v>
      </c>
      <c r="E744" s="67"/>
      <c r="F744" s="67">
        <v>40389</v>
      </c>
      <c r="G744" s="64" t="str">
        <f>IF(stdProdLT(Main[[#This Row],[Comments]])=0.1,"N/A",IF(stdProdLT(Main[[#This Row],[Comments]])=0,"",stdProdLT(Main[[#This Row],[Comments]])))</f>
        <v/>
      </c>
      <c r="H744" s="68" t="str">
        <f>IF(AND(Main[[#This Row],[In Stock Date]]&lt;&gt;"",Main[[#This Row],[Revised Due Date]]&lt;&gt;""),Main[[#This Row],[In Stock Date]]-Main[[#This Row],[Revised Due Date]],"")</f>
        <v/>
      </c>
      <c r="I744" s="65" t="s">
        <v>4</v>
      </c>
      <c r="J744" s="65" t="s">
        <v>4</v>
      </c>
      <c r="K744" s="71" t="s">
        <v>4</v>
      </c>
      <c r="L744" s="67"/>
      <c r="M744" s="69" t="str">
        <f>IF(Main[[#This Row],[Tech Start Date]]&lt;1/1/1990,"",IF(Main[[#This Row],[Class]]="C",WORKDAY(Main[[#This Row],[Tech Start Date]],9),IF(Main[[#This Row],[Class]]="B", WORKDAY(Main[[#This Row],[Tech Start Date]],6),IF(Main[[#This Row],[Class]]="A",WORKDAY(Main[[#This Row],[Tech Start Date]],2),""))))</f>
        <v/>
      </c>
      <c r="N744" s="69" t="str">
        <f>IF(Main[[#This Row],[Tech Start Date]]&lt;1/1/1990,"",IF(Main[[#This Row],[Class]]="C",WORKDAY(Main[[#This Row],[Tech Start Date]],19),IF(Main[[#This Row],[Class]]="B", WORKDAY(Main[[#This Row],[Tech Start Date]],12),IF(Main[[#This Row],[Class]]="A",WORKDAY(Main[[#This Row],[Tech Start Date]],4),""))))</f>
        <v/>
      </c>
      <c r="O744" s="69" t="str">
        <f>IF(Main[[#This Row],[Tech Start Date]]&lt;1/1/1990,"",IF(Main[[#This Row],[Class]]="C",WORKDAY(Main[[#This Row],[Tech Start Date]],23),IF(Main[[#This Row],[Class]]="B", WORKDAY(Main[[#This Row],[Tech Start Date]],15),IF(Main[[#This Row],[Class]]="A",WORKDAY(Main[[#This Row],[Tech Start Date]],5),""))))</f>
        <v/>
      </c>
      <c r="P744" s="69" t="str">
        <f>IF(Main[[#This Row],[Tech Start Date]]&lt;1/1/1990,"",IF(Main[[#This Row],[Class]]="C",WORKDAY(Main[[#This Row],[Tech Start Date]],28),IF(Main[[#This Row],[Class]]="B", WORKDAY(Main[[#This Row],[Tech Start Date]],19),IF(Main[[#This Row],[Class]]="A",WORKDAY(Main[[#This Row],[Tech Start Date]],9),""))))</f>
        <v/>
      </c>
      <c r="Q744" s="67">
        <v>40298</v>
      </c>
      <c r="R744" s="67"/>
      <c r="S744" s="65" t="s">
        <v>11</v>
      </c>
      <c r="T744" s="70" t="s">
        <v>4</v>
      </c>
      <c r="U744" s="65" t="s">
        <v>12</v>
      </c>
      <c r="V744" s="65" t="s">
        <v>1917</v>
      </c>
      <c r="W744" s="65" t="s">
        <v>1923</v>
      </c>
      <c r="X744" s="65" t="s">
        <v>2830</v>
      </c>
      <c r="Y744" s="65" t="s">
        <v>2949</v>
      </c>
      <c r="Z744" s="65" t="s">
        <v>4</v>
      </c>
      <c r="AA744" s="65" t="s">
        <v>2830</v>
      </c>
    </row>
    <row r="745" spans="1:27" ht="17.45" customHeight="1">
      <c r="A745" s="131" t="str">
        <f>IF(priority(Main[[#This Row],[Comments]])&lt;&gt;0, priority(Main[[#This Row],[Comments]]),"")</f>
        <v/>
      </c>
      <c r="B745" s="99" t="s">
        <v>1561</v>
      </c>
      <c r="C745" s="65" t="s">
        <v>290</v>
      </c>
      <c r="D745" s="66" t="s">
        <v>639</v>
      </c>
      <c r="E745" s="67"/>
      <c r="F745" s="67"/>
      <c r="G745" s="64" t="str">
        <f>IF(stdProdLT(Main[[#This Row],[Comments]])=0.1,"N/A",IF(stdProdLT(Main[[#This Row],[Comments]])=0,"",stdProdLT(Main[[#This Row],[Comments]])))</f>
        <v/>
      </c>
      <c r="H745" s="68" t="str">
        <f>IF(AND(Main[[#This Row],[In Stock Date]]&lt;&gt;"",Main[[#This Row],[Revised Due Date]]&lt;&gt;""),Main[[#This Row],[In Stock Date]]-Main[[#This Row],[Revised Due Date]],"")</f>
        <v/>
      </c>
      <c r="I745" s="65" t="s">
        <v>4</v>
      </c>
      <c r="J745" s="65" t="s">
        <v>4</v>
      </c>
      <c r="K745" s="65" t="s">
        <v>4</v>
      </c>
      <c r="L745" s="67"/>
      <c r="M745" s="69" t="str">
        <f>IF(Main[[#This Row],[Tech Start Date]]&lt;1/1/1990,"",IF(Main[[#This Row],[Class]]="C",WORKDAY(Main[[#This Row],[Tech Start Date]],9),IF(Main[[#This Row],[Class]]="B", WORKDAY(Main[[#This Row],[Tech Start Date]],6),IF(Main[[#This Row],[Class]]="A",WORKDAY(Main[[#This Row],[Tech Start Date]],2),""))))</f>
        <v/>
      </c>
      <c r="N745" s="69" t="str">
        <f>IF(Main[[#This Row],[Tech Start Date]]&lt;1/1/1990,"",IF(Main[[#This Row],[Class]]="C",WORKDAY(Main[[#This Row],[Tech Start Date]],19),IF(Main[[#This Row],[Class]]="B", WORKDAY(Main[[#This Row],[Tech Start Date]],12),IF(Main[[#This Row],[Class]]="A",WORKDAY(Main[[#This Row],[Tech Start Date]],4),""))))</f>
        <v/>
      </c>
      <c r="O745" s="69" t="str">
        <f>IF(Main[[#This Row],[Tech Start Date]]&lt;1/1/1990,"",IF(Main[[#This Row],[Class]]="C",WORKDAY(Main[[#This Row],[Tech Start Date]],23),IF(Main[[#This Row],[Class]]="B", WORKDAY(Main[[#This Row],[Tech Start Date]],15),IF(Main[[#This Row],[Class]]="A",WORKDAY(Main[[#This Row],[Tech Start Date]],5),""))))</f>
        <v/>
      </c>
      <c r="P745" s="69" t="str">
        <f>IF(Main[[#This Row],[Tech Start Date]]&lt;1/1/1990,"",IF(Main[[#This Row],[Class]]="C",WORKDAY(Main[[#This Row],[Tech Start Date]],28),IF(Main[[#This Row],[Class]]="B", WORKDAY(Main[[#This Row],[Tech Start Date]],19),IF(Main[[#This Row],[Class]]="A",WORKDAY(Main[[#This Row],[Tech Start Date]],9),""))))</f>
        <v/>
      </c>
      <c r="Q745" s="67">
        <v>40052</v>
      </c>
      <c r="R745" s="67"/>
      <c r="S745" s="65" t="s">
        <v>11</v>
      </c>
      <c r="T745" s="70" t="s">
        <v>4</v>
      </c>
      <c r="U745" s="65" t="s">
        <v>14</v>
      </c>
      <c r="V745" s="65" t="s">
        <v>1920</v>
      </c>
      <c r="W745" s="65" t="s">
        <v>1919</v>
      </c>
      <c r="X745" s="65" t="s">
        <v>2840</v>
      </c>
      <c r="Y745" s="65" t="s">
        <v>4</v>
      </c>
      <c r="Z745" s="65" t="s">
        <v>4</v>
      </c>
      <c r="AA745" s="65" t="s">
        <v>2840</v>
      </c>
    </row>
    <row r="746" spans="1:27" ht="17.45" customHeight="1">
      <c r="A746" s="131" t="str">
        <f>IF(priority(Main[[#This Row],[Comments]])&lt;&gt;0, priority(Main[[#This Row],[Comments]]),"")</f>
        <v/>
      </c>
      <c r="B746" s="99" t="s">
        <v>1723</v>
      </c>
      <c r="C746" s="65" t="s">
        <v>4</v>
      </c>
      <c r="D746" s="66" t="s">
        <v>777</v>
      </c>
      <c r="E746" s="67"/>
      <c r="F746" s="67"/>
      <c r="G746" s="64" t="str">
        <f>IF(stdProdLT(Main[[#This Row],[Comments]])=0.1,"N/A",IF(stdProdLT(Main[[#This Row],[Comments]])=0,"",stdProdLT(Main[[#This Row],[Comments]])))</f>
        <v/>
      </c>
      <c r="H746" s="68" t="str">
        <f>IF(AND(Main[[#This Row],[In Stock Date]]&lt;&gt;"",Main[[#This Row],[Revised Due Date]]&lt;&gt;""),Main[[#This Row],[In Stock Date]]-Main[[#This Row],[Revised Due Date]],"")</f>
        <v/>
      </c>
      <c r="I746" s="65" t="s">
        <v>4</v>
      </c>
      <c r="J746" s="65" t="s">
        <v>4</v>
      </c>
      <c r="K746" s="65" t="s">
        <v>4</v>
      </c>
      <c r="L746" s="67"/>
      <c r="M746" s="69" t="str">
        <f>IF(Main[[#This Row],[Tech Start Date]]&lt;1/1/1990,"",IF(Main[[#This Row],[Class]]="C",WORKDAY(Main[[#This Row],[Tech Start Date]],9),IF(Main[[#This Row],[Class]]="B", WORKDAY(Main[[#This Row],[Tech Start Date]],6),IF(Main[[#This Row],[Class]]="A",WORKDAY(Main[[#This Row],[Tech Start Date]],2),""))))</f>
        <v/>
      </c>
      <c r="N746" s="69" t="str">
        <f>IF(Main[[#This Row],[Tech Start Date]]&lt;1/1/1990,"",IF(Main[[#This Row],[Class]]="C",WORKDAY(Main[[#This Row],[Tech Start Date]],19),IF(Main[[#This Row],[Class]]="B", WORKDAY(Main[[#This Row],[Tech Start Date]],12),IF(Main[[#This Row],[Class]]="A",WORKDAY(Main[[#This Row],[Tech Start Date]],4),""))))</f>
        <v/>
      </c>
      <c r="O746" s="69" t="str">
        <f>IF(Main[[#This Row],[Tech Start Date]]&lt;1/1/1990,"",IF(Main[[#This Row],[Class]]="C",WORKDAY(Main[[#This Row],[Tech Start Date]],23),IF(Main[[#This Row],[Class]]="B", WORKDAY(Main[[#This Row],[Tech Start Date]],15),IF(Main[[#This Row],[Class]]="A",WORKDAY(Main[[#This Row],[Tech Start Date]],5),""))))</f>
        <v/>
      </c>
      <c r="P746" s="69" t="str">
        <f>IF(Main[[#This Row],[Tech Start Date]]&lt;1/1/1990,"",IF(Main[[#This Row],[Class]]="C",WORKDAY(Main[[#This Row],[Tech Start Date]],28),IF(Main[[#This Row],[Class]]="B", WORKDAY(Main[[#This Row],[Tech Start Date]],19),IF(Main[[#This Row],[Class]]="A",WORKDAY(Main[[#This Row],[Tech Start Date]],9),""))))</f>
        <v/>
      </c>
      <c r="Q746" s="67"/>
      <c r="R746" s="67"/>
      <c r="S746" s="65" t="s">
        <v>4</v>
      </c>
      <c r="T746" s="70" t="s">
        <v>4</v>
      </c>
      <c r="U746" s="65" t="s">
        <v>14</v>
      </c>
      <c r="V746" s="65" t="s">
        <v>1920</v>
      </c>
      <c r="W746" s="65" t="s">
        <v>4</v>
      </c>
      <c r="X746" s="65" t="s">
        <v>50</v>
      </c>
      <c r="Y746" s="65" t="s">
        <v>4</v>
      </c>
      <c r="Z746" s="65" t="s">
        <v>4</v>
      </c>
      <c r="AA746" s="65" t="s">
        <v>4</v>
      </c>
    </row>
    <row r="747" spans="1:27" ht="17.45" customHeight="1">
      <c r="A747" s="131" t="str">
        <f>IF(priority(Main[[#This Row],[Comments]])&lt;&gt;0, priority(Main[[#This Row],[Comments]]),"")</f>
        <v/>
      </c>
      <c r="B747" s="99" t="s">
        <v>1568</v>
      </c>
      <c r="C747" s="65" t="s">
        <v>72</v>
      </c>
      <c r="D747" s="66" t="s">
        <v>647</v>
      </c>
      <c r="E747" s="67"/>
      <c r="F747" s="67"/>
      <c r="G747" s="64" t="str">
        <f>IF(stdProdLT(Main[[#This Row],[Comments]])=0.1,"N/A",IF(stdProdLT(Main[[#This Row],[Comments]])=0,"",stdProdLT(Main[[#This Row],[Comments]])))</f>
        <v/>
      </c>
      <c r="H747" s="68" t="str">
        <f>IF(AND(Main[[#This Row],[In Stock Date]]&lt;&gt;"",Main[[#This Row],[Revised Due Date]]&lt;&gt;""),Main[[#This Row],[In Stock Date]]-Main[[#This Row],[Revised Due Date]],"")</f>
        <v/>
      </c>
      <c r="I747" s="65" t="s">
        <v>4</v>
      </c>
      <c r="J747" s="65" t="s">
        <v>4</v>
      </c>
      <c r="K747" s="65" t="s">
        <v>4</v>
      </c>
      <c r="L747" s="67"/>
      <c r="M747" s="69" t="str">
        <f>IF(Main[[#This Row],[Tech Start Date]]&lt;1/1/1990,"",IF(Main[[#This Row],[Class]]="C",WORKDAY(Main[[#This Row],[Tech Start Date]],9),IF(Main[[#This Row],[Class]]="B", WORKDAY(Main[[#This Row],[Tech Start Date]],6),IF(Main[[#This Row],[Class]]="A",WORKDAY(Main[[#This Row],[Tech Start Date]],2),""))))</f>
        <v/>
      </c>
      <c r="N747" s="69" t="str">
        <f>IF(Main[[#This Row],[Tech Start Date]]&lt;1/1/1990,"",IF(Main[[#This Row],[Class]]="C",WORKDAY(Main[[#This Row],[Tech Start Date]],19),IF(Main[[#This Row],[Class]]="B", WORKDAY(Main[[#This Row],[Tech Start Date]],12),IF(Main[[#This Row],[Class]]="A",WORKDAY(Main[[#This Row],[Tech Start Date]],4),""))))</f>
        <v/>
      </c>
      <c r="O747" s="69" t="str">
        <f>IF(Main[[#This Row],[Tech Start Date]]&lt;1/1/1990,"",IF(Main[[#This Row],[Class]]="C",WORKDAY(Main[[#This Row],[Tech Start Date]],23),IF(Main[[#This Row],[Class]]="B", WORKDAY(Main[[#This Row],[Tech Start Date]],15),IF(Main[[#This Row],[Class]]="A",WORKDAY(Main[[#This Row],[Tech Start Date]],5),""))))</f>
        <v/>
      </c>
      <c r="P747" s="69" t="str">
        <f>IF(Main[[#This Row],[Tech Start Date]]&lt;1/1/1990,"",IF(Main[[#This Row],[Class]]="C",WORKDAY(Main[[#This Row],[Tech Start Date]],28),IF(Main[[#This Row],[Class]]="B", WORKDAY(Main[[#This Row],[Tech Start Date]],19),IF(Main[[#This Row],[Class]]="A",WORKDAY(Main[[#This Row],[Tech Start Date]],9),""))))</f>
        <v/>
      </c>
      <c r="Q747" s="67"/>
      <c r="R747" s="67"/>
      <c r="S747" s="65" t="s">
        <v>49</v>
      </c>
      <c r="T747" s="70" t="s">
        <v>4</v>
      </c>
      <c r="U747" s="65" t="s">
        <v>12</v>
      </c>
      <c r="V747" s="65" t="s">
        <v>1918</v>
      </c>
      <c r="W747" s="65" t="s">
        <v>1919</v>
      </c>
      <c r="X747" s="65" t="s">
        <v>2907</v>
      </c>
      <c r="Y747" s="65" t="s">
        <v>3085</v>
      </c>
      <c r="Z747" s="65" t="s">
        <v>4</v>
      </c>
      <c r="AA747" s="65" t="s">
        <v>2907</v>
      </c>
    </row>
    <row r="748" spans="1:27" ht="17.45" customHeight="1">
      <c r="A748" s="131" t="str">
        <f>IF(priority(Main[[#This Row],[Comments]])&lt;&gt;0, priority(Main[[#This Row],[Comments]]),"")</f>
        <v/>
      </c>
      <c r="B748" s="99" t="s">
        <v>1569</v>
      </c>
      <c r="C748" s="65" t="s">
        <v>72</v>
      </c>
      <c r="D748" s="66" t="s">
        <v>648</v>
      </c>
      <c r="E748" s="67"/>
      <c r="F748" s="67">
        <v>40313</v>
      </c>
      <c r="G748" s="64" t="str">
        <f>IF(stdProdLT(Main[[#This Row],[Comments]])=0.1,"N/A",IF(stdProdLT(Main[[#This Row],[Comments]])=0,"",stdProdLT(Main[[#This Row],[Comments]])))</f>
        <v/>
      </c>
      <c r="H748" s="68" t="str">
        <f>IF(AND(Main[[#This Row],[In Stock Date]]&lt;&gt;"",Main[[#This Row],[Revised Due Date]]&lt;&gt;""),Main[[#This Row],[In Stock Date]]-Main[[#This Row],[Revised Due Date]],"")</f>
        <v/>
      </c>
      <c r="I748" s="65" t="s">
        <v>4</v>
      </c>
      <c r="J748" s="65" t="s">
        <v>4</v>
      </c>
      <c r="K748" s="65" t="s">
        <v>4</v>
      </c>
      <c r="L748" s="67"/>
      <c r="M748" s="69" t="str">
        <f>IF(Main[[#This Row],[Tech Start Date]]&lt;1/1/1990,"",IF(Main[[#This Row],[Class]]="C",WORKDAY(Main[[#This Row],[Tech Start Date]],9),IF(Main[[#This Row],[Class]]="B", WORKDAY(Main[[#This Row],[Tech Start Date]],6),IF(Main[[#This Row],[Class]]="A",WORKDAY(Main[[#This Row],[Tech Start Date]],2),""))))</f>
        <v/>
      </c>
      <c r="N748" s="69" t="str">
        <f>IF(Main[[#This Row],[Tech Start Date]]&lt;1/1/1990,"",IF(Main[[#This Row],[Class]]="C",WORKDAY(Main[[#This Row],[Tech Start Date]],19),IF(Main[[#This Row],[Class]]="B", WORKDAY(Main[[#This Row],[Tech Start Date]],12),IF(Main[[#This Row],[Class]]="A",WORKDAY(Main[[#This Row],[Tech Start Date]],4),""))))</f>
        <v/>
      </c>
      <c r="O748" s="69" t="str">
        <f>IF(Main[[#This Row],[Tech Start Date]]&lt;1/1/1990,"",IF(Main[[#This Row],[Class]]="C",WORKDAY(Main[[#This Row],[Tech Start Date]],23),IF(Main[[#This Row],[Class]]="B", WORKDAY(Main[[#This Row],[Tech Start Date]],15),IF(Main[[#This Row],[Class]]="A",WORKDAY(Main[[#This Row],[Tech Start Date]],5),""))))</f>
        <v/>
      </c>
      <c r="P748" s="69" t="str">
        <f>IF(Main[[#This Row],[Tech Start Date]]&lt;1/1/1990,"",IF(Main[[#This Row],[Class]]="C",WORKDAY(Main[[#This Row],[Tech Start Date]],28),IF(Main[[#This Row],[Class]]="B", WORKDAY(Main[[#This Row],[Tech Start Date]],19),IF(Main[[#This Row],[Class]]="A",WORKDAY(Main[[#This Row],[Tech Start Date]],9),""))))</f>
        <v/>
      </c>
      <c r="Q748" s="67">
        <v>40233</v>
      </c>
      <c r="R748" s="67"/>
      <c r="S748" s="65" t="s">
        <v>11</v>
      </c>
      <c r="T748" s="70" t="s">
        <v>4</v>
      </c>
      <c r="U748" s="65" t="s">
        <v>14</v>
      </c>
      <c r="V748" s="65" t="s">
        <v>1920</v>
      </c>
      <c r="W748" s="65" t="s">
        <v>1925</v>
      </c>
      <c r="X748" s="65" t="s">
        <v>2830</v>
      </c>
      <c r="Y748" s="65" t="s">
        <v>2949</v>
      </c>
      <c r="Z748" s="65" t="s">
        <v>4</v>
      </c>
      <c r="AA748" s="65" t="s">
        <v>2830</v>
      </c>
    </row>
    <row r="749" spans="1:27" ht="17.45" customHeight="1">
      <c r="A749" s="131" t="str">
        <f>IF(priority(Main[[#This Row],[Comments]])&lt;&gt;0, priority(Main[[#This Row],[Comments]]),"")</f>
        <v/>
      </c>
      <c r="B749" s="99" t="s">
        <v>1570</v>
      </c>
      <c r="C749" s="65" t="s">
        <v>159</v>
      </c>
      <c r="D749" s="66" t="s">
        <v>649</v>
      </c>
      <c r="E749" s="67"/>
      <c r="F749" s="67">
        <v>40513</v>
      </c>
      <c r="G749" s="64" t="str">
        <f>IF(stdProdLT(Main[[#This Row],[Comments]])=0.1,"N/A",IF(stdProdLT(Main[[#This Row],[Comments]])=0,"",stdProdLT(Main[[#This Row],[Comments]])))</f>
        <v/>
      </c>
      <c r="H749" s="68" t="str">
        <f>IF(AND(Main[[#This Row],[In Stock Date]]&lt;&gt;"",Main[[#This Row],[Revised Due Date]]&lt;&gt;""),Main[[#This Row],[In Stock Date]]-Main[[#This Row],[Revised Due Date]],"")</f>
        <v/>
      </c>
      <c r="I749" s="65" t="s">
        <v>4</v>
      </c>
      <c r="J749" s="65" t="s">
        <v>28</v>
      </c>
      <c r="K749" s="65" t="s">
        <v>4</v>
      </c>
      <c r="L749" s="67"/>
      <c r="M749" s="69" t="str">
        <f>IF(Main[[#This Row],[Tech Start Date]]&lt;1/1/1990,"",IF(Main[[#This Row],[Class]]="C",WORKDAY(Main[[#This Row],[Tech Start Date]],9),IF(Main[[#This Row],[Class]]="B", WORKDAY(Main[[#This Row],[Tech Start Date]],6),IF(Main[[#This Row],[Class]]="A",WORKDAY(Main[[#This Row],[Tech Start Date]],2),""))))</f>
        <v/>
      </c>
      <c r="N749" s="69" t="str">
        <f>IF(Main[[#This Row],[Tech Start Date]]&lt;1/1/1990,"",IF(Main[[#This Row],[Class]]="C",WORKDAY(Main[[#This Row],[Tech Start Date]],19),IF(Main[[#This Row],[Class]]="B", WORKDAY(Main[[#This Row],[Tech Start Date]],12),IF(Main[[#This Row],[Class]]="A",WORKDAY(Main[[#This Row],[Tech Start Date]],4),""))))</f>
        <v/>
      </c>
      <c r="O749" s="69" t="str">
        <f>IF(Main[[#This Row],[Tech Start Date]]&lt;1/1/1990,"",IF(Main[[#This Row],[Class]]="C",WORKDAY(Main[[#This Row],[Tech Start Date]],23),IF(Main[[#This Row],[Class]]="B", WORKDAY(Main[[#This Row],[Tech Start Date]],15),IF(Main[[#This Row],[Class]]="A",WORKDAY(Main[[#This Row],[Tech Start Date]],5),""))))</f>
        <v/>
      </c>
      <c r="P749" s="69" t="str">
        <f>IF(Main[[#This Row],[Tech Start Date]]&lt;1/1/1990,"",IF(Main[[#This Row],[Class]]="C",WORKDAY(Main[[#This Row],[Tech Start Date]],28),IF(Main[[#This Row],[Class]]="B", WORKDAY(Main[[#This Row],[Tech Start Date]],19),IF(Main[[#This Row],[Class]]="A",WORKDAY(Main[[#This Row],[Tech Start Date]],9),""))))</f>
        <v/>
      </c>
      <c r="Q749" s="67">
        <v>40382</v>
      </c>
      <c r="R749" s="67"/>
      <c r="S749" s="65" t="s">
        <v>11</v>
      </c>
      <c r="T749" s="70" t="s">
        <v>4</v>
      </c>
      <c r="U749" s="65" t="s">
        <v>14</v>
      </c>
      <c r="V749" s="65" t="s">
        <v>1917</v>
      </c>
      <c r="W749" s="65" t="s">
        <v>1925</v>
      </c>
      <c r="X749" s="65" t="s">
        <v>2861</v>
      </c>
      <c r="Y749" s="65" t="s">
        <v>3000</v>
      </c>
      <c r="Z749" s="65" t="s">
        <v>129</v>
      </c>
      <c r="AA749" s="65" t="s">
        <v>2861</v>
      </c>
    </row>
    <row r="750" spans="1:27" ht="17.45" customHeight="1">
      <c r="A750" s="131" t="str">
        <f>IF(priority(Main[[#This Row],[Comments]])&lt;&gt;0, priority(Main[[#This Row],[Comments]]),"")</f>
        <v/>
      </c>
      <c r="B750" s="99" t="s">
        <v>1571</v>
      </c>
      <c r="C750" s="65" t="s">
        <v>4</v>
      </c>
      <c r="D750" s="66" t="s">
        <v>650</v>
      </c>
      <c r="E750" s="67">
        <v>40477.486574074072</v>
      </c>
      <c r="F750" s="67"/>
      <c r="G750" s="64" t="str">
        <f>IF(stdProdLT(Main[[#This Row],[Comments]])=0.1,"N/A",IF(stdProdLT(Main[[#This Row],[Comments]])=0,"",stdProdLT(Main[[#This Row],[Comments]])))</f>
        <v/>
      </c>
      <c r="H750" s="68" t="str">
        <f>IF(AND(Main[[#This Row],[In Stock Date]]&lt;&gt;"",Main[[#This Row],[Revised Due Date]]&lt;&gt;""),Main[[#This Row],[In Stock Date]]-Main[[#This Row],[Revised Due Date]],"")</f>
        <v/>
      </c>
      <c r="I750" s="65" t="s">
        <v>4</v>
      </c>
      <c r="J750" s="65" t="s">
        <v>4</v>
      </c>
      <c r="K750" s="71" t="s">
        <v>4</v>
      </c>
      <c r="L750" s="67"/>
      <c r="M750" s="69" t="str">
        <f>IF(Main[[#This Row],[Tech Start Date]]&lt;1/1/1990,"",IF(Main[[#This Row],[Class]]="C",WORKDAY(Main[[#This Row],[Tech Start Date]],9),IF(Main[[#This Row],[Class]]="B", WORKDAY(Main[[#This Row],[Tech Start Date]],6),IF(Main[[#This Row],[Class]]="A",WORKDAY(Main[[#This Row],[Tech Start Date]],2),""))))</f>
        <v/>
      </c>
      <c r="N750" s="69" t="str">
        <f>IF(Main[[#This Row],[Tech Start Date]]&lt;1/1/1990,"",IF(Main[[#This Row],[Class]]="C",WORKDAY(Main[[#This Row],[Tech Start Date]],19),IF(Main[[#This Row],[Class]]="B", WORKDAY(Main[[#This Row],[Tech Start Date]],12),IF(Main[[#This Row],[Class]]="A",WORKDAY(Main[[#This Row],[Tech Start Date]],4),""))))</f>
        <v/>
      </c>
      <c r="O750" s="69" t="str">
        <f>IF(Main[[#This Row],[Tech Start Date]]&lt;1/1/1990,"",IF(Main[[#This Row],[Class]]="C",WORKDAY(Main[[#This Row],[Tech Start Date]],23),IF(Main[[#This Row],[Class]]="B", WORKDAY(Main[[#This Row],[Tech Start Date]],15),IF(Main[[#This Row],[Class]]="A",WORKDAY(Main[[#This Row],[Tech Start Date]],5),""))))</f>
        <v/>
      </c>
      <c r="P750" s="69" t="str">
        <f>IF(Main[[#This Row],[Tech Start Date]]&lt;1/1/1990,"",IF(Main[[#This Row],[Class]]="C",WORKDAY(Main[[#This Row],[Tech Start Date]],28),IF(Main[[#This Row],[Class]]="B", WORKDAY(Main[[#This Row],[Tech Start Date]],19),IF(Main[[#This Row],[Class]]="A",WORKDAY(Main[[#This Row],[Tech Start Date]],9),""))))</f>
        <v/>
      </c>
      <c r="Q750" s="67">
        <v>40511</v>
      </c>
      <c r="R750" s="67"/>
      <c r="S750" s="65" t="s">
        <v>6</v>
      </c>
      <c r="T750" s="70" t="s">
        <v>4</v>
      </c>
      <c r="U750" s="65" t="s">
        <v>7</v>
      </c>
      <c r="V750" s="65" t="s">
        <v>1917</v>
      </c>
      <c r="W750" s="65" t="s">
        <v>4</v>
      </c>
      <c r="X750" s="65" t="s">
        <v>2824</v>
      </c>
      <c r="Y750" s="65" t="s">
        <v>2935</v>
      </c>
      <c r="Z750" s="65" t="s">
        <v>4</v>
      </c>
      <c r="AA750" s="65" t="s">
        <v>2824</v>
      </c>
    </row>
    <row r="751" spans="1:27" ht="17.45" customHeight="1">
      <c r="A751" s="131" t="str">
        <f>IF(priority(Main[[#This Row],[Comments]])&lt;&gt;0, priority(Main[[#This Row],[Comments]]),"")</f>
        <v/>
      </c>
      <c r="B751" s="99" t="s">
        <v>1572</v>
      </c>
      <c r="C751" s="65" t="s">
        <v>4</v>
      </c>
      <c r="D751" s="66" t="s">
        <v>651</v>
      </c>
      <c r="E751" s="67"/>
      <c r="F751" s="67"/>
      <c r="G751" s="64" t="str">
        <f>IF(stdProdLT(Main[[#This Row],[Comments]])=0.1,"N/A",IF(stdProdLT(Main[[#This Row],[Comments]])=0,"",stdProdLT(Main[[#This Row],[Comments]])))</f>
        <v/>
      </c>
      <c r="H751" s="68" t="str">
        <f>IF(AND(Main[[#This Row],[In Stock Date]]&lt;&gt;"",Main[[#This Row],[Revised Due Date]]&lt;&gt;""),Main[[#This Row],[In Stock Date]]-Main[[#This Row],[Revised Due Date]],"")</f>
        <v/>
      </c>
      <c r="I751" s="65" t="s">
        <v>4</v>
      </c>
      <c r="J751" s="65" t="s">
        <v>4</v>
      </c>
      <c r="K751" s="65" t="s">
        <v>4</v>
      </c>
      <c r="L751" s="67"/>
      <c r="M751" s="69" t="str">
        <f>IF(Main[[#This Row],[Tech Start Date]]&lt;1/1/1990,"",IF(Main[[#This Row],[Class]]="C",WORKDAY(Main[[#This Row],[Tech Start Date]],9),IF(Main[[#This Row],[Class]]="B", WORKDAY(Main[[#This Row],[Tech Start Date]],6),IF(Main[[#This Row],[Class]]="A",WORKDAY(Main[[#This Row],[Tech Start Date]],2),""))))</f>
        <v/>
      </c>
      <c r="N751" s="69" t="str">
        <f>IF(Main[[#This Row],[Tech Start Date]]&lt;1/1/1990,"",IF(Main[[#This Row],[Class]]="C",WORKDAY(Main[[#This Row],[Tech Start Date]],19),IF(Main[[#This Row],[Class]]="B", WORKDAY(Main[[#This Row],[Tech Start Date]],12),IF(Main[[#This Row],[Class]]="A",WORKDAY(Main[[#This Row],[Tech Start Date]],4),""))))</f>
        <v/>
      </c>
      <c r="O751" s="69" t="str">
        <f>IF(Main[[#This Row],[Tech Start Date]]&lt;1/1/1990,"",IF(Main[[#This Row],[Class]]="C",WORKDAY(Main[[#This Row],[Tech Start Date]],23),IF(Main[[#This Row],[Class]]="B", WORKDAY(Main[[#This Row],[Tech Start Date]],15),IF(Main[[#This Row],[Class]]="A",WORKDAY(Main[[#This Row],[Tech Start Date]],5),""))))</f>
        <v/>
      </c>
      <c r="P751" s="69" t="str">
        <f>IF(Main[[#This Row],[Tech Start Date]]&lt;1/1/1990,"",IF(Main[[#This Row],[Class]]="C",WORKDAY(Main[[#This Row],[Tech Start Date]],28),IF(Main[[#This Row],[Class]]="B", WORKDAY(Main[[#This Row],[Tech Start Date]],19),IF(Main[[#This Row],[Class]]="A",WORKDAY(Main[[#This Row],[Tech Start Date]],9),""))))</f>
        <v/>
      </c>
      <c r="Q751" s="67">
        <v>40619</v>
      </c>
      <c r="R751" s="67"/>
      <c r="S751" s="65" t="s">
        <v>6</v>
      </c>
      <c r="T751" s="70" t="s">
        <v>4</v>
      </c>
      <c r="U751" s="65" t="s">
        <v>14</v>
      </c>
      <c r="V751" s="65" t="s">
        <v>1927</v>
      </c>
      <c r="W751" s="65" t="s">
        <v>4</v>
      </c>
      <c r="X751" s="65" t="s">
        <v>2909</v>
      </c>
      <c r="Y751" s="65" t="s">
        <v>3089</v>
      </c>
      <c r="Z751" s="65" t="s">
        <v>4</v>
      </c>
      <c r="AA751" s="65" t="s">
        <v>2909</v>
      </c>
    </row>
    <row r="752" spans="1:27" ht="17.45" customHeight="1">
      <c r="A752" s="131" t="str">
        <f>IF(priority(Main[[#This Row],[Comments]])&lt;&gt;0, priority(Main[[#This Row],[Comments]]),"")</f>
        <v/>
      </c>
      <c r="B752" s="99" t="s">
        <v>2109</v>
      </c>
      <c r="C752" s="65" t="s">
        <v>4</v>
      </c>
      <c r="D752" s="66" t="s">
        <v>2110</v>
      </c>
      <c r="E752" s="67">
        <v>40772.421967592592</v>
      </c>
      <c r="F752" s="67"/>
      <c r="G752" s="64" t="str">
        <f>IF(stdProdLT(Main[[#This Row],[Comments]])=0.1,"N/A",IF(stdProdLT(Main[[#This Row],[Comments]])=0,"",stdProdLT(Main[[#This Row],[Comments]])))</f>
        <v/>
      </c>
      <c r="H752" s="68" t="str">
        <f>IF(AND(Main[[#This Row],[In Stock Date]]&lt;&gt;"",Main[[#This Row],[Revised Due Date]]&lt;&gt;""),Main[[#This Row],[In Stock Date]]-Main[[#This Row],[Revised Due Date]],"")</f>
        <v/>
      </c>
      <c r="I752" s="65" t="s">
        <v>914</v>
      </c>
      <c r="J752" s="65" t="s">
        <v>52</v>
      </c>
      <c r="K752" s="65" t="s">
        <v>4</v>
      </c>
      <c r="L752" s="67"/>
      <c r="M752" s="69" t="str">
        <f>IF(Main[[#This Row],[Tech Start Date]]&lt;1/1/1990,"",IF(Main[[#This Row],[Class]]="C",WORKDAY(Main[[#This Row],[Tech Start Date]],9),IF(Main[[#This Row],[Class]]="B", WORKDAY(Main[[#This Row],[Tech Start Date]],6),IF(Main[[#This Row],[Class]]="A",WORKDAY(Main[[#This Row],[Tech Start Date]],2),""))))</f>
        <v/>
      </c>
      <c r="N752" s="69" t="str">
        <f>IF(Main[[#This Row],[Tech Start Date]]&lt;1/1/1990,"",IF(Main[[#This Row],[Class]]="C",WORKDAY(Main[[#This Row],[Tech Start Date]],19),IF(Main[[#This Row],[Class]]="B", WORKDAY(Main[[#This Row],[Tech Start Date]],12),IF(Main[[#This Row],[Class]]="A",WORKDAY(Main[[#This Row],[Tech Start Date]],4),""))))</f>
        <v/>
      </c>
      <c r="O752" s="69" t="str">
        <f>IF(Main[[#This Row],[Tech Start Date]]&lt;1/1/1990,"",IF(Main[[#This Row],[Class]]="C",WORKDAY(Main[[#This Row],[Tech Start Date]],23),IF(Main[[#This Row],[Class]]="B", WORKDAY(Main[[#This Row],[Tech Start Date]],15),IF(Main[[#This Row],[Class]]="A",WORKDAY(Main[[#This Row],[Tech Start Date]],5),""))))</f>
        <v/>
      </c>
      <c r="P752" s="69" t="str">
        <f>IF(Main[[#This Row],[Tech Start Date]]&lt;1/1/1990,"",IF(Main[[#This Row],[Class]]="C",WORKDAY(Main[[#This Row],[Tech Start Date]],28),IF(Main[[#This Row],[Class]]="B", WORKDAY(Main[[#This Row],[Tech Start Date]],19),IF(Main[[#This Row],[Class]]="A",WORKDAY(Main[[#This Row],[Tech Start Date]],9),""))))</f>
        <v/>
      </c>
      <c r="Q752" s="67"/>
      <c r="R752" s="67"/>
      <c r="S752" s="65" t="s">
        <v>6</v>
      </c>
      <c r="T752" s="70" t="s">
        <v>4</v>
      </c>
      <c r="U752" s="65" t="s">
        <v>29</v>
      </c>
      <c r="V752" s="65" t="s">
        <v>1917</v>
      </c>
      <c r="W752" s="65" t="s">
        <v>1921</v>
      </c>
      <c r="X752" s="65" t="s">
        <v>939</v>
      </c>
      <c r="Y752" s="65" t="s">
        <v>2990</v>
      </c>
      <c r="Z752" s="65" t="s">
        <v>129</v>
      </c>
      <c r="AA752" s="65" t="s">
        <v>939</v>
      </c>
    </row>
    <row r="753" spans="1:27" ht="17.45" customHeight="1">
      <c r="A753" s="131" t="str">
        <f>IF(priority(Main[[#This Row],[Comments]])&lt;&gt;0, priority(Main[[#This Row],[Comments]]),"")</f>
        <v/>
      </c>
      <c r="B753" s="99" t="s">
        <v>2389</v>
      </c>
      <c r="C753" s="65" t="s">
        <v>47</v>
      </c>
      <c r="D753" s="66" t="s">
        <v>2390</v>
      </c>
      <c r="E753" s="67">
        <v>40847.703090277777</v>
      </c>
      <c r="F753" s="67"/>
      <c r="G753" s="64" t="str">
        <f>IF(stdProdLT(Main[[#This Row],[Comments]])=0.1,"N/A",IF(stdProdLT(Main[[#This Row],[Comments]])=0,"",stdProdLT(Main[[#This Row],[Comments]])))</f>
        <v/>
      </c>
      <c r="H753" s="68" t="str">
        <f>IF(AND(Main[[#This Row],[In Stock Date]]&lt;&gt;"",Main[[#This Row],[Revised Due Date]]&lt;&gt;""),Main[[#This Row],[In Stock Date]]-Main[[#This Row],[Revised Due Date]],"")</f>
        <v/>
      </c>
      <c r="I753" s="65" t="s">
        <v>69</v>
      </c>
      <c r="J753" s="65" t="s">
        <v>28</v>
      </c>
      <c r="K753" s="65" t="s">
        <v>1926</v>
      </c>
      <c r="L753" s="67"/>
      <c r="M753" s="69" t="str">
        <f>IF(Main[[#This Row],[Tech Start Date]]&lt;1/1/1990,"",IF(Main[[#This Row],[Class]]="C",WORKDAY(Main[[#This Row],[Tech Start Date]],9),IF(Main[[#This Row],[Class]]="B", WORKDAY(Main[[#This Row],[Tech Start Date]],6),IF(Main[[#This Row],[Class]]="A",WORKDAY(Main[[#This Row],[Tech Start Date]],2),""))))</f>
        <v/>
      </c>
      <c r="N753" s="69" t="str">
        <f>IF(Main[[#This Row],[Tech Start Date]]&lt;1/1/1990,"",IF(Main[[#This Row],[Class]]="C",WORKDAY(Main[[#This Row],[Tech Start Date]],19),IF(Main[[#This Row],[Class]]="B", WORKDAY(Main[[#This Row],[Tech Start Date]],12),IF(Main[[#This Row],[Class]]="A",WORKDAY(Main[[#This Row],[Tech Start Date]],4),""))))</f>
        <v/>
      </c>
      <c r="O753" s="69" t="str">
        <f>IF(Main[[#This Row],[Tech Start Date]]&lt;1/1/1990,"",IF(Main[[#This Row],[Class]]="C",WORKDAY(Main[[#This Row],[Tech Start Date]],23),IF(Main[[#This Row],[Class]]="B", WORKDAY(Main[[#This Row],[Tech Start Date]],15),IF(Main[[#This Row],[Class]]="A",WORKDAY(Main[[#This Row],[Tech Start Date]],5),""))))</f>
        <v/>
      </c>
      <c r="P753" s="69" t="str">
        <f>IF(Main[[#This Row],[Tech Start Date]]&lt;1/1/1990,"",IF(Main[[#This Row],[Class]]="C",WORKDAY(Main[[#This Row],[Tech Start Date]],28),IF(Main[[#This Row],[Class]]="B", WORKDAY(Main[[#This Row],[Tech Start Date]],19),IF(Main[[#This Row],[Class]]="A",WORKDAY(Main[[#This Row],[Tech Start Date]],9),""))))</f>
        <v/>
      </c>
      <c r="Q753" s="67">
        <v>40862</v>
      </c>
      <c r="R753" s="67"/>
      <c r="S753" s="65" t="s">
        <v>6</v>
      </c>
      <c r="T753" s="70" t="s">
        <v>4</v>
      </c>
      <c r="U753" s="65" t="s">
        <v>29</v>
      </c>
      <c r="V753" s="65" t="s">
        <v>1920</v>
      </c>
      <c r="W753" s="65" t="s">
        <v>1921</v>
      </c>
      <c r="X753" s="65" t="s">
        <v>2871</v>
      </c>
      <c r="Y753" s="65" t="s">
        <v>3016</v>
      </c>
      <c r="Z753" s="65" t="s">
        <v>30</v>
      </c>
      <c r="AA753" s="65" t="s">
        <v>2871</v>
      </c>
    </row>
    <row r="754" spans="1:27" ht="17.45" customHeight="1">
      <c r="A754" s="131" t="str">
        <f>IF(priority(Main[[#This Row],[Comments]])&lt;&gt;0, priority(Main[[#This Row],[Comments]]),"")</f>
        <v/>
      </c>
      <c r="B754" s="99" t="s">
        <v>1638</v>
      </c>
      <c r="C754" s="65" t="s">
        <v>4</v>
      </c>
      <c r="D754" s="66" t="s">
        <v>2117</v>
      </c>
      <c r="E754" s="67">
        <v>40696.439942129633</v>
      </c>
      <c r="F754" s="67"/>
      <c r="G754" s="64" t="str">
        <f>IF(stdProdLT(Main[[#This Row],[Comments]])=0.1,"N/A",IF(stdProdLT(Main[[#This Row],[Comments]])=0,"",stdProdLT(Main[[#This Row],[Comments]])))</f>
        <v/>
      </c>
      <c r="H754" s="68" t="str">
        <f>IF(AND(Main[[#This Row],[In Stock Date]]&lt;&gt;"",Main[[#This Row],[Revised Due Date]]&lt;&gt;""),Main[[#This Row],[In Stock Date]]-Main[[#This Row],[Revised Due Date]],"")</f>
        <v/>
      </c>
      <c r="I754" s="65" t="s">
        <v>943</v>
      </c>
      <c r="J754" s="65" t="s">
        <v>4</v>
      </c>
      <c r="K754" s="65" t="s">
        <v>4</v>
      </c>
      <c r="L754" s="67"/>
      <c r="M754" s="69" t="str">
        <f>IF(Main[[#This Row],[Tech Start Date]]&lt;1/1/1990,"",IF(Main[[#This Row],[Class]]="C",WORKDAY(Main[[#This Row],[Tech Start Date]],9),IF(Main[[#This Row],[Class]]="B", WORKDAY(Main[[#This Row],[Tech Start Date]],6),IF(Main[[#This Row],[Class]]="A",WORKDAY(Main[[#This Row],[Tech Start Date]],2),""))))</f>
        <v/>
      </c>
      <c r="N754" s="69" t="str">
        <f>IF(Main[[#This Row],[Tech Start Date]]&lt;1/1/1990,"",IF(Main[[#This Row],[Class]]="C",WORKDAY(Main[[#This Row],[Tech Start Date]],19),IF(Main[[#This Row],[Class]]="B", WORKDAY(Main[[#This Row],[Tech Start Date]],12),IF(Main[[#This Row],[Class]]="A",WORKDAY(Main[[#This Row],[Tech Start Date]],4),""))))</f>
        <v/>
      </c>
      <c r="O754" s="69" t="str">
        <f>IF(Main[[#This Row],[Tech Start Date]]&lt;1/1/1990,"",IF(Main[[#This Row],[Class]]="C",WORKDAY(Main[[#This Row],[Tech Start Date]],23),IF(Main[[#This Row],[Class]]="B", WORKDAY(Main[[#This Row],[Tech Start Date]],15),IF(Main[[#This Row],[Class]]="A",WORKDAY(Main[[#This Row],[Tech Start Date]],5),""))))</f>
        <v/>
      </c>
      <c r="P754" s="69" t="str">
        <f>IF(Main[[#This Row],[Tech Start Date]]&lt;1/1/1990,"",IF(Main[[#This Row],[Class]]="C",WORKDAY(Main[[#This Row],[Tech Start Date]],28),IF(Main[[#This Row],[Class]]="B", WORKDAY(Main[[#This Row],[Tech Start Date]],19),IF(Main[[#This Row],[Class]]="A",WORKDAY(Main[[#This Row],[Tech Start Date]],9),""))))</f>
        <v/>
      </c>
      <c r="Q754" s="67"/>
      <c r="R754" s="67">
        <v>40815</v>
      </c>
      <c r="S754" s="65" t="s">
        <v>6</v>
      </c>
      <c r="T754" s="70" t="s">
        <v>4</v>
      </c>
      <c r="U754" s="65" t="s">
        <v>29</v>
      </c>
      <c r="V754" s="65" t="s">
        <v>1918</v>
      </c>
      <c r="W754" s="65" t="s">
        <v>1925</v>
      </c>
      <c r="X754" s="65" t="s">
        <v>943</v>
      </c>
      <c r="Y754" s="65" t="s">
        <v>3001</v>
      </c>
      <c r="Z754" s="65" t="s">
        <v>2056</v>
      </c>
      <c r="AA754" s="65" t="s">
        <v>943</v>
      </c>
    </row>
    <row r="755" spans="1:27" ht="17.45" customHeight="1">
      <c r="A755" s="131" t="str">
        <f>IF(priority(Main[[#This Row],[Comments]])&lt;&gt;0, priority(Main[[#This Row],[Comments]]),"")</f>
        <v/>
      </c>
      <c r="B755" s="99" t="s">
        <v>1427</v>
      </c>
      <c r="C755" s="65" t="s">
        <v>4</v>
      </c>
      <c r="D755" s="66" t="s">
        <v>2391</v>
      </c>
      <c r="E755" s="67">
        <v>40561.285520833335</v>
      </c>
      <c r="F755" s="67"/>
      <c r="G755" s="64" t="str">
        <f>IF(stdProdLT(Main[[#This Row],[Comments]])=0.1,"N/A",IF(stdProdLT(Main[[#This Row],[Comments]])=0,"",stdProdLT(Main[[#This Row],[Comments]])))</f>
        <v/>
      </c>
      <c r="H755" s="68" t="str">
        <f>IF(AND(Main[[#This Row],[In Stock Date]]&lt;&gt;"",Main[[#This Row],[Revised Due Date]]&lt;&gt;""),Main[[#This Row],[In Stock Date]]-Main[[#This Row],[Revised Due Date]],"")</f>
        <v/>
      </c>
      <c r="I755" s="65" t="s">
        <v>914</v>
      </c>
      <c r="J755" s="65" t="s">
        <v>52</v>
      </c>
      <c r="K755" s="65" t="s">
        <v>1924</v>
      </c>
      <c r="L755" s="67"/>
      <c r="M755" s="69" t="str">
        <f>IF(Main[[#This Row],[Tech Start Date]]&lt;1/1/1990,"",IF(Main[[#This Row],[Class]]="C",WORKDAY(Main[[#This Row],[Tech Start Date]],9),IF(Main[[#This Row],[Class]]="B", WORKDAY(Main[[#This Row],[Tech Start Date]],6),IF(Main[[#This Row],[Class]]="A",WORKDAY(Main[[#This Row],[Tech Start Date]],2),""))))</f>
        <v/>
      </c>
      <c r="N755" s="69" t="str">
        <f>IF(Main[[#This Row],[Tech Start Date]]&lt;1/1/1990,"",IF(Main[[#This Row],[Class]]="C",WORKDAY(Main[[#This Row],[Tech Start Date]],19),IF(Main[[#This Row],[Class]]="B", WORKDAY(Main[[#This Row],[Tech Start Date]],12),IF(Main[[#This Row],[Class]]="A",WORKDAY(Main[[#This Row],[Tech Start Date]],4),""))))</f>
        <v/>
      </c>
      <c r="O755" s="69" t="str">
        <f>IF(Main[[#This Row],[Tech Start Date]]&lt;1/1/1990,"",IF(Main[[#This Row],[Class]]="C",WORKDAY(Main[[#This Row],[Tech Start Date]],23),IF(Main[[#This Row],[Class]]="B", WORKDAY(Main[[#This Row],[Tech Start Date]],15),IF(Main[[#This Row],[Class]]="A",WORKDAY(Main[[#This Row],[Tech Start Date]],5),""))))</f>
        <v/>
      </c>
      <c r="P755" s="69" t="str">
        <f>IF(Main[[#This Row],[Tech Start Date]]&lt;1/1/1990,"",IF(Main[[#This Row],[Class]]="C",WORKDAY(Main[[#This Row],[Tech Start Date]],28),IF(Main[[#This Row],[Class]]="B", WORKDAY(Main[[#This Row],[Tech Start Date]],19),IF(Main[[#This Row],[Class]]="A",WORKDAY(Main[[#This Row],[Tech Start Date]],9),""))))</f>
        <v/>
      </c>
      <c r="Q755" s="67">
        <v>40595</v>
      </c>
      <c r="R755" s="67"/>
      <c r="S755" s="65" t="s">
        <v>6</v>
      </c>
      <c r="T755" s="70" t="s">
        <v>4</v>
      </c>
      <c r="U755" s="65" t="s">
        <v>29</v>
      </c>
      <c r="V755" s="65" t="s">
        <v>1917</v>
      </c>
      <c r="W755" s="65" t="s">
        <v>1919</v>
      </c>
      <c r="X755" s="65" t="s">
        <v>2828</v>
      </c>
      <c r="Y755" s="65" t="s">
        <v>2944</v>
      </c>
      <c r="Z755" s="65" t="s">
        <v>129</v>
      </c>
      <c r="AA755" s="65" t="s">
        <v>2828</v>
      </c>
    </row>
    <row r="756" spans="1:27" ht="17.45" customHeight="1">
      <c r="A756" s="131" t="str">
        <f>IF(priority(Main[[#This Row],[Comments]])&lt;&gt;0, priority(Main[[#This Row],[Comments]]),"")</f>
        <v/>
      </c>
      <c r="B756" s="99" t="s">
        <v>1577</v>
      </c>
      <c r="C756" s="65" t="s">
        <v>4</v>
      </c>
      <c r="D756" s="66" t="s">
        <v>656</v>
      </c>
      <c r="E756" s="67"/>
      <c r="F756" s="67"/>
      <c r="G756" s="64" t="str">
        <f>IF(stdProdLT(Main[[#This Row],[Comments]])=0.1,"N/A",IF(stdProdLT(Main[[#This Row],[Comments]])=0,"",stdProdLT(Main[[#This Row],[Comments]])))</f>
        <v/>
      </c>
      <c r="H756" s="68" t="str">
        <f>IF(AND(Main[[#This Row],[In Stock Date]]&lt;&gt;"",Main[[#This Row],[Revised Due Date]]&lt;&gt;""),Main[[#This Row],[In Stock Date]]-Main[[#This Row],[Revised Due Date]],"")</f>
        <v/>
      </c>
      <c r="I756" s="65" t="s">
        <v>4</v>
      </c>
      <c r="J756" s="65" t="s">
        <v>4</v>
      </c>
      <c r="K756" s="65" t="s">
        <v>4</v>
      </c>
      <c r="L756" s="67"/>
      <c r="M756" s="69" t="str">
        <f>IF(Main[[#This Row],[Tech Start Date]]&lt;1/1/1990,"",IF(Main[[#This Row],[Class]]="C",WORKDAY(Main[[#This Row],[Tech Start Date]],9),IF(Main[[#This Row],[Class]]="B", WORKDAY(Main[[#This Row],[Tech Start Date]],6),IF(Main[[#This Row],[Class]]="A",WORKDAY(Main[[#This Row],[Tech Start Date]],2),""))))</f>
        <v/>
      </c>
      <c r="N756" s="69" t="str">
        <f>IF(Main[[#This Row],[Tech Start Date]]&lt;1/1/1990,"",IF(Main[[#This Row],[Class]]="C",WORKDAY(Main[[#This Row],[Tech Start Date]],19),IF(Main[[#This Row],[Class]]="B", WORKDAY(Main[[#This Row],[Tech Start Date]],12),IF(Main[[#This Row],[Class]]="A",WORKDAY(Main[[#This Row],[Tech Start Date]],4),""))))</f>
        <v/>
      </c>
      <c r="O756" s="69" t="str">
        <f>IF(Main[[#This Row],[Tech Start Date]]&lt;1/1/1990,"",IF(Main[[#This Row],[Class]]="C",WORKDAY(Main[[#This Row],[Tech Start Date]],23),IF(Main[[#This Row],[Class]]="B", WORKDAY(Main[[#This Row],[Tech Start Date]],15),IF(Main[[#This Row],[Class]]="A",WORKDAY(Main[[#This Row],[Tech Start Date]],5),""))))</f>
        <v/>
      </c>
      <c r="P756" s="69" t="str">
        <f>IF(Main[[#This Row],[Tech Start Date]]&lt;1/1/1990,"",IF(Main[[#This Row],[Class]]="C",WORKDAY(Main[[#This Row],[Tech Start Date]],28),IF(Main[[#This Row],[Class]]="B", WORKDAY(Main[[#This Row],[Tech Start Date]],19),IF(Main[[#This Row],[Class]]="A",WORKDAY(Main[[#This Row],[Tech Start Date]],9),""))))</f>
        <v/>
      </c>
      <c r="Q756" s="67"/>
      <c r="R756" s="67"/>
      <c r="S756" s="65" t="s">
        <v>6</v>
      </c>
      <c r="T756" s="70" t="s">
        <v>4</v>
      </c>
      <c r="U756" s="65" t="s">
        <v>12</v>
      </c>
      <c r="V756" s="65" t="s">
        <v>1917</v>
      </c>
      <c r="W756" s="65" t="s">
        <v>4</v>
      </c>
      <c r="X756" s="65" t="s">
        <v>710</v>
      </c>
      <c r="Y756" s="65" t="s">
        <v>3076</v>
      </c>
      <c r="Z756" s="65" t="s">
        <v>4</v>
      </c>
      <c r="AA756" s="65" t="s">
        <v>710</v>
      </c>
    </row>
    <row r="757" spans="1:27" ht="17.45" customHeight="1">
      <c r="A757" s="131" t="str">
        <f>IF(priority(Main[[#This Row],[Comments]])&lt;&gt;0, priority(Main[[#This Row],[Comments]]),"")</f>
        <v/>
      </c>
      <c r="B757" s="99" t="s">
        <v>1578</v>
      </c>
      <c r="C757" s="65" t="s">
        <v>4</v>
      </c>
      <c r="D757" s="66" t="s">
        <v>657</v>
      </c>
      <c r="E757" s="67"/>
      <c r="F757" s="67"/>
      <c r="G757" s="64" t="str">
        <f>IF(stdProdLT(Main[[#This Row],[Comments]])=0.1,"N/A",IF(stdProdLT(Main[[#This Row],[Comments]])=0,"",stdProdLT(Main[[#This Row],[Comments]])))</f>
        <v/>
      </c>
      <c r="H757" s="68" t="str">
        <f>IF(AND(Main[[#This Row],[In Stock Date]]&lt;&gt;"",Main[[#This Row],[Revised Due Date]]&lt;&gt;""),Main[[#This Row],[In Stock Date]]-Main[[#This Row],[Revised Due Date]],"")</f>
        <v/>
      </c>
      <c r="I757" s="65" t="s">
        <v>4</v>
      </c>
      <c r="J757" s="65" t="s">
        <v>4</v>
      </c>
      <c r="K757" s="71" t="s">
        <v>4</v>
      </c>
      <c r="L757" s="67"/>
      <c r="M757" s="69" t="str">
        <f>IF(Main[[#This Row],[Tech Start Date]]&lt;1/1/1990,"",IF(Main[[#This Row],[Class]]="C",WORKDAY(Main[[#This Row],[Tech Start Date]],9),IF(Main[[#This Row],[Class]]="B", WORKDAY(Main[[#This Row],[Tech Start Date]],6),IF(Main[[#This Row],[Class]]="A",WORKDAY(Main[[#This Row],[Tech Start Date]],2),""))))</f>
        <v/>
      </c>
      <c r="N757" s="69" t="str">
        <f>IF(Main[[#This Row],[Tech Start Date]]&lt;1/1/1990,"",IF(Main[[#This Row],[Class]]="C",WORKDAY(Main[[#This Row],[Tech Start Date]],19),IF(Main[[#This Row],[Class]]="B", WORKDAY(Main[[#This Row],[Tech Start Date]],12),IF(Main[[#This Row],[Class]]="A",WORKDAY(Main[[#This Row],[Tech Start Date]],4),""))))</f>
        <v/>
      </c>
      <c r="O757" s="69" t="str">
        <f>IF(Main[[#This Row],[Tech Start Date]]&lt;1/1/1990,"",IF(Main[[#This Row],[Class]]="C",WORKDAY(Main[[#This Row],[Tech Start Date]],23),IF(Main[[#This Row],[Class]]="B", WORKDAY(Main[[#This Row],[Tech Start Date]],15),IF(Main[[#This Row],[Class]]="A",WORKDAY(Main[[#This Row],[Tech Start Date]],5),""))))</f>
        <v/>
      </c>
      <c r="P757" s="69" t="str">
        <f>IF(Main[[#This Row],[Tech Start Date]]&lt;1/1/1990,"",IF(Main[[#This Row],[Class]]="C",WORKDAY(Main[[#This Row],[Tech Start Date]],28),IF(Main[[#This Row],[Class]]="B", WORKDAY(Main[[#This Row],[Tech Start Date]],19),IF(Main[[#This Row],[Class]]="A",WORKDAY(Main[[#This Row],[Tech Start Date]],9),""))))</f>
        <v/>
      </c>
      <c r="Q757" s="67"/>
      <c r="R757" s="67"/>
      <c r="S757" s="65" t="s">
        <v>6</v>
      </c>
      <c r="T757" s="70" t="s">
        <v>4</v>
      </c>
      <c r="U757" s="65" t="s">
        <v>14</v>
      </c>
      <c r="V757" s="65" t="s">
        <v>1917</v>
      </c>
      <c r="W757" s="65" t="s">
        <v>1925</v>
      </c>
      <c r="X757" s="65" t="s">
        <v>710</v>
      </c>
      <c r="Y757" s="65" t="s">
        <v>3090</v>
      </c>
      <c r="Z757" s="65" t="s">
        <v>4</v>
      </c>
      <c r="AA757" s="65" t="s">
        <v>3437</v>
      </c>
    </row>
    <row r="758" spans="1:27" ht="17.45" customHeight="1">
      <c r="A758" s="131" t="str">
        <f>IF(priority(Main[[#This Row],[Comments]])&lt;&gt;0, priority(Main[[#This Row],[Comments]]),"")</f>
        <v/>
      </c>
      <c r="B758" s="99" t="s">
        <v>1579</v>
      </c>
      <c r="C758" s="65" t="s">
        <v>4</v>
      </c>
      <c r="D758" s="66" t="s">
        <v>658</v>
      </c>
      <c r="E758" s="67"/>
      <c r="F758" s="67"/>
      <c r="G758" s="64" t="str">
        <f>IF(stdProdLT(Main[[#This Row],[Comments]])=0.1,"N/A",IF(stdProdLT(Main[[#This Row],[Comments]])=0,"",stdProdLT(Main[[#This Row],[Comments]])))</f>
        <v/>
      </c>
      <c r="H758" s="68" t="str">
        <f>IF(AND(Main[[#This Row],[In Stock Date]]&lt;&gt;"",Main[[#This Row],[Revised Due Date]]&lt;&gt;""),Main[[#This Row],[In Stock Date]]-Main[[#This Row],[Revised Due Date]],"")</f>
        <v/>
      </c>
      <c r="I758" s="65" t="s">
        <v>4</v>
      </c>
      <c r="J758" s="65" t="s">
        <v>4</v>
      </c>
      <c r="K758" s="65" t="s">
        <v>4</v>
      </c>
      <c r="L758" s="67"/>
      <c r="M758" s="69" t="str">
        <f>IF(Main[[#This Row],[Tech Start Date]]&lt;1/1/1990,"",IF(Main[[#This Row],[Class]]="C",WORKDAY(Main[[#This Row],[Tech Start Date]],9),IF(Main[[#This Row],[Class]]="B", WORKDAY(Main[[#This Row],[Tech Start Date]],6),IF(Main[[#This Row],[Class]]="A",WORKDAY(Main[[#This Row],[Tech Start Date]],2),""))))</f>
        <v/>
      </c>
      <c r="N758" s="69" t="str">
        <f>IF(Main[[#This Row],[Tech Start Date]]&lt;1/1/1990,"",IF(Main[[#This Row],[Class]]="C",WORKDAY(Main[[#This Row],[Tech Start Date]],19),IF(Main[[#This Row],[Class]]="B", WORKDAY(Main[[#This Row],[Tech Start Date]],12),IF(Main[[#This Row],[Class]]="A",WORKDAY(Main[[#This Row],[Tech Start Date]],4),""))))</f>
        <v/>
      </c>
      <c r="O758" s="69" t="str">
        <f>IF(Main[[#This Row],[Tech Start Date]]&lt;1/1/1990,"",IF(Main[[#This Row],[Class]]="C",WORKDAY(Main[[#This Row],[Tech Start Date]],23),IF(Main[[#This Row],[Class]]="B", WORKDAY(Main[[#This Row],[Tech Start Date]],15),IF(Main[[#This Row],[Class]]="A",WORKDAY(Main[[#This Row],[Tech Start Date]],5),""))))</f>
        <v/>
      </c>
      <c r="P758" s="69" t="str">
        <f>IF(Main[[#This Row],[Tech Start Date]]&lt;1/1/1990,"",IF(Main[[#This Row],[Class]]="C",WORKDAY(Main[[#This Row],[Tech Start Date]],28),IF(Main[[#This Row],[Class]]="B", WORKDAY(Main[[#This Row],[Tech Start Date]],19),IF(Main[[#This Row],[Class]]="A",WORKDAY(Main[[#This Row],[Tech Start Date]],9),""))))</f>
        <v/>
      </c>
      <c r="Q758" s="67"/>
      <c r="R758" s="67"/>
      <c r="S758" s="65" t="s">
        <v>11</v>
      </c>
      <c r="T758" s="70" t="s">
        <v>4</v>
      </c>
      <c r="U758" s="65" t="s">
        <v>12</v>
      </c>
      <c r="V758" s="65" t="s">
        <v>1917</v>
      </c>
      <c r="W758" s="65" t="s">
        <v>1921</v>
      </c>
      <c r="X758" s="65" t="s">
        <v>924</v>
      </c>
      <c r="Y758" s="65" t="s">
        <v>2998</v>
      </c>
      <c r="Z758" s="65" t="s">
        <v>4</v>
      </c>
      <c r="AA758" s="65" t="s">
        <v>3438</v>
      </c>
    </row>
    <row r="759" spans="1:27" ht="17.45" customHeight="1">
      <c r="A759" s="131" t="str">
        <f>IF(priority(Main[[#This Row],[Comments]])&lt;&gt;0, priority(Main[[#This Row],[Comments]]),"")</f>
        <v/>
      </c>
      <c r="B759" s="99" t="s">
        <v>1580</v>
      </c>
      <c r="C759" s="65" t="s">
        <v>4</v>
      </c>
      <c r="D759" s="66" t="s">
        <v>97</v>
      </c>
      <c r="E759" s="67"/>
      <c r="F759" s="67"/>
      <c r="G759" s="64" t="str">
        <f>IF(stdProdLT(Main[[#This Row],[Comments]])=0.1,"N/A",IF(stdProdLT(Main[[#This Row],[Comments]])=0,"",stdProdLT(Main[[#This Row],[Comments]])))</f>
        <v/>
      </c>
      <c r="H759" s="68" t="str">
        <f>IF(AND(Main[[#This Row],[In Stock Date]]&lt;&gt;"",Main[[#This Row],[Revised Due Date]]&lt;&gt;""),Main[[#This Row],[In Stock Date]]-Main[[#This Row],[Revised Due Date]],"")</f>
        <v/>
      </c>
      <c r="I759" s="65" t="s">
        <v>4</v>
      </c>
      <c r="J759" s="65" t="s">
        <v>4</v>
      </c>
      <c r="K759" s="71" t="s">
        <v>4</v>
      </c>
      <c r="L759" s="67"/>
      <c r="M759" s="69" t="str">
        <f>IF(Main[[#This Row],[Tech Start Date]]&lt;1/1/1990,"",IF(Main[[#This Row],[Class]]="C",WORKDAY(Main[[#This Row],[Tech Start Date]],9),IF(Main[[#This Row],[Class]]="B", WORKDAY(Main[[#This Row],[Tech Start Date]],6),IF(Main[[#This Row],[Class]]="A",WORKDAY(Main[[#This Row],[Tech Start Date]],2),""))))</f>
        <v/>
      </c>
      <c r="N759" s="69" t="str">
        <f>IF(Main[[#This Row],[Tech Start Date]]&lt;1/1/1990,"",IF(Main[[#This Row],[Class]]="C",WORKDAY(Main[[#This Row],[Tech Start Date]],19),IF(Main[[#This Row],[Class]]="B", WORKDAY(Main[[#This Row],[Tech Start Date]],12),IF(Main[[#This Row],[Class]]="A",WORKDAY(Main[[#This Row],[Tech Start Date]],4),""))))</f>
        <v/>
      </c>
      <c r="O759" s="69" t="str">
        <f>IF(Main[[#This Row],[Tech Start Date]]&lt;1/1/1990,"",IF(Main[[#This Row],[Class]]="C",WORKDAY(Main[[#This Row],[Tech Start Date]],23),IF(Main[[#This Row],[Class]]="B", WORKDAY(Main[[#This Row],[Tech Start Date]],15),IF(Main[[#This Row],[Class]]="A",WORKDAY(Main[[#This Row],[Tech Start Date]],5),""))))</f>
        <v/>
      </c>
      <c r="P759" s="69" t="str">
        <f>IF(Main[[#This Row],[Tech Start Date]]&lt;1/1/1990,"",IF(Main[[#This Row],[Class]]="C",WORKDAY(Main[[#This Row],[Tech Start Date]],28),IF(Main[[#This Row],[Class]]="B", WORKDAY(Main[[#This Row],[Tech Start Date]],19),IF(Main[[#This Row],[Class]]="A",WORKDAY(Main[[#This Row],[Tech Start Date]],9),""))))</f>
        <v/>
      </c>
      <c r="Q759" s="67">
        <v>40858</v>
      </c>
      <c r="R759" s="67"/>
      <c r="S759" s="65" t="s">
        <v>17</v>
      </c>
      <c r="T759" s="70" t="s">
        <v>4</v>
      </c>
      <c r="U759" s="65" t="s">
        <v>14</v>
      </c>
      <c r="V759" s="65" t="s">
        <v>1917</v>
      </c>
      <c r="W759" s="65" t="s">
        <v>1922</v>
      </c>
      <c r="X759" s="65" t="s">
        <v>50</v>
      </c>
      <c r="Y759" s="65" t="s">
        <v>2965</v>
      </c>
      <c r="Z759" s="65" t="s">
        <v>4</v>
      </c>
      <c r="AA759" s="65" t="s">
        <v>2834</v>
      </c>
    </row>
    <row r="760" spans="1:27" ht="17.45" customHeight="1">
      <c r="A760" s="131" t="str">
        <f>IF(priority(Main[[#This Row],[Comments]])&lt;&gt;0, priority(Main[[#This Row],[Comments]]),"")</f>
        <v/>
      </c>
      <c r="B760" s="99" t="s">
        <v>1853</v>
      </c>
      <c r="C760" s="65" t="s">
        <v>67</v>
      </c>
      <c r="D760" s="66" t="s">
        <v>908</v>
      </c>
      <c r="E760" s="67">
        <v>39981.49428240741</v>
      </c>
      <c r="F760" s="67"/>
      <c r="G760" s="64" t="str">
        <f>IF(stdProdLT(Main[[#This Row],[Comments]])=0.1,"N/A",IF(stdProdLT(Main[[#This Row],[Comments]])=0,"",stdProdLT(Main[[#This Row],[Comments]])))</f>
        <v/>
      </c>
      <c r="H760" s="68" t="str">
        <f>IF(AND(Main[[#This Row],[In Stock Date]]&lt;&gt;"",Main[[#This Row],[Revised Due Date]]&lt;&gt;""),Main[[#This Row],[In Stock Date]]-Main[[#This Row],[Revised Due Date]],"")</f>
        <v/>
      </c>
      <c r="I760" s="65" t="s">
        <v>976</v>
      </c>
      <c r="J760" s="65" t="s">
        <v>4</v>
      </c>
      <c r="K760" s="65" t="s">
        <v>1929</v>
      </c>
      <c r="L760" s="67"/>
      <c r="M760" s="69" t="str">
        <f>IF(Main[[#This Row],[Tech Start Date]]&lt;1/1/1990,"",IF(Main[[#This Row],[Class]]="C",WORKDAY(Main[[#This Row],[Tech Start Date]],9),IF(Main[[#This Row],[Class]]="B", WORKDAY(Main[[#This Row],[Tech Start Date]],6),IF(Main[[#This Row],[Class]]="A",WORKDAY(Main[[#This Row],[Tech Start Date]],2),""))))</f>
        <v/>
      </c>
      <c r="N760" s="69" t="str">
        <f>IF(Main[[#This Row],[Tech Start Date]]&lt;1/1/1990,"",IF(Main[[#This Row],[Class]]="C",WORKDAY(Main[[#This Row],[Tech Start Date]],19),IF(Main[[#This Row],[Class]]="B", WORKDAY(Main[[#This Row],[Tech Start Date]],12),IF(Main[[#This Row],[Class]]="A",WORKDAY(Main[[#This Row],[Tech Start Date]],4),""))))</f>
        <v/>
      </c>
      <c r="O760" s="69" t="str">
        <f>IF(Main[[#This Row],[Tech Start Date]]&lt;1/1/1990,"",IF(Main[[#This Row],[Class]]="C",WORKDAY(Main[[#This Row],[Tech Start Date]],23),IF(Main[[#This Row],[Class]]="B", WORKDAY(Main[[#This Row],[Tech Start Date]],15),IF(Main[[#This Row],[Class]]="A",WORKDAY(Main[[#This Row],[Tech Start Date]],5),""))))</f>
        <v/>
      </c>
      <c r="P760" s="69" t="str">
        <f>IF(Main[[#This Row],[Tech Start Date]]&lt;1/1/1990,"",IF(Main[[#This Row],[Class]]="C",WORKDAY(Main[[#This Row],[Tech Start Date]],28),IF(Main[[#This Row],[Class]]="B", WORKDAY(Main[[#This Row],[Tech Start Date]],19),IF(Main[[#This Row],[Class]]="A",WORKDAY(Main[[#This Row],[Tech Start Date]],9),""))))</f>
        <v/>
      </c>
      <c r="Q760" s="67">
        <v>40057</v>
      </c>
      <c r="R760" s="67">
        <v>40908</v>
      </c>
      <c r="S760" s="65" t="s">
        <v>17</v>
      </c>
      <c r="T760" s="70" t="s">
        <v>4</v>
      </c>
      <c r="U760" s="65" t="s">
        <v>29</v>
      </c>
      <c r="V760" s="65" t="s">
        <v>1920</v>
      </c>
      <c r="W760" s="65" t="s">
        <v>1922</v>
      </c>
      <c r="X760" s="65" t="s">
        <v>2826</v>
      </c>
      <c r="Y760" s="65" t="s">
        <v>3034</v>
      </c>
      <c r="Z760" s="65" t="s">
        <v>415</v>
      </c>
      <c r="AA760" s="65" t="s">
        <v>2864</v>
      </c>
    </row>
    <row r="761" spans="1:27" ht="17.45" customHeight="1">
      <c r="A761" s="131" t="str">
        <f>IF(priority(Main[[#This Row],[Comments]])&lt;&gt;0, priority(Main[[#This Row],[Comments]]),"")</f>
        <v/>
      </c>
      <c r="B761" s="99" t="s">
        <v>1835</v>
      </c>
      <c r="C761" s="65" t="s">
        <v>4</v>
      </c>
      <c r="D761" s="66" t="s">
        <v>887</v>
      </c>
      <c r="E761" s="67">
        <v>40045.443194444444</v>
      </c>
      <c r="F761" s="67"/>
      <c r="G761" s="64" t="str">
        <f>IF(stdProdLT(Main[[#This Row],[Comments]])=0.1,"N/A",IF(stdProdLT(Main[[#This Row],[Comments]])=0,"",stdProdLT(Main[[#This Row],[Comments]])))</f>
        <v/>
      </c>
      <c r="H761" s="68" t="str">
        <f>IF(AND(Main[[#This Row],[In Stock Date]]&lt;&gt;"",Main[[#This Row],[Revised Due Date]]&lt;&gt;""),Main[[#This Row],[In Stock Date]]-Main[[#This Row],[Revised Due Date]],"")</f>
        <v/>
      </c>
      <c r="I761" s="65" t="s">
        <v>888</v>
      </c>
      <c r="J761" s="65" t="s">
        <v>4</v>
      </c>
      <c r="K761" s="65" t="s">
        <v>1929</v>
      </c>
      <c r="L761" s="67"/>
      <c r="M761" s="69" t="str">
        <f>IF(Main[[#This Row],[Tech Start Date]]&lt;1/1/1990,"",IF(Main[[#This Row],[Class]]="C",WORKDAY(Main[[#This Row],[Tech Start Date]],9),IF(Main[[#This Row],[Class]]="B", WORKDAY(Main[[#This Row],[Tech Start Date]],6),IF(Main[[#This Row],[Class]]="A",WORKDAY(Main[[#This Row],[Tech Start Date]],2),""))))</f>
        <v/>
      </c>
      <c r="N761" s="69" t="str">
        <f>IF(Main[[#This Row],[Tech Start Date]]&lt;1/1/1990,"",IF(Main[[#This Row],[Class]]="C",WORKDAY(Main[[#This Row],[Tech Start Date]],19),IF(Main[[#This Row],[Class]]="B", WORKDAY(Main[[#This Row],[Tech Start Date]],12),IF(Main[[#This Row],[Class]]="A",WORKDAY(Main[[#This Row],[Tech Start Date]],4),""))))</f>
        <v/>
      </c>
      <c r="O761" s="69" t="str">
        <f>IF(Main[[#This Row],[Tech Start Date]]&lt;1/1/1990,"",IF(Main[[#This Row],[Class]]="C",WORKDAY(Main[[#This Row],[Tech Start Date]],23),IF(Main[[#This Row],[Class]]="B", WORKDAY(Main[[#This Row],[Tech Start Date]],15),IF(Main[[#This Row],[Class]]="A",WORKDAY(Main[[#This Row],[Tech Start Date]],5),""))))</f>
        <v/>
      </c>
      <c r="P761" s="69" t="str">
        <f>IF(Main[[#This Row],[Tech Start Date]]&lt;1/1/1990,"",IF(Main[[#This Row],[Class]]="C",WORKDAY(Main[[#This Row],[Tech Start Date]],28),IF(Main[[#This Row],[Class]]="B", WORKDAY(Main[[#This Row],[Tech Start Date]],19),IF(Main[[#This Row],[Class]]="A",WORKDAY(Main[[#This Row],[Tech Start Date]],9),""))))</f>
        <v/>
      </c>
      <c r="Q761" s="67">
        <v>40359</v>
      </c>
      <c r="R761" s="67">
        <v>40420</v>
      </c>
      <c r="S761" s="65" t="s">
        <v>6</v>
      </c>
      <c r="T761" s="70" t="s">
        <v>4</v>
      </c>
      <c r="U761" s="65" t="s">
        <v>29</v>
      </c>
      <c r="V761" s="65" t="s">
        <v>1917</v>
      </c>
      <c r="W761" s="65" t="s">
        <v>1921</v>
      </c>
      <c r="X761" s="65" t="s">
        <v>971</v>
      </c>
      <c r="Y761" s="65" t="s">
        <v>3091</v>
      </c>
      <c r="Z761" s="65" t="s">
        <v>4</v>
      </c>
      <c r="AA761" s="65" t="s">
        <v>971</v>
      </c>
    </row>
    <row r="762" spans="1:27" ht="17.45" customHeight="1">
      <c r="A762" s="131" t="str">
        <f>IF(priority(Main[[#This Row],[Comments]])&lt;&gt;0, priority(Main[[#This Row],[Comments]]),"")</f>
        <v/>
      </c>
      <c r="B762" s="99" t="s">
        <v>1582</v>
      </c>
      <c r="C762" s="65" t="s">
        <v>47</v>
      </c>
      <c r="D762" s="66" t="s">
        <v>661</v>
      </c>
      <c r="E762" s="67"/>
      <c r="F762" s="67"/>
      <c r="G762" s="64" t="str">
        <f>IF(stdProdLT(Main[[#This Row],[Comments]])=0.1,"N/A",IF(stdProdLT(Main[[#This Row],[Comments]])=0,"",stdProdLT(Main[[#This Row],[Comments]])))</f>
        <v/>
      </c>
      <c r="H762" s="68" t="str">
        <f>IF(AND(Main[[#This Row],[In Stock Date]]&lt;&gt;"",Main[[#This Row],[Revised Due Date]]&lt;&gt;""),Main[[#This Row],[In Stock Date]]-Main[[#This Row],[Revised Due Date]],"")</f>
        <v/>
      </c>
      <c r="I762" s="65" t="s">
        <v>4</v>
      </c>
      <c r="J762" s="65" t="s">
        <v>4</v>
      </c>
      <c r="K762" s="65" t="s">
        <v>4</v>
      </c>
      <c r="L762" s="67"/>
      <c r="M762" s="69" t="str">
        <f>IF(Main[[#This Row],[Tech Start Date]]&lt;1/1/1990,"",IF(Main[[#This Row],[Class]]="C",WORKDAY(Main[[#This Row],[Tech Start Date]],9),IF(Main[[#This Row],[Class]]="B", WORKDAY(Main[[#This Row],[Tech Start Date]],6),IF(Main[[#This Row],[Class]]="A",WORKDAY(Main[[#This Row],[Tech Start Date]],2),""))))</f>
        <v/>
      </c>
      <c r="N762" s="69" t="str">
        <f>IF(Main[[#This Row],[Tech Start Date]]&lt;1/1/1990,"",IF(Main[[#This Row],[Class]]="C",WORKDAY(Main[[#This Row],[Tech Start Date]],19),IF(Main[[#This Row],[Class]]="B", WORKDAY(Main[[#This Row],[Tech Start Date]],12),IF(Main[[#This Row],[Class]]="A",WORKDAY(Main[[#This Row],[Tech Start Date]],4),""))))</f>
        <v/>
      </c>
      <c r="O762" s="69" t="str">
        <f>IF(Main[[#This Row],[Tech Start Date]]&lt;1/1/1990,"",IF(Main[[#This Row],[Class]]="C",WORKDAY(Main[[#This Row],[Tech Start Date]],23),IF(Main[[#This Row],[Class]]="B", WORKDAY(Main[[#This Row],[Tech Start Date]],15),IF(Main[[#This Row],[Class]]="A",WORKDAY(Main[[#This Row],[Tech Start Date]],5),""))))</f>
        <v/>
      </c>
      <c r="P762" s="69" t="str">
        <f>IF(Main[[#This Row],[Tech Start Date]]&lt;1/1/1990,"",IF(Main[[#This Row],[Class]]="C",WORKDAY(Main[[#This Row],[Tech Start Date]],28),IF(Main[[#This Row],[Class]]="B", WORKDAY(Main[[#This Row],[Tech Start Date]],19),IF(Main[[#This Row],[Class]]="A",WORKDAY(Main[[#This Row],[Tech Start Date]],9),""))))</f>
        <v/>
      </c>
      <c r="Q762" s="67"/>
      <c r="R762" s="67"/>
      <c r="S762" s="65" t="s">
        <v>17</v>
      </c>
      <c r="T762" s="70" t="s">
        <v>4</v>
      </c>
      <c r="U762" s="65" t="s">
        <v>14</v>
      </c>
      <c r="V762" s="65" t="s">
        <v>1920</v>
      </c>
      <c r="W762" s="65" t="s">
        <v>4</v>
      </c>
      <c r="X762" s="65" t="s">
        <v>2865</v>
      </c>
      <c r="Y762" s="65" t="s">
        <v>2954</v>
      </c>
      <c r="Z762" s="65" t="s">
        <v>4</v>
      </c>
      <c r="AA762" s="65" t="s">
        <v>2865</v>
      </c>
    </row>
    <row r="763" spans="1:27" ht="17.45" customHeight="1">
      <c r="A763" s="131" t="str">
        <f>IF(priority(Main[[#This Row],[Comments]])&lt;&gt;0, priority(Main[[#This Row],[Comments]]),"")</f>
        <v/>
      </c>
      <c r="B763" s="99" t="s">
        <v>1583</v>
      </c>
      <c r="C763" s="65" t="s">
        <v>277</v>
      </c>
      <c r="D763" s="66" t="s">
        <v>662</v>
      </c>
      <c r="E763" s="67"/>
      <c r="F763" s="67">
        <v>40567</v>
      </c>
      <c r="G763" s="64" t="str">
        <f>IF(stdProdLT(Main[[#This Row],[Comments]])=0.1,"N/A",IF(stdProdLT(Main[[#This Row],[Comments]])=0,"",stdProdLT(Main[[#This Row],[Comments]])))</f>
        <v/>
      </c>
      <c r="H763" s="68" t="str">
        <f>IF(AND(Main[[#This Row],[In Stock Date]]&lt;&gt;"",Main[[#This Row],[Revised Due Date]]&lt;&gt;""),Main[[#This Row],[In Stock Date]]-Main[[#This Row],[Revised Due Date]],"")</f>
        <v/>
      </c>
      <c r="I763" s="65" t="s">
        <v>4</v>
      </c>
      <c r="J763" s="65" t="s">
        <v>4</v>
      </c>
      <c r="K763" s="65" t="s">
        <v>4</v>
      </c>
      <c r="L763" s="67"/>
      <c r="M763" s="69" t="str">
        <f>IF(Main[[#This Row],[Tech Start Date]]&lt;1/1/1990,"",IF(Main[[#This Row],[Class]]="C",WORKDAY(Main[[#This Row],[Tech Start Date]],9),IF(Main[[#This Row],[Class]]="B", WORKDAY(Main[[#This Row],[Tech Start Date]],6),IF(Main[[#This Row],[Class]]="A",WORKDAY(Main[[#This Row],[Tech Start Date]],2),""))))</f>
        <v/>
      </c>
      <c r="N763" s="69" t="str">
        <f>IF(Main[[#This Row],[Tech Start Date]]&lt;1/1/1990,"",IF(Main[[#This Row],[Class]]="C",WORKDAY(Main[[#This Row],[Tech Start Date]],19),IF(Main[[#This Row],[Class]]="B", WORKDAY(Main[[#This Row],[Tech Start Date]],12),IF(Main[[#This Row],[Class]]="A",WORKDAY(Main[[#This Row],[Tech Start Date]],4),""))))</f>
        <v/>
      </c>
      <c r="O763" s="69" t="str">
        <f>IF(Main[[#This Row],[Tech Start Date]]&lt;1/1/1990,"",IF(Main[[#This Row],[Class]]="C",WORKDAY(Main[[#This Row],[Tech Start Date]],23),IF(Main[[#This Row],[Class]]="B", WORKDAY(Main[[#This Row],[Tech Start Date]],15),IF(Main[[#This Row],[Class]]="A",WORKDAY(Main[[#This Row],[Tech Start Date]],5),""))))</f>
        <v/>
      </c>
      <c r="P763" s="69" t="str">
        <f>IF(Main[[#This Row],[Tech Start Date]]&lt;1/1/1990,"",IF(Main[[#This Row],[Class]]="C",WORKDAY(Main[[#This Row],[Tech Start Date]],28),IF(Main[[#This Row],[Class]]="B", WORKDAY(Main[[#This Row],[Tech Start Date]],19),IF(Main[[#This Row],[Class]]="A",WORKDAY(Main[[#This Row],[Tech Start Date]],9),""))))</f>
        <v/>
      </c>
      <c r="Q763" s="67">
        <v>40427</v>
      </c>
      <c r="R763" s="67"/>
      <c r="S763" s="65" t="s">
        <v>11</v>
      </c>
      <c r="T763" s="70" t="s">
        <v>4</v>
      </c>
      <c r="U763" s="65" t="s">
        <v>12</v>
      </c>
      <c r="V763" s="65" t="s">
        <v>1917</v>
      </c>
      <c r="W763" s="65" t="s">
        <v>1925</v>
      </c>
      <c r="X763" s="65" t="s">
        <v>2849</v>
      </c>
      <c r="Y763" s="65" t="s">
        <v>4</v>
      </c>
      <c r="Z763" s="65" t="s">
        <v>4</v>
      </c>
      <c r="AA763" s="65" t="s">
        <v>2849</v>
      </c>
    </row>
    <row r="764" spans="1:27" ht="17.45" customHeight="1">
      <c r="A764" s="131" t="str">
        <f>IF(priority(Main[[#This Row],[Comments]])&lt;&gt;0, priority(Main[[#This Row],[Comments]]),"")</f>
        <v/>
      </c>
      <c r="B764" s="99" t="s">
        <v>2411</v>
      </c>
      <c r="C764" s="65" t="s">
        <v>4</v>
      </c>
      <c r="D764" s="66" t="s">
        <v>2737</v>
      </c>
      <c r="E764" s="67">
        <v>40905.580543981479</v>
      </c>
      <c r="F764" s="67"/>
      <c r="G764" s="64" t="str">
        <f>IF(stdProdLT(Main[[#This Row],[Comments]])=0.1,"N/A",IF(stdProdLT(Main[[#This Row],[Comments]])=0,"",stdProdLT(Main[[#This Row],[Comments]])))</f>
        <v/>
      </c>
      <c r="H764" s="68" t="str">
        <f>IF(AND(Main[[#This Row],[In Stock Date]]&lt;&gt;"",Main[[#This Row],[Revised Due Date]]&lt;&gt;""),Main[[#This Row],[In Stock Date]]-Main[[#This Row],[Revised Due Date]],"")</f>
        <v/>
      </c>
      <c r="I764" s="65" t="s">
        <v>2047</v>
      </c>
      <c r="J764" s="65" t="s">
        <v>28</v>
      </c>
      <c r="K764" s="65" t="s">
        <v>1926</v>
      </c>
      <c r="L764" s="67"/>
      <c r="M764" s="69" t="str">
        <f>IF(Main[[#This Row],[Tech Start Date]]&lt;1/1/1990,"",IF(Main[[#This Row],[Class]]="C",WORKDAY(Main[[#This Row],[Tech Start Date]],9),IF(Main[[#This Row],[Class]]="B", WORKDAY(Main[[#This Row],[Tech Start Date]],6),IF(Main[[#This Row],[Class]]="A",WORKDAY(Main[[#This Row],[Tech Start Date]],2),""))))</f>
        <v/>
      </c>
      <c r="N764" s="69" t="str">
        <f>IF(Main[[#This Row],[Tech Start Date]]&lt;1/1/1990,"",IF(Main[[#This Row],[Class]]="C",WORKDAY(Main[[#This Row],[Tech Start Date]],19),IF(Main[[#This Row],[Class]]="B", WORKDAY(Main[[#This Row],[Tech Start Date]],12),IF(Main[[#This Row],[Class]]="A",WORKDAY(Main[[#This Row],[Tech Start Date]],4),""))))</f>
        <v/>
      </c>
      <c r="O764" s="69" t="str">
        <f>IF(Main[[#This Row],[Tech Start Date]]&lt;1/1/1990,"",IF(Main[[#This Row],[Class]]="C",WORKDAY(Main[[#This Row],[Tech Start Date]],23),IF(Main[[#This Row],[Class]]="B", WORKDAY(Main[[#This Row],[Tech Start Date]],15),IF(Main[[#This Row],[Class]]="A",WORKDAY(Main[[#This Row],[Tech Start Date]],5),""))))</f>
        <v/>
      </c>
      <c r="P764" s="69" t="str">
        <f>IF(Main[[#This Row],[Tech Start Date]]&lt;1/1/1990,"",IF(Main[[#This Row],[Class]]="C",WORKDAY(Main[[#This Row],[Tech Start Date]],28),IF(Main[[#This Row],[Class]]="B", WORKDAY(Main[[#This Row],[Tech Start Date]],19),IF(Main[[#This Row],[Class]]="A",WORKDAY(Main[[#This Row],[Tech Start Date]],9),""))))</f>
        <v/>
      </c>
      <c r="Q764" s="67">
        <v>40967</v>
      </c>
      <c r="R764" s="67"/>
      <c r="S764" s="65" t="s">
        <v>6</v>
      </c>
      <c r="T764" s="70" t="s">
        <v>4</v>
      </c>
      <c r="U764" s="65" t="s">
        <v>29</v>
      </c>
      <c r="V764" s="65" t="s">
        <v>1920</v>
      </c>
      <c r="W764" s="65" t="s">
        <v>1921</v>
      </c>
      <c r="X764" s="65" t="s">
        <v>30</v>
      </c>
      <c r="Y764" s="65" t="s">
        <v>2946</v>
      </c>
      <c r="Z764" s="65" t="s">
        <v>30</v>
      </c>
      <c r="AA764" s="65" t="s">
        <v>30</v>
      </c>
    </row>
    <row r="765" spans="1:27" ht="17.45" customHeight="1">
      <c r="A765" s="131" t="str">
        <f>IF(priority(Main[[#This Row],[Comments]])&lt;&gt;0, priority(Main[[#This Row],[Comments]]),"")</f>
        <v/>
      </c>
      <c r="B765" s="99" t="s">
        <v>1586</v>
      </c>
      <c r="C765" s="65" t="s">
        <v>72</v>
      </c>
      <c r="D765" s="66" t="s">
        <v>664</v>
      </c>
      <c r="E765" s="67"/>
      <c r="F765" s="67"/>
      <c r="G765" s="64" t="str">
        <f>IF(stdProdLT(Main[[#This Row],[Comments]])=0.1,"N/A",IF(stdProdLT(Main[[#This Row],[Comments]])=0,"",stdProdLT(Main[[#This Row],[Comments]])))</f>
        <v/>
      </c>
      <c r="H765" s="68" t="str">
        <f>IF(AND(Main[[#This Row],[In Stock Date]]&lt;&gt;"",Main[[#This Row],[Revised Due Date]]&lt;&gt;""),Main[[#This Row],[In Stock Date]]-Main[[#This Row],[Revised Due Date]],"")</f>
        <v/>
      </c>
      <c r="I765" s="65" t="s">
        <v>4</v>
      </c>
      <c r="J765" s="65" t="s">
        <v>4</v>
      </c>
      <c r="K765" s="65" t="s">
        <v>4</v>
      </c>
      <c r="L765" s="67"/>
      <c r="M765" s="69" t="str">
        <f>IF(Main[[#This Row],[Tech Start Date]]&lt;1/1/1990,"",IF(Main[[#This Row],[Class]]="C",WORKDAY(Main[[#This Row],[Tech Start Date]],9),IF(Main[[#This Row],[Class]]="B", WORKDAY(Main[[#This Row],[Tech Start Date]],6),IF(Main[[#This Row],[Class]]="A",WORKDAY(Main[[#This Row],[Tech Start Date]],2),""))))</f>
        <v/>
      </c>
      <c r="N765" s="69" t="str">
        <f>IF(Main[[#This Row],[Tech Start Date]]&lt;1/1/1990,"",IF(Main[[#This Row],[Class]]="C",WORKDAY(Main[[#This Row],[Tech Start Date]],19),IF(Main[[#This Row],[Class]]="B", WORKDAY(Main[[#This Row],[Tech Start Date]],12),IF(Main[[#This Row],[Class]]="A",WORKDAY(Main[[#This Row],[Tech Start Date]],4),""))))</f>
        <v/>
      </c>
      <c r="O765" s="69" t="str">
        <f>IF(Main[[#This Row],[Tech Start Date]]&lt;1/1/1990,"",IF(Main[[#This Row],[Class]]="C",WORKDAY(Main[[#This Row],[Tech Start Date]],23),IF(Main[[#This Row],[Class]]="B", WORKDAY(Main[[#This Row],[Tech Start Date]],15),IF(Main[[#This Row],[Class]]="A",WORKDAY(Main[[#This Row],[Tech Start Date]],5),""))))</f>
        <v/>
      </c>
      <c r="P765" s="69" t="str">
        <f>IF(Main[[#This Row],[Tech Start Date]]&lt;1/1/1990,"",IF(Main[[#This Row],[Class]]="C",WORKDAY(Main[[#This Row],[Tech Start Date]],28),IF(Main[[#This Row],[Class]]="B", WORKDAY(Main[[#This Row],[Tech Start Date]],19),IF(Main[[#This Row],[Class]]="A",WORKDAY(Main[[#This Row],[Tech Start Date]],9),""))))</f>
        <v/>
      </c>
      <c r="Q765" s="67"/>
      <c r="R765" s="67"/>
      <c r="S765" s="65" t="s">
        <v>49</v>
      </c>
      <c r="T765" s="70" t="s">
        <v>4</v>
      </c>
      <c r="U765" s="65" t="s">
        <v>12</v>
      </c>
      <c r="V765" s="65" t="s">
        <v>1918</v>
      </c>
      <c r="W765" s="65" t="s">
        <v>1919</v>
      </c>
      <c r="X765" s="65" t="s">
        <v>2907</v>
      </c>
      <c r="Y765" s="65" t="s">
        <v>3085</v>
      </c>
      <c r="Z765" s="65" t="s">
        <v>4</v>
      </c>
      <c r="AA765" s="65" t="s">
        <v>2907</v>
      </c>
    </row>
    <row r="766" spans="1:27" ht="17.45" customHeight="1">
      <c r="A766" s="131" t="str">
        <f>IF(priority(Main[[#This Row],[Comments]])&lt;&gt;0, priority(Main[[#This Row],[Comments]]),"")</f>
        <v/>
      </c>
      <c r="B766" s="99" t="s">
        <v>1587</v>
      </c>
      <c r="C766" s="65" t="s">
        <v>33</v>
      </c>
      <c r="D766" s="66" t="s">
        <v>665</v>
      </c>
      <c r="E766" s="67"/>
      <c r="F766" s="67">
        <v>40566</v>
      </c>
      <c r="G766" s="64" t="str">
        <f>IF(stdProdLT(Main[[#This Row],[Comments]])=0.1,"N/A",IF(stdProdLT(Main[[#This Row],[Comments]])=0,"",stdProdLT(Main[[#This Row],[Comments]])))</f>
        <v/>
      </c>
      <c r="H766" s="68" t="str">
        <f>IF(AND(Main[[#This Row],[In Stock Date]]&lt;&gt;"",Main[[#This Row],[Revised Due Date]]&lt;&gt;""),Main[[#This Row],[In Stock Date]]-Main[[#This Row],[Revised Due Date]],"")</f>
        <v/>
      </c>
      <c r="I766" s="65" t="s">
        <v>4</v>
      </c>
      <c r="J766" s="65" t="s">
        <v>4</v>
      </c>
      <c r="K766" s="71" t="s">
        <v>4</v>
      </c>
      <c r="L766" s="67"/>
      <c r="M766" s="69" t="str">
        <f>IF(Main[[#This Row],[Tech Start Date]]&lt;1/1/1990,"",IF(Main[[#This Row],[Class]]="C",WORKDAY(Main[[#This Row],[Tech Start Date]],9),IF(Main[[#This Row],[Class]]="B", WORKDAY(Main[[#This Row],[Tech Start Date]],6),IF(Main[[#This Row],[Class]]="A",WORKDAY(Main[[#This Row],[Tech Start Date]],2),""))))</f>
        <v/>
      </c>
      <c r="N766" s="69" t="str">
        <f>IF(Main[[#This Row],[Tech Start Date]]&lt;1/1/1990,"",IF(Main[[#This Row],[Class]]="C",WORKDAY(Main[[#This Row],[Tech Start Date]],19),IF(Main[[#This Row],[Class]]="B", WORKDAY(Main[[#This Row],[Tech Start Date]],12),IF(Main[[#This Row],[Class]]="A",WORKDAY(Main[[#This Row],[Tech Start Date]],4),""))))</f>
        <v/>
      </c>
      <c r="O766" s="69" t="str">
        <f>IF(Main[[#This Row],[Tech Start Date]]&lt;1/1/1990,"",IF(Main[[#This Row],[Class]]="C",WORKDAY(Main[[#This Row],[Tech Start Date]],23),IF(Main[[#This Row],[Class]]="B", WORKDAY(Main[[#This Row],[Tech Start Date]],15),IF(Main[[#This Row],[Class]]="A",WORKDAY(Main[[#This Row],[Tech Start Date]],5),""))))</f>
        <v/>
      </c>
      <c r="P766" s="69" t="str">
        <f>IF(Main[[#This Row],[Tech Start Date]]&lt;1/1/1990,"",IF(Main[[#This Row],[Class]]="C",WORKDAY(Main[[#This Row],[Tech Start Date]],28),IF(Main[[#This Row],[Class]]="B", WORKDAY(Main[[#This Row],[Tech Start Date]],19),IF(Main[[#This Row],[Class]]="A",WORKDAY(Main[[#This Row],[Tech Start Date]],9),""))))</f>
        <v/>
      </c>
      <c r="Q766" s="67">
        <v>40532</v>
      </c>
      <c r="R766" s="67"/>
      <c r="S766" s="65" t="s">
        <v>11</v>
      </c>
      <c r="T766" s="70" t="s">
        <v>4</v>
      </c>
      <c r="U766" s="65" t="s">
        <v>12</v>
      </c>
      <c r="V766" s="65" t="s">
        <v>1918</v>
      </c>
      <c r="W766" s="65" t="s">
        <v>1925</v>
      </c>
      <c r="X766" s="65" t="s">
        <v>2881</v>
      </c>
      <c r="Y766" s="65" t="s">
        <v>3027</v>
      </c>
      <c r="Z766" s="65" t="s">
        <v>4</v>
      </c>
      <c r="AA766" s="65" t="s">
        <v>2881</v>
      </c>
    </row>
    <row r="767" spans="1:27" ht="17.45" customHeight="1">
      <c r="A767" s="131" t="str">
        <f>IF(priority(Main[[#This Row],[Comments]])&lt;&gt;0, priority(Main[[#This Row],[Comments]]),"")</f>
        <v/>
      </c>
      <c r="B767" s="99" t="s">
        <v>1588</v>
      </c>
      <c r="C767" s="65" t="s">
        <v>347</v>
      </c>
      <c r="D767" s="66" t="s">
        <v>666</v>
      </c>
      <c r="E767" s="67"/>
      <c r="F767" s="67"/>
      <c r="G767" s="64" t="str">
        <f>IF(stdProdLT(Main[[#This Row],[Comments]])=0.1,"N/A",IF(stdProdLT(Main[[#This Row],[Comments]])=0,"",stdProdLT(Main[[#This Row],[Comments]])))</f>
        <v/>
      </c>
      <c r="H767" s="68" t="str">
        <f>IF(AND(Main[[#This Row],[In Stock Date]]&lt;&gt;"",Main[[#This Row],[Revised Due Date]]&lt;&gt;""),Main[[#This Row],[In Stock Date]]-Main[[#This Row],[Revised Due Date]],"")</f>
        <v/>
      </c>
      <c r="I767" s="65" t="s">
        <v>4</v>
      </c>
      <c r="J767" s="65" t="s">
        <v>4</v>
      </c>
      <c r="K767" s="65" t="s">
        <v>4</v>
      </c>
      <c r="L767" s="67"/>
      <c r="M767" s="69" t="str">
        <f>IF(Main[[#This Row],[Tech Start Date]]&lt;1/1/1990,"",IF(Main[[#This Row],[Class]]="C",WORKDAY(Main[[#This Row],[Tech Start Date]],9),IF(Main[[#This Row],[Class]]="B", WORKDAY(Main[[#This Row],[Tech Start Date]],6),IF(Main[[#This Row],[Class]]="A",WORKDAY(Main[[#This Row],[Tech Start Date]],2),""))))</f>
        <v/>
      </c>
      <c r="N767" s="69" t="str">
        <f>IF(Main[[#This Row],[Tech Start Date]]&lt;1/1/1990,"",IF(Main[[#This Row],[Class]]="C",WORKDAY(Main[[#This Row],[Tech Start Date]],19),IF(Main[[#This Row],[Class]]="B", WORKDAY(Main[[#This Row],[Tech Start Date]],12),IF(Main[[#This Row],[Class]]="A",WORKDAY(Main[[#This Row],[Tech Start Date]],4),""))))</f>
        <v/>
      </c>
      <c r="O767" s="69" t="str">
        <f>IF(Main[[#This Row],[Tech Start Date]]&lt;1/1/1990,"",IF(Main[[#This Row],[Class]]="C",WORKDAY(Main[[#This Row],[Tech Start Date]],23),IF(Main[[#This Row],[Class]]="B", WORKDAY(Main[[#This Row],[Tech Start Date]],15),IF(Main[[#This Row],[Class]]="A",WORKDAY(Main[[#This Row],[Tech Start Date]],5),""))))</f>
        <v/>
      </c>
      <c r="P767" s="69" t="str">
        <f>IF(Main[[#This Row],[Tech Start Date]]&lt;1/1/1990,"",IF(Main[[#This Row],[Class]]="C",WORKDAY(Main[[#This Row],[Tech Start Date]],28),IF(Main[[#This Row],[Class]]="B", WORKDAY(Main[[#This Row],[Tech Start Date]],19),IF(Main[[#This Row],[Class]]="A",WORKDAY(Main[[#This Row],[Tech Start Date]],9),""))))</f>
        <v/>
      </c>
      <c r="Q767" s="67">
        <v>40494</v>
      </c>
      <c r="R767" s="67"/>
      <c r="S767" s="65" t="s">
        <v>11</v>
      </c>
      <c r="T767" s="70" t="s">
        <v>4</v>
      </c>
      <c r="U767" s="65" t="s">
        <v>14</v>
      </c>
      <c r="V767" s="65" t="s">
        <v>1927</v>
      </c>
      <c r="W767" s="65" t="s">
        <v>4</v>
      </c>
      <c r="X767" s="65" t="s">
        <v>2830</v>
      </c>
      <c r="Y767" s="65" t="s">
        <v>2949</v>
      </c>
      <c r="Z767" s="65" t="s">
        <v>4</v>
      </c>
      <c r="AA767" s="65" t="s">
        <v>2830</v>
      </c>
    </row>
    <row r="768" spans="1:27" ht="17.45" customHeight="1">
      <c r="A768" s="131" t="str">
        <f>IF(priority(Main[[#This Row],[Comments]])&lt;&gt;0, priority(Main[[#This Row],[Comments]]),"")</f>
        <v/>
      </c>
      <c r="B768" s="99" t="s">
        <v>1589</v>
      </c>
      <c r="C768" s="65" t="s">
        <v>4</v>
      </c>
      <c r="D768" s="66" t="s">
        <v>667</v>
      </c>
      <c r="E768" s="67">
        <v>40462.471782407411</v>
      </c>
      <c r="F768" s="67"/>
      <c r="G768" s="64" t="str">
        <f>IF(stdProdLT(Main[[#This Row],[Comments]])=0.1,"N/A",IF(stdProdLT(Main[[#This Row],[Comments]])=0,"",stdProdLT(Main[[#This Row],[Comments]])))</f>
        <v/>
      </c>
      <c r="H768" s="68" t="str">
        <f>IF(AND(Main[[#This Row],[In Stock Date]]&lt;&gt;"",Main[[#This Row],[Revised Due Date]]&lt;&gt;""),Main[[#This Row],[In Stock Date]]-Main[[#This Row],[Revised Due Date]],"")</f>
        <v/>
      </c>
      <c r="I768" s="65" t="s">
        <v>4</v>
      </c>
      <c r="J768" s="65" t="s">
        <v>4</v>
      </c>
      <c r="K768" s="65" t="s">
        <v>4</v>
      </c>
      <c r="L768" s="67"/>
      <c r="M768" s="69" t="str">
        <f>IF(Main[[#This Row],[Tech Start Date]]&lt;1/1/1990,"",IF(Main[[#This Row],[Class]]="C",WORKDAY(Main[[#This Row],[Tech Start Date]],9),IF(Main[[#This Row],[Class]]="B", WORKDAY(Main[[#This Row],[Tech Start Date]],6),IF(Main[[#This Row],[Class]]="A",WORKDAY(Main[[#This Row],[Tech Start Date]],2),""))))</f>
        <v/>
      </c>
      <c r="N768" s="69" t="str">
        <f>IF(Main[[#This Row],[Tech Start Date]]&lt;1/1/1990,"",IF(Main[[#This Row],[Class]]="C",WORKDAY(Main[[#This Row],[Tech Start Date]],19),IF(Main[[#This Row],[Class]]="B", WORKDAY(Main[[#This Row],[Tech Start Date]],12),IF(Main[[#This Row],[Class]]="A",WORKDAY(Main[[#This Row],[Tech Start Date]],4),""))))</f>
        <v/>
      </c>
      <c r="O768" s="69" t="str">
        <f>IF(Main[[#This Row],[Tech Start Date]]&lt;1/1/1990,"",IF(Main[[#This Row],[Class]]="C",WORKDAY(Main[[#This Row],[Tech Start Date]],23),IF(Main[[#This Row],[Class]]="B", WORKDAY(Main[[#This Row],[Tech Start Date]],15),IF(Main[[#This Row],[Class]]="A",WORKDAY(Main[[#This Row],[Tech Start Date]],5),""))))</f>
        <v/>
      </c>
      <c r="P768" s="69" t="str">
        <f>IF(Main[[#This Row],[Tech Start Date]]&lt;1/1/1990,"",IF(Main[[#This Row],[Class]]="C",WORKDAY(Main[[#This Row],[Tech Start Date]],28),IF(Main[[#This Row],[Class]]="B", WORKDAY(Main[[#This Row],[Tech Start Date]],19),IF(Main[[#This Row],[Class]]="A",WORKDAY(Main[[#This Row],[Tech Start Date]],9),""))))</f>
        <v/>
      </c>
      <c r="Q768" s="67"/>
      <c r="R768" s="67"/>
      <c r="S768" s="65" t="s">
        <v>6</v>
      </c>
      <c r="T768" s="70" t="s">
        <v>4</v>
      </c>
      <c r="U768" s="65" t="s">
        <v>7</v>
      </c>
      <c r="V768" s="65" t="s">
        <v>1917</v>
      </c>
      <c r="W768" s="65" t="s">
        <v>1921</v>
      </c>
      <c r="X768" s="65" t="s">
        <v>2872</v>
      </c>
      <c r="Y768" s="65" t="s">
        <v>3006</v>
      </c>
      <c r="Z768" s="65" t="s">
        <v>4</v>
      </c>
      <c r="AA768" s="65" t="s">
        <v>2872</v>
      </c>
    </row>
    <row r="769" spans="1:27" ht="17.45" customHeight="1">
      <c r="A769" s="131" t="str">
        <f>IF(priority(Main[[#This Row],[Comments]])&lt;&gt;0, priority(Main[[#This Row],[Comments]]),"")</f>
        <v/>
      </c>
      <c r="B769" s="99" t="s">
        <v>1590</v>
      </c>
      <c r="C769" s="65" t="s">
        <v>4</v>
      </c>
      <c r="D769" s="66" t="s">
        <v>39</v>
      </c>
      <c r="E769" s="67"/>
      <c r="F769" s="67"/>
      <c r="G769" s="64" t="str">
        <f>IF(stdProdLT(Main[[#This Row],[Comments]])=0.1,"N/A",IF(stdProdLT(Main[[#This Row],[Comments]])=0,"",stdProdLT(Main[[#This Row],[Comments]])))</f>
        <v/>
      </c>
      <c r="H769" s="68" t="str">
        <f>IF(AND(Main[[#This Row],[In Stock Date]]&lt;&gt;"",Main[[#This Row],[Revised Due Date]]&lt;&gt;""),Main[[#This Row],[In Stock Date]]-Main[[#This Row],[Revised Due Date]],"")</f>
        <v/>
      </c>
      <c r="I769" s="65" t="s">
        <v>4</v>
      </c>
      <c r="J769" s="65" t="s">
        <v>4</v>
      </c>
      <c r="K769" s="71" t="s">
        <v>4</v>
      </c>
      <c r="L769" s="67"/>
      <c r="M769" s="69" t="str">
        <f>IF(Main[[#This Row],[Tech Start Date]]&lt;1/1/1990,"",IF(Main[[#This Row],[Class]]="C",WORKDAY(Main[[#This Row],[Tech Start Date]],9),IF(Main[[#This Row],[Class]]="B", WORKDAY(Main[[#This Row],[Tech Start Date]],6),IF(Main[[#This Row],[Class]]="A",WORKDAY(Main[[#This Row],[Tech Start Date]],2),""))))</f>
        <v/>
      </c>
      <c r="N769" s="69" t="str">
        <f>IF(Main[[#This Row],[Tech Start Date]]&lt;1/1/1990,"",IF(Main[[#This Row],[Class]]="C",WORKDAY(Main[[#This Row],[Tech Start Date]],19),IF(Main[[#This Row],[Class]]="B", WORKDAY(Main[[#This Row],[Tech Start Date]],12),IF(Main[[#This Row],[Class]]="A",WORKDAY(Main[[#This Row],[Tech Start Date]],4),""))))</f>
        <v/>
      </c>
      <c r="O769" s="69" t="str">
        <f>IF(Main[[#This Row],[Tech Start Date]]&lt;1/1/1990,"",IF(Main[[#This Row],[Class]]="C",WORKDAY(Main[[#This Row],[Tech Start Date]],23),IF(Main[[#This Row],[Class]]="B", WORKDAY(Main[[#This Row],[Tech Start Date]],15),IF(Main[[#This Row],[Class]]="A",WORKDAY(Main[[#This Row],[Tech Start Date]],5),""))))</f>
        <v/>
      </c>
      <c r="P769" s="69" t="str">
        <f>IF(Main[[#This Row],[Tech Start Date]]&lt;1/1/1990,"",IF(Main[[#This Row],[Class]]="C",WORKDAY(Main[[#This Row],[Tech Start Date]],28),IF(Main[[#This Row],[Class]]="B", WORKDAY(Main[[#This Row],[Tech Start Date]],19),IF(Main[[#This Row],[Class]]="A",WORKDAY(Main[[#This Row],[Tech Start Date]],9),""))))</f>
        <v/>
      </c>
      <c r="Q769" s="67">
        <v>40669</v>
      </c>
      <c r="R769" s="67"/>
      <c r="S769" s="65" t="s">
        <v>6</v>
      </c>
      <c r="T769" s="70" t="s">
        <v>4</v>
      </c>
      <c r="U769" s="65" t="s">
        <v>14</v>
      </c>
      <c r="V769" s="65" t="s">
        <v>1920</v>
      </c>
      <c r="W769" s="65" t="s">
        <v>4</v>
      </c>
      <c r="X769" s="65" t="s">
        <v>2824</v>
      </c>
      <c r="Y769" s="65" t="s">
        <v>2935</v>
      </c>
      <c r="Z769" s="65" t="s">
        <v>4</v>
      </c>
      <c r="AA769" s="65" t="s">
        <v>2824</v>
      </c>
    </row>
    <row r="770" spans="1:27" ht="17.45" customHeight="1">
      <c r="A770" s="131" t="str">
        <f>IF(priority(Main[[#This Row],[Comments]])&lt;&gt;0, priority(Main[[#This Row],[Comments]]),"")</f>
        <v/>
      </c>
      <c r="B770" s="99" t="s">
        <v>1840</v>
      </c>
      <c r="C770" s="65" t="s">
        <v>4</v>
      </c>
      <c r="D770" s="66" t="s">
        <v>1951</v>
      </c>
      <c r="E770" s="67"/>
      <c r="F770" s="67">
        <v>40445</v>
      </c>
      <c r="G770" s="64" t="str">
        <f>IF(stdProdLT(Main[[#This Row],[Comments]])=0.1,"N/A",IF(stdProdLT(Main[[#This Row],[Comments]])=0,"",stdProdLT(Main[[#This Row],[Comments]])))</f>
        <v/>
      </c>
      <c r="H770" s="68">
        <f>IF(AND(Main[[#This Row],[In Stock Date]]&lt;&gt;"",Main[[#This Row],[Revised Due Date]]&lt;&gt;""),Main[[#This Row],[In Stock Date]]-Main[[#This Row],[Revised Due Date]],"")</f>
        <v>0</v>
      </c>
      <c r="I770" s="65" t="s">
        <v>4</v>
      </c>
      <c r="J770" s="65" t="s">
        <v>28</v>
      </c>
      <c r="K770" s="65" t="s">
        <v>1930</v>
      </c>
      <c r="L770" s="67"/>
      <c r="M770" s="69" t="str">
        <f>IF(Main[[#This Row],[Tech Start Date]]&lt;1/1/1990,"",IF(Main[[#This Row],[Class]]="C",WORKDAY(Main[[#This Row],[Tech Start Date]],9),IF(Main[[#This Row],[Class]]="B", WORKDAY(Main[[#This Row],[Tech Start Date]],6),IF(Main[[#This Row],[Class]]="A",WORKDAY(Main[[#This Row],[Tech Start Date]],2),""))))</f>
        <v/>
      </c>
      <c r="N770" s="69" t="str">
        <f>IF(Main[[#This Row],[Tech Start Date]]&lt;1/1/1990,"",IF(Main[[#This Row],[Class]]="C",WORKDAY(Main[[#This Row],[Tech Start Date]],19),IF(Main[[#This Row],[Class]]="B", WORKDAY(Main[[#This Row],[Tech Start Date]],12),IF(Main[[#This Row],[Class]]="A",WORKDAY(Main[[#This Row],[Tech Start Date]],4),""))))</f>
        <v/>
      </c>
      <c r="O770" s="69" t="str">
        <f>IF(Main[[#This Row],[Tech Start Date]]&lt;1/1/1990,"",IF(Main[[#This Row],[Class]]="C",WORKDAY(Main[[#This Row],[Tech Start Date]],23),IF(Main[[#This Row],[Class]]="B", WORKDAY(Main[[#This Row],[Tech Start Date]],15),IF(Main[[#This Row],[Class]]="A",WORKDAY(Main[[#This Row],[Tech Start Date]],5),""))))</f>
        <v/>
      </c>
      <c r="P770" s="69" t="str">
        <f>IF(Main[[#This Row],[Tech Start Date]]&lt;1/1/1990,"",IF(Main[[#This Row],[Class]]="C",WORKDAY(Main[[#This Row],[Tech Start Date]],28),IF(Main[[#This Row],[Class]]="B", WORKDAY(Main[[#This Row],[Tech Start Date]],19),IF(Main[[#This Row],[Class]]="A",WORKDAY(Main[[#This Row],[Tech Start Date]],9),""))))</f>
        <v/>
      </c>
      <c r="Q770" s="67">
        <v>40445</v>
      </c>
      <c r="R770" s="67">
        <v>40445</v>
      </c>
      <c r="S770" s="65" t="s">
        <v>11</v>
      </c>
      <c r="T770" s="70" t="s">
        <v>4</v>
      </c>
      <c r="U770" s="65" t="s">
        <v>14</v>
      </c>
      <c r="V770" s="65" t="s">
        <v>1918</v>
      </c>
      <c r="W770" s="65" t="s">
        <v>1922</v>
      </c>
      <c r="X770" s="65" t="s">
        <v>2868</v>
      </c>
      <c r="Y770" s="65" t="s">
        <v>3092</v>
      </c>
      <c r="Z770" s="65" t="s">
        <v>3165</v>
      </c>
      <c r="AA770" s="65" t="s">
        <v>2881</v>
      </c>
    </row>
    <row r="771" spans="1:27" ht="17.45" customHeight="1">
      <c r="A771" s="131" t="str">
        <f>IF(priority(Main[[#This Row],[Comments]])&lt;&gt;0, priority(Main[[#This Row],[Comments]]),"")</f>
        <v/>
      </c>
      <c r="B771" s="99" t="s">
        <v>1591</v>
      </c>
      <c r="C771" s="65" t="s">
        <v>4</v>
      </c>
      <c r="D771" s="66" t="s">
        <v>668</v>
      </c>
      <c r="E771" s="67"/>
      <c r="F771" s="67"/>
      <c r="G771" s="64" t="str">
        <f>IF(stdProdLT(Main[[#This Row],[Comments]])=0.1,"N/A",IF(stdProdLT(Main[[#This Row],[Comments]])=0,"",stdProdLT(Main[[#This Row],[Comments]])))</f>
        <v/>
      </c>
      <c r="H771" s="68" t="str">
        <f>IF(AND(Main[[#This Row],[In Stock Date]]&lt;&gt;"",Main[[#This Row],[Revised Due Date]]&lt;&gt;""),Main[[#This Row],[In Stock Date]]-Main[[#This Row],[Revised Due Date]],"")</f>
        <v/>
      </c>
      <c r="I771" s="65" t="s">
        <v>4</v>
      </c>
      <c r="J771" s="65" t="s">
        <v>4</v>
      </c>
      <c r="K771" s="65" t="s">
        <v>4</v>
      </c>
      <c r="L771" s="67"/>
      <c r="M771" s="69" t="str">
        <f>IF(Main[[#This Row],[Tech Start Date]]&lt;1/1/1990,"",IF(Main[[#This Row],[Class]]="C",WORKDAY(Main[[#This Row],[Tech Start Date]],9),IF(Main[[#This Row],[Class]]="B", WORKDAY(Main[[#This Row],[Tech Start Date]],6),IF(Main[[#This Row],[Class]]="A",WORKDAY(Main[[#This Row],[Tech Start Date]],2),""))))</f>
        <v/>
      </c>
      <c r="N771" s="69" t="str">
        <f>IF(Main[[#This Row],[Tech Start Date]]&lt;1/1/1990,"",IF(Main[[#This Row],[Class]]="C",WORKDAY(Main[[#This Row],[Tech Start Date]],19),IF(Main[[#This Row],[Class]]="B", WORKDAY(Main[[#This Row],[Tech Start Date]],12),IF(Main[[#This Row],[Class]]="A",WORKDAY(Main[[#This Row],[Tech Start Date]],4),""))))</f>
        <v/>
      </c>
      <c r="O771" s="69" t="str">
        <f>IF(Main[[#This Row],[Tech Start Date]]&lt;1/1/1990,"",IF(Main[[#This Row],[Class]]="C",WORKDAY(Main[[#This Row],[Tech Start Date]],23),IF(Main[[#This Row],[Class]]="B", WORKDAY(Main[[#This Row],[Tech Start Date]],15),IF(Main[[#This Row],[Class]]="A",WORKDAY(Main[[#This Row],[Tech Start Date]],5),""))))</f>
        <v/>
      </c>
      <c r="P771" s="69" t="str">
        <f>IF(Main[[#This Row],[Tech Start Date]]&lt;1/1/1990,"",IF(Main[[#This Row],[Class]]="C",WORKDAY(Main[[#This Row],[Tech Start Date]],28),IF(Main[[#This Row],[Class]]="B", WORKDAY(Main[[#This Row],[Tech Start Date]],19),IF(Main[[#This Row],[Class]]="A",WORKDAY(Main[[#This Row],[Tech Start Date]],9),""))))</f>
        <v/>
      </c>
      <c r="Q771" s="67"/>
      <c r="R771" s="67"/>
      <c r="S771" s="65" t="s">
        <v>6</v>
      </c>
      <c r="T771" s="70" t="s">
        <v>4</v>
      </c>
      <c r="U771" s="65" t="s">
        <v>14</v>
      </c>
      <c r="V771" s="65" t="s">
        <v>1917</v>
      </c>
      <c r="W771" s="65" t="s">
        <v>1921</v>
      </c>
      <c r="X771" s="65" t="s">
        <v>306</v>
      </c>
      <c r="Y771" s="65" t="s">
        <v>4</v>
      </c>
      <c r="Z771" s="65" t="s">
        <v>4</v>
      </c>
      <c r="AA771" s="65" t="s">
        <v>2857</v>
      </c>
    </row>
    <row r="772" spans="1:27" ht="17.45" customHeight="1">
      <c r="A772" s="131" t="str">
        <f>IF(priority(Main[[#This Row],[Comments]])&lt;&gt;0, priority(Main[[#This Row],[Comments]]),"")</f>
        <v/>
      </c>
      <c r="B772" s="99" t="s">
        <v>1592</v>
      </c>
      <c r="C772" s="65" t="s">
        <v>4</v>
      </c>
      <c r="D772" s="66" t="s">
        <v>97</v>
      </c>
      <c r="E772" s="67"/>
      <c r="F772" s="67"/>
      <c r="G772" s="64" t="str">
        <f>IF(stdProdLT(Main[[#This Row],[Comments]])=0.1,"N/A",IF(stdProdLT(Main[[#This Row],[Comments]])=0,"",stdProdLT(Main[[#This Row],[Comments]])))</f>
        <v/>
      </c>
      <c r="H772" s="68" t="str">
        <f>IF(AND(Main[[#This Row],[In Stock Date]]&lt;&gt;"",Main[[#This Row],[Revised Due Date]]&lt;&gt;""),Main[[#This Row],[In Stock Date]]-Main[[#This Row],[Revised Due Date]],"")</f>
        <v/>
      </c>
      <c r="I772" s="65" t="s">
        <v>4</v>
      </c>
      <c r="J772" s="65" t="s">
        <v>4</v>
      </c>
      <c r="K772" s="71" t="s">
        <v>4</v>
      </c>
      <c r="L772" s="67"/>
      <c r="M772" s="69" t="str">
        <f>IF(Main[[#This Row],[Tech Start Date]]&lt;1/1/1990,"",IF(Main[[#This Row],[Class]]="C",WORKDAY(Main[[#This Row],[Tech Start Date]],9),IF(Main[[#This Row],[Class]]="B", WORKDAY(Main[[#This Row],[Tech Start Date]],6),IF(Main[[#This Row],[Class]]="A",WORKDAY(Main[[#This Row],[Tech Start Date]],2),""))))</f>
        <v/>
      </c>
      <c r="N772" s="69" t="str">
        <f>IF(Main[[#This Row],[Tech Start Date]]&lt;1/1/1990,"",IF(Main[[#This Row],[Class]]="C",WORKDAY(Main[[#This Row],[Tech Start Date]],19),IF(Main[[#This Row],[Class]]="B", WORKDAY(Main[[#This Row],[Tech Start Date]],12),IF(Main[[#This Row],[Class]]="A",WORKDAY(Main[[#This Row],[Tech Start Date]],4),""))))</f>
        <v/>
      </c>
      <c r="O772" s="69" t="str">
        <f>IF(Main[[#This Row],[Tech Start Date]]&lt;1/1/1990,"",IF(Main[[#This Row],[Class]]="C",WORKDAY(Main[[#This Row],[Tech Start Date]],23),IF(Main[[#This Row],[Class]]="B", WORKDAY(Main[[#This Row],[Tech Start Date]],15),IF(Main[[#This Row],[Class]]="A",WORKDAY(Main[[#This Row],[Tech Start Date]],5),""))))</f>
        <v/>
      </c>
      <c r="P772" s="69" t="str">
        <f>IF(Main[[#This Row],[Tech Start Date]]&lt;1/1/1990,"",IF(Main[[#This Row],[Class]]="C",WORKDAY(Main[[#This Row],[Tech Start Date]],28),IF(Main[[#This Row],[Class]]="B", WORKDAY(Main[[#This Row],[Tech Start Date]],19),IF(Main[[#This Row],[Class]]="A",WORKDAY(Main[[#This Row],[Tech Start Date]],9),""))))</f>
        <v/>
      </c>
      <c r="Q772" s="67">
        <v>40858</v>
      </c>
      <c r="R772" s="67"/>
      <c r="S772" s="65" t="s">
        <v>17</v>
      </c>
      <c r="T772" s="70" t="s">
        <v>4</v>
      </c>
      <c r="U772" s="65" t="s">
        <v>14</v>
      </c>
      <c r="V772" s="65" t="s">
        <v>1917</v>
      </c>
      <c r="W772" s="65" t="s">
        <v>1922</v>
      </c>
      <c r="X772" s="65" t="s">
        <v>50</v>
      </c>
      <c r="Y772" s="65" t="s">
        <v>2965</v>
      </c>
      <c r="Z772" s="65" t="s">
        <v>4</v>
      </c>
      <c r="AA772" s="65" t="s">
        <v>2834</v>
      </c>
    </row>
    <row r="773" spans="1:27" ht="17.45" customHeight="1">
      <c r="A773" s="131" t="str">
        <f>IF(priority(Main[[#This Row],[Comments]])&lt;&gt;0, priority(Main[[#This Row],[Comments]]),"")</f>
        <v/>
      </c>
      <c r="B773" s="99" t="s">
        <v>1595</v>
      </c>
      <c r="C773" s="65" t="s">
        <v>670</v>
      </c>
      <c r="D773" s="66" t="s">
        <v>671</v>
      </c>
      <c r="E773" s="67"/>
      <c r="F773" s="67">
        <v>40633</v>
      </c>
      <c r="G773" s="64" t="str">
        <f>IF(stdProdLT(Main[[#This Row],[Comments]])=0.1,"N/A",IF(stdProdLT(Main[[#This Row],[Comments]])=0,"",stdProdLT(Main[[#This Row],[Comments]])))</f>
        <v/>
      </c>
      <c r="H773" s="68" t="str">
        <f>IF(AND(Main[[#This Row],[In Stock Date]]&lt;&gt;"",Main[[#This Row],[Revised Due Date]]&lt;&gt;""),Main[[#This Row],[In Stock Date]]-Main[[#This Row],[Revised Due Date]],"")</f>
        <v/>
      </c>
      <c r="I773" s="65" t="s">
        <v>4</v>
      </c>
      <c r="J773" s="65" t="s">
        <v>4</v>
      </c>
      <c r="K773" s="65" t="s">
        <v>4</v>
      </c>
      <c r="L773" s="67"/>
      <c r="M773" s="69" t="str">
        <f>IF(Main[[#This Row],[Tech Start Date]]&lt;1/1/1990,"",IF(Main[[#This Row],[Class]]="C",WORKDAY(Main[[#This Row],[Tech Start Date]],9),IF(Main[[#This Row],[Class]]="B", WORKDAY(Main[[#This Row],[Tech Start Date]],6),IF(Main[[#This Row],[Class]]="A",WORKDAY(Main[[#This Row],[Tech Start Date]],2),""))))</f>
        <v/>
      </c>
      <c r="N773" s="69" t="str">
        <f>IF(Main[[#This Row],[Tech Start Date]]&lt;1/1/1990,"",IF(Main[[#This Row],[Class]]="C",WORKDAY(Main[[#This Row],[Tech Start Date]],19),IF(Main[[#This Row],[Class]]="B", WORKDAY(Main[[#This Row],[Tech Start Date]],12),IF(Main[[#This Row],[Class]]="A",WORKDAY(Main[[#This Row],[Tech Start Date]],4),""))))</f>
        <v/>
      </c>
      <c r="O773" s="69" t="str">
        <f>IF(Main[[#This Row],[Tech Start Date]]&lt;1/1/1990,"",IF(Main[[#This Row],[Class]]="C",WORKDAY(Main[[#This Row],[Tech Start Date]],23),IF(Main[[#This Row],[Class]]="B", WORKDAY(Main[[#This Row],[Tech Start Date]],15),IF(Main[[#This Row],[Class]]="A",WORKDAY(Main[[#This Row],[Tech Start Date]],5),""))))</f>
        <v/>
      </c>
      <c r="P773" s="69" t="str">
        <f>IF(Main[[#This Row],[Tech Start Date]]&lt;1/1/1990,"",IF(Main[[#This Row],[Class]]="C",WORKDAY(Main[[#This Row],[Tech Start Date]],28),IF(Main[[#This Row],[Class]]="B", WORKDAY(Main[[#This Row],[Tech Start Date]],19),IF(Main[[#This Row],[Class]]="A",WORKDAY(Main[[#This Row],[Tech Start Date]],9),""))))</f>
        <v/>
      </c>
      <c r="Q773" s="67">
        <v>40574</v>
      </c>
      <c r="R773" s="67"/>
      <c r="S773" s="65" t="s">
        <v>11</v>
      </c>
      <c r="T773" s="70" t="s">
        <v>4</v>
      </c>
      <c r="U773" s="65" t="s">
        <v>14</v>
      </c>
      <c r="V773" s="65" t="s">
        <v>1920</v>
      </c>
      <c r="W773" s="65" t="s">
        <v>1923</v>
      </c>
      <c r="X773" s="65" t="s">
        <v>2862</v>
      </c>
      <c r="Y773" s="65" t="s">
        <v>3003</v>
      </c>
      <c r="Z773" s="65" t="s">
        <v>4</v>
      </c>
      <c r="AA773" s="65" t="s">
        <v>2862</v>
      </c>
    </row>
    <row r="774" spans="1:27" ht="17.45" customHeight="1">
      <c r="A774" s="131" t="str">
        <f>IF(priority(Main[[#This Row],[Comments]])&lt;&gt;0, priority(Main[[#This Row],[Comments]]),"")</f>
        <v/>
      </c>
      <c r="B774" s="99" t="s">
        <v>2187</v>
      </c>
      <c r="C774" s="65" t="s">
        <v>2179</v>
      </c>
      <c r="D774" s="66" t="s">
        <v>2188</v>
      </c>
      <c r="E774" s="67"/>
      <c r="F774" s="67">
        <v>40829</v>
      </c>
      <c r="G774" s="64" t="str">
        <f>IF(stdProdLT(Main[[#This Row],[Comments]])=0.1,"N/A",IF(stdProdLT(Main[[#This Row],[Comments]])=0,"",stdProdLT(Main[[#This Row],[Comments]])))</f>
        <v/>
      </c>
      <c r="H774" s="68" t="str">
        <f>IF(AND(Main[[#This Row],[In Stock Date]]&lt;&gt;"",Main[[#This Row],[Revised Due Date]]&lt;&gt;""),Main[[#This Row],[In Stock Date]]-Main[[#This Row],[Revised Due Date]],"")</f>
        <v/>
      </c>
      <c r="I774" s="65" t="s">
        <v>4</v>
      </c>
      <c r="J774" s="65" t="s">
        <v>4</v>
      </c>
      <c r="K774" s="71" t="s">
        <v>4</v>
      </c>
      <c r="L774" s="67"/>
      <c r="M774" s="69" t="str">
        <f>IF(Main[[#This Row],[Tech Start Date]]&lt;1/1/1990,"",IF(Main[[#This Row],[Class]]="C",WORKDAY(Main[[#This Row],[Tech Start Date]],9),IF(Main[[#This Row],[Class]]="B", WORKDAY(Main[[#This Row],[Tech Start Date]],6),IF(Main[[#This Row],[Class]]="A",WORKDAY(Main[[#This Row],[Tech Start Date]],2),""))))</f>
        <v/>
      </c>
      <c r="N774" s="69" t="str">
        <f>IF(Main[[#This Row],[Tech Start Date]]&lt;1/1/1990,"",IF(Main[[#This Row],[Class]]="C",WORKDAY(Main[[#This Row],[Tech Start Date]],19),IF(Main[[#This Row],[Class]]="B", WORKDAY(Main[[#This Row],[Tech Start Date]],12),IF(Main[[#This Row],[Class]]="A",WORKDAY(Main[[#This Row],[Tech Start Date]],4),""))))</f>
        <v/>
      </c>
      <c r="O774" s="69" t="str">
        <f>IF(Main[[#This Row],[Tech Start Date]]&lt;1/1/1990,"",IF(Main[[#This Row],[Class]]="C",WORKDAY(Main[[#This Row],[Tech Start Date]],23),IF(Main[[#This Row],[Class]]="B", WORKDAY(Main[[#This Row],[Tech Start Date]],15),IF(Main[[#This Row],[Class]]="A",WORKDAY(Main[[#This Row],[Tech Start Date]],5),""))))</f>
        <v/>
      </c>
      <c r="P774" s="69" t="str">
        <f>IF(Main[[#This Row],[Tech Start Date]]&lt;1/1/1990,"",IF(Main[[#This Row],[Class]]="C",WORKDAY(Main[[#This Row],[Tech Start Date]],28),IF(Main[[#This Row],[Class]]="B", WORKDAY(Main[[#This Row],[Tech Start Date]],19),IF(Main[[#This Row],[Class]]="A",WORKDAY(Main[[#This Row],[Tech Start Date]],9),""))))</f>
        <v/>
      </c>
      <c r="Q774" s="67">
        <v>40801</v>
      </c>
      <c r="R774" s="67"/>
      <c r="S774" s="65" t="s">
        <v>11</v>
      </c>
      <c r="T774" s="70" t="s">
        <v>4</v>
      </c>
      <c r="U774" s="65" t="s">
        <v>14</v>
      </c>
      <c r="V774" s="65" t="s">
        <v>1918</v>
      </c>
      <c r="W774" s="65" t="s">
        <v>1925</v>
      </c>
      <c r="X774" s="65" t="s">
        <v>2844</v>
      </c>
      <c r="Y774" s="65" t="s">
        <v>2974</v>
      </c>
      <c r="Z774" s="65" t="s">
        <v>4</v>
      </c>
      <c r="AA774" s="65" t="s">
        <v>2844</v>
      </c>
    </row>
    <row r="775" spans="1:27" ht="17.45" customHeight="1">
      <c r="A775" s="131" t="str">
        <f>IF(priority(Main[[#This Row],[Comments]])&lt;&gt;0, priority(Main[[#This Row],[Comments]]),"")</f>
        <v/>
      </c>
      <c r="B775" s="99" t="s">
        <v>1596</v>
      </c>
      <c r="C775" s="65" t="s">
        <v>4</v>
      </c>
      <c r="D775" s="66" t="s">
        <v>2310</v>
      </c>
      <c r="E775" s="67">
        <v>40515.590300925927</v>
      </c>
      <c r="F775" s="67"/>
      <c r="G775" s="64" t="str">
        <f>IF(stdProdLT(Main[[#This Row],[Comments]])=0.1,"N/A",IF(stdProdLT(Main[[#This Row],[Comments]])=0,"",stdProdLT(Main[[#This Row],[Comments]])))</f>
        <v/>
      </c>
      <c r="H775" s="68" t="str">
        <f>IF(AND(Main[[#This Row],[In Stock Date]]&lt;&gt;"",Main[[#This Row],[Revised Due Date]]&lt;&gt;""),Main[[#This Row],[In Stock Date]]-Main[[#This Row],[Revised Due Date]],"")</f>
        <v/>
      </c>
      <c r="I775" s="65" t="s">
        <v>914</v>
      </c>
      <c r="J775" s="65" t="s">
        <v>52</v>
      </c>
      <c r="K775" s="65" t="s">
        <v>1924</v>
      </c>
      <c r="L775" s="67"/>
      <c r="M775" s="69" t="str">
        <f>IF(Main[[#This Row],[Tech Start Date]]&lt;1/1/1990,"",IF(Main[[#This Row],[Class]]="C",WORKDAY(Main[[#This Row],[Tech Start Date]],9),IF(Main[[#This Row],[Class]]="B", WORKDAY(Main[[#This Row],[Tech Start Date]],6),IF(Main[[#This Row],[Class]]="A",WORKDAY(Main[[#This Row],[Tech Start Date]],2),""))))</f>
        <v/>
      </c>
      <c r="N775" s="69" t="str">
        <f>IF(Main[[#This Row],[Tech Start Date]]&lt;1/1/1990,"",IF(Main[[#This Row],[Class]]="C",WORKDAY(Main[[#This Row],[Tech Start Date]],19),IF(Main[[#This Row],[Class]]="B", WORKDAY(Main[[#This Row],[Tech Start Date]],12),IF(Main[[#This Row],[Class]]="A",WORKDAY(Main[[#This Row],[Tech Start Date]],4),""))))</f>
        <v/>
      </c>
      <c r="O775" s="69" t="str">
        <f>IF(Main[[#This Row],[Tech Start Date]]&lt;1/1/1990,"",IF(Main[[#This Row],[Class]]="C",WORKDAY(Main[[#This Row],[Tech Start Date]],23),IF(Main[[#This Row],[Class]]="B", WORKDAY(Main[[#This Row],[Tech Start Date]],15),IF(Main[[#This Row],[Class]]="A",WORKDAY(Main[[#This Row],[Tech Start Date]],5),""))))</f>
        <v/>
      </c>
      <c r="P775" s="69" t="str">
        <f>IF(Main[[#This Row],[Tech Start Date]]&lt;1/1/1990,"",IF(Main[[#This Row],[Class]]="C",WORKDAY(Main[[#This Row],[Tech Start Date]],28),IF(Main[[#This Row],[Class]]="B", WORKDAY(Main[[#This Row],[Tech Start Date]],19),IF(Main[[#This Row],[Class]]="A",WORKDAY(Main[[#This Row],[Tech Start Date]],9),""))))</f>
        <v/>
      </c>
      <c r="Q775" s="67">
        <v>40574</v>
      </c>
      <c r="R775" s="67"/>
      <c r="S775" s="65" t="s">
        <v>6</v>
      </c>
      <c r="T775" s="70" t="s">
        <v>4</v>
      </c>
      <c r="U775" s="65" t="s">
        <v>29</v>
      </c>
      <c r="V775" s="65" t="s">
        <v>1917</v>
      </c>
      <c r="W775" s="65" t="s">
        <v>1919</v>
      </c>
      <c r="X775" s="65" t="s">
        <v>2893</v>
      </c>
      <c r="Y775" s="65" t="s">
        <v>3049</v>
      </c>
      <c r="Z775" s="65" t="s">
        <v>129</v>
      </c>
      <c r="AA775" s="65" t="s">
        <v>2893</v>
      </c>
    </row>
    <row r="776" spans="1:27" ht="17.45" customHeight="1">
      <c r="A776" s="131" t="str">
        <f>IF(priority(Main[[#This Row],[Comments]])&lt;&gt;0, priority(Main[[#This Row],[Comments]]),"")</f>
        <v/>
      </c>
      <c r="B776" s="99" t="s">
        <v>1597</v>
      </c>
      <c r="C776" s="65" t="s">
        <v>436</v>
      </c>
      <c r="D776" s="66" t="s">
        <v>672</v>
      </c>
      <c r="E776" s="67"/>
      <c r="F776" s="67"/>
      <c r="G776" s="64" t="str">
        <f>IF(stdProdLT(Main[[#This Row],[Comments]])=0.1,"N/A",IF(stdProdLT(Main[[#This Row],[Comments]])=0,"",stdProdLT(Main[[#This Row],[Comments]])))</f>
        <v/>
      </c>
      <c r="H776" s="68" t="str">
        <f>IF(AND(Main[[#This Row],[In Stock Date]]&lt;&gt;"",Main[[#This Row],[Revised Due Date]]&lt;&gt;""),Main[[#This Row],[In Stock Date]]-Main[[#This Row],[Revised Due Date]],"")</f>
        <v/>
      </c>
      <c r="I776" s="65" t="s">
        <v>4</v>
      </c>
      <c r="J776" s="65" t="s">
        <v>4</v>
      </c>
      <c r="K776" s="65" t="s">
        <v>4</v>
      </c>
      <c r="L776" s="67"/>
      <c r="M776" s="69" t="str">
        <f>IF(Main[[#This Row],[Tech Start Date]]&lt;1/1/1990,"",IF(Main[[#This Row],[Class]]="C",WORKDAY(Main[[#This Row],[Tech Start Date]],9),IF(Main[[#This Row],[Class]]="B", WORKDAY(Main[[#This Row],[Tech Start Date]],6),IF(Main[[#This Row],[Class]]="A",WORKDAY(Main[[#This Row],[Tech Start Date]],2),""))))</f>
        <v/>
      </c>
      <c r="N776" s="69" t="str">
        <f>IF(Main[[#This Row],[Tech Start Date]]&lt;1/1/1990,"",IF(Main[[#This Row],[Class]]="C",WORKDAY(Main[[#This Row],[Tech Start Date]],19),IF(Main[[#This Row],[Class]]="B", WORKDAY(Main[[#This Row],[Tech Start Date]],12),IF(Main[[#This Row],[Class]]="A",WORKDAY(Main[[#This Row],[Tech Start Date]],4),""))))</f>
        <v/>
      </c>
      <c r="O776" s="69" t="str">
        <f>IF(Main[[#This Row],[Tech Start Date]]&lt;1/1/1990,"",IF(Main[[#This Row],[Class]]="C",WORKDAY(Main[[#This Row],[Tech Start Date]],23),IF(Main[[#This Row],[Class]]="B", WORKDAY(Main[[#This Row],[Tech Start Date]],15),IF(Main[[#This Row],[Class]]="A",WORKDAY(Main[[#This Row],[Tech Start Date]],5),""))))</f>
        <v/>
      </c>
      <c r="P776" s="69" t="str">
        <f>IF(Main[[#This Row],[Tech Start Date]]&lt;1/1/1990,"",IF(Main[[#This Row],[Class]]="C",WORKDAY(Main[[#This Row],[Tech Start Date]],28),IF(Main[[#This Row],[Class]]="B", WORKDAY(Main[[#This Row],[Tech Start Date]],19),IF(Main[[#This Row],[Class]]="A",WORKDAY(Main[[#This Row],[Tech Start Date]],9),""))))</f>
        <v/>
      </c>
      <c r="Q776" s="67"/>
      <c r="R776" s="67"/>
      <c r="S776" s="65" t="s">
        <v>11</v>
      </c>
      <c r="T776" s="70" t="s">
        <v>4</v>
      </c>
      <c r="U776" s="65" t="s">
        <v>14</v>
      </c>
      <c r="V776" s="65" t="s">
        <v>1918</v>
      </c>
      <c r="W776" s="65" t="s">
        <v>1925</v>
      </c>
      <c r="X776" s="65" t="s">
        <v>2833</v>
      </c>
      <c r="Y776" s="65" t="s">
        <v>2954</v>
      </c>
      <c r="Z776" s="65" t="s">
        <v>4</v>
      </c>
      <c r="AA776" s="65" t="s">
        <v>2833</v>
      </c>
    </row>
    <row r="777" spans="1:27" ht="17.45" customHeight="1">
      <c r="A777" s="131" t="str">
        <f>IF(priority(Main[[#This Row],[Comments]])&lt;&gt;0, priority(Main[[#This Row],[Comments]]),"")</f>
        <v/>
      </c>
      <c r="B777" s="99" t="s">
        <v>3351</v>
      </c>
      <c r="C777" s="65" t="s">
        <v>4</v>
      </c>
      <c r="D777" s="66" t="s">
        <v>3352</v>
      </c>
      <c r="E777" s="67"/>
      <c r="F777" s="67"/>
      <c r="G777" s="64" t="str">
        <f>IF(stdProdLT(Main[[#This Row],[Comments]])=0.1,"N/A",IF(stdProdLT(Main[[#This Row],[Comments]])=0,"",stdProdLT(Main[[#This Row],[Comments]])))</f>
        <v/>
      </c>
      <c r="H777" s="68" t="str">
        <f>IF(AND(Main[[#This Row],[In Stock Date]]&lt;&gt;"",Main[[#This Row],[Revised Due Date]]&lt;&gt;""),Main[[#This Row],[In Stock Date]]-Main[[#This Row],[Revised Due Date]],"")</f>
        <v/>
      </c>
      <c r="I777" s="65" t="s">
        <v>4</v>
      </c>
      <c r="J777" s="65" t="s">
        <v>4</v>
      </c>
      <c r="K777" s="65" t="s">
        <v>4</v>
      </c>
      <c r="L777" s="67"/>
      <c r="M777" s="69" t="str">
        <f>IF(Main[[#This Row],[Tech Start Date]]&lt;1/1/1990,"",IF(Main[[#This Row],[Class]]="C",WORKDAY(Main[[#This Row],[Tech Start Date]],9),IF(Main[[#This Row],[Class]]="B", WORKDAY(Main[[#This Row],[Tech Start Date]],6),IF(Main[[#This Row],[Class]]="A",WORKDAY(Main[[#This Row],[Tech Start Date]],2),""))))</f>
        <v/>
      </c>
      <c r="N777" s="69" t="str">
        <f>IF(Main[[#This Row],[Tech Start Date]]&lt;1/1/1990,"",IF(Main[[#This Row],[Class]]="C",WORKDAY(Main[[#This Row],[Tech Start Date]],19),IF(Main[[#This Row],[Class]]="B", WORKDAY(Main[[#This Row],[Tech Start Date]],12),IF(Main[[#This Row],[Class]]="A",WORKDAY(Main[[#This Row],[Tech Start Date]],4),""))))</f>
        <v/>
      </c>
      <c r="O777" s="69" t="str">
        <f>IF(Main[[#This Row],[Tech Start Date]]&lt;1/1/1990,"",IF(Main[[#This Row],[Class]]="C",WORKDAY(Main[[#This Row],[Tech Start Date]],23),IF(Main[[#This Row],[Class]]="B", WORKDAY(Main[[#This Row],[Tech Start Date]],15),IF(Main[[#This Row],[Class]]="A",WORKDAY(Main[[#This Row],[Tech Start Date]],5),""))))</f>
        <v/>
      </c>
      <c r="P777" s="69" t="str">
        <f>IF(Main[[#This Row],[Tech Start Date]]&lt;1/1/1990,"",IF(Main[[#This Row],[Class]]="C",WORKDAY(Main[[#This Row],[Tech Start Date]],28),IF(Main[[#This Row],[Class]]="B", WORKDAY(Main[[#This Row],[Tech Start Date]],19),IF(Main[[#This Row],[Class]]="A",WORKDAY(Main[[#This Row],[Tech Start Date]],9),""))))</f>
        <v/>
      </c>
      <c r="Q777" s="67"/>
      <c r="R777" s="67"/>
      <c r="S777" s="65" t="s">
        <v>6</v>
      </c>
      <c r="T777" s="70" t="s">
        <v>4</v>
      </c>
      <c r="U777" s="65" t="s">
        <v>14</v>
      </c>
      <c r="V777" s="65" t="s">
        <v>1920</v>
      </c>
      <c r="W777" s="65" t="s">
        <v>4</v>
      </c>
      <c r="X777" s="65" t="s">
        <v>2847</v>
      </c>
      <c r="Y777" s="65" t="s">
        <v>2977</v>
      </c>
      <c r="Z777" s="65" t="s">
        <v>4</v>
      </c>
      <c r="AA777" s="65" t="s">
        <v>2847</v>
      </c>
    </row>
    <row r="778" spans="1:27" ht="17.45" customHeight="1">
      <c r="A778" s="131" t="str">
        <f>IF(priority(Main[[#This Row],[Comments]])&lt;&gt;0, priority(Main[[#This Row],[Comments]]),"")</f>
        <v/>
      </c>
      <c r="B778" s="99" t="s">
        <v>1598</v>
      </c>
      <c r="C778" s="65" t="s">
        <v>4</v>
      </c>
      <c r="D778" s="66" t="s">
        <v>673</v>
      </c>
      <c r="E778" s="67"/>
      <c r="F778" s="67"/>
      <c r="G778" s="64" t="str">
        <f>IF(stdProdLT(Main[[#This Row],[Comments]])=0.1,"N/A",IF(stdProdLT(Main[[#This Row],[Comments]])=0,"",stdProdLT(Main[[#This Row],[Comments]])))</f>
        <v/>
      </c>
      <c r="H778" s="68" t="str">
        <f>IF(AND(Main[[#This Row],[In Stock Date]]&lt;&gt;"",Main[[#This Row],[Revised Due Date]]&lt;&gt;""),Main[[#This Row],[In Stock Date]]-Main[[#This Row],[Revised Due Date]],"")</f>
        <v/>
      </c>
      <c r="I778" s="65" t="s">
        <v>4</v>
      </c>
      <c r="J778" s="65" t="s">
        <v>28</v>
      </c>
      <c r="K778" s="65" t="s">
        <v>4</v>
      </c>
      <c r="L778" s="67"/>
      <c r="M778" s="69" t="str">
        <f>IF(Main[[#This Row],[Tech Start Date]]&lt;1/1/1990,"",IF(Main[[#This Row],[Class]]="C",WORKDAY(Main[[#This Row],[Tech Start Date]],9),IF(Main[[#This Row],[Class]]="B", WORKDAY(Main[[#This Row],[Tech Start Date]],6),IF(Main[[#This Row],[Class]]="A",WORKDAY(Main[[#This Row],[Tech Start Date]],2),""))))</f>
        <v/>
      </c>
      <c r="N778" s="69" t="str">
        <f>IF(Main[[#This Row],[Tech Start Date]]&lt;1/1/1990,"",IF(Main[[#This Row],[Class]]="C",WORKDAY(Main[[#This Row],[Tech Start Date]],19),IF(Main[[#This Row],[Class]]="B", WORKDAY(Main[[#This Row],[Tech Start Date]],12),IF(Main[[#This Row],[Class]]="A",WORKDAY(Main[[#This Row],[Tech Start Date]],4),""))))</f>
        <v/>
      </c>
      <c r="O778" s="69" t="str">
        <f>IF(Main[[#This Row],[Tech Start Date]]&lt;1/1/1990,"",IF(Main[[#This Row],[Class]]="C",WORKDAY(Main[[#This Row],[Tech Start Date]],23),IF(Main[[#This Row],[Class]]="B", WORKDAY(Main[[#This Row],[Tech Start Date]],15),IF(Main[[#This Row],[Class]]="A",WORKDAY(Main[[#This Row],[Tech Start Date]],5),""))))</f>
        <v/>
      </c>
      <c r="P778" s="69" t="str">
        <f>IF(Main[[#This Row],[Tech Start Date]]&lt;1/1/1990,"",IF(Main[[#This Row],[Class]]="C",WORKDAY(Main[[#This Row],[Tech Start Date]],28),IF(Main[[#This Row],[Class]]="B", WORKDAY(Main[[#This Row],[Tech Start Date]],19),IF(Main[[#This Row],[Class]]="A",WORKDAY(Main[[#This Row],[Tech Start Date]],9),""))))</f>
        <v/>
      </c>
      <c r="Q778" s="67">
        <v>40471</v>
      </c>
      <c r="R778" s="67"/>
      <c r="S778" s="65" t="s">
        <v>296</v>
      </c>
      <c r="T778" s="70" t="s">
        <v>4</v>
      </c>
      <c r="U778" s="65" t="s">
        <v>14</v>
      </c>
      <c r="V778" s="65" t="s">
        <v>1927</v>
      </c>
      <c r="W778" s="65" t="s">
        <v>1919</v>
      </c>
      <c r="X778" s="65" t="s">
        <v>2853</v>
      </c>
      <c r="Y778" s="65" t="s">
        <v>2984</v>
      </c>
      <c r="Z778" s="65" t="s">
        <v>530</v>
      </c>
      <c r="AA778" s="65" t="s">
        <v>2853</v>
      </c>
    </row>
    <row r="779" spans="1:27" ht="17.45" customHeight="1">
      <c r="A779" s="131" t="str">
        <f>IF(priority(Main[[#This Row],[Comments]])&lt;&gt;0, priority(Main[[#This Row],[Comments]]),"")</f>
        <v/>
      </c>
      <c r="B779" s="99" t="s">
        <v>1612</v>
      </c>
      <c r="C779" s="65" t="s">
        <v>4</v>
      </c>
      <c r="D779" s="66" t="s">
        <v>684</v>
      </c>
      <c r="E779" s="67"/>
      <c r="F779" s="67"/>
      <c r="G779" s="64" t="str">
        <f>IF(stdProdLT(Main[[#This Row],[Comments]])=0.1,"N/A",IF(stdProdLT(Main[[#This Row],[Comments]])=0,"",stdProdLT(Main[[#This Row],[Comments]])))</f>
        <v/>
      </c>
      <c r="H779" s="68" t="str">
        <f>IF(AND(Main[[#This Row],[In Stock Date]]&lt;&gt;"",Main[[#This Row],[Revised Due Date]]&lt;&gt;""),Main[[#This Row],[In Stock Date]]-Main[[#This Row],[Revised Due Date]],"")</f>
        <v/>
      </c>
      <c r="I779" s="65" t="s">
        <v>4</v>
      </c>
      <c r="J779" s="65" t="s">
        <v>4</v>
      </c>
      <c r="K779" s="65" t="s">
        <v>4</v>
      </c>
      <c r="L779" s="67"/>
      <c r="M779" s="69" t="str">
        <f>IF(Main[[#This Row],[Tech Start Date]]&lt;1/1/1990,"",IF(Main[[#This Row],[Class]]="C",WORKDAY(Main[[#This Row],[Tech Start Date]],9),IF(Main[[#This Row],[Class]]="B", WORKDAY(Main[[#This Row],[Tech Start Date]],6),IF(Main[[#This Row],[Class]]="A",WORKDAY(Main[[#This Row],[Tech Start Date]],2),""))))</f>
        <v/>
      </c>
      <c r="N779" s="69" t="str">
        <f>IF(Main[[#This Row],[Tech Start Date]]&lt;1/1/1990,"",IF(Main[[#This Row],[Class]]="C",WORKDAY(Main[[#This Row],[Tech Start Date]],19),IF(Main[[#This Row],[Class]]="B", WORKDAY(Main[[#This Row],[Tech Start Date]],12),IF(Main[[#This Row],[Class]]="A",WORKDAY(Main[[#This Row],[Tech Start Date]],4),""))))</f>
        <v/>
      </c>
      <c r="O779" s="69" t="str">
        <f>IF(Main[[#This Row],[Tech Start Date]]&lt;1/1/1990,"",IF(Main[[#This Row],[Class]]="C",WORKDAY(Main[[#This Row],[Tech Start Date]],23),IF(Main[[#This Row],[Class]]="B", WORKDAY(Main[[#This Row],[Tech Start Date]],15),IF(Main[[#This Row],[Class]]="A",WORKDAY(Main[[#This Row],[Tech Start Date]],5),""))))</f>
        <v/>
      </c>
      <c r="P779" s="69" t="str">
        <f>IF(Main[[#This Row],[Tech Start Date]]&lt;1/1/1990,"",IF(Main[[#This Row],[Class]]="C",WORKDAY(Main[[#This Row],[Tech Start Date]],28),IF(Main[[#This Row],[Class]]="B", WORKDAY(Main[[#This Row],[Tech Start Date]],19),IF(Main[[#This Row],[Class]]="A",WORKDAY(Main[[#This Row],[Tech Start Date]],9),""))))</f>
        <v/>
      </c>
      <c r="Q779" s="67"/>
      <c r="R779" s="67"/>
      <c r="S779" s="65" t="s">
        <v>23</v>
      </c>
      <c r="T779" s="70" t="s">
        <v>4</v>
      </c>
      <c r="U779" s="65" t="s">
        <v>14</v>
      </c>
      <c r="V779" s="65" t="s">
        <v>1927</v>
      </c>
      <c r="W779" s="65" t="s">
        <v>1921</v>
      </c>
      <c r="X779" s="65" t="s">
        <v>102</v>
      </c>
      <c r="Y779" s="65" t="s">
        <v>3093</v>
      </c>
      <c r="Z779" s="65" t="s">
        <v>4</v>
      </c>
      <c r="AA779" s="65" t="s">
        <v>3439</v>
      </c>
    </row>
    <row r="780" spans="1:27" ht="17.45" customHeight="1">
      <c r="A780" s="131" t="str">
        <f>IF(priority(Main[[#This Row],[Comments]])&lt;&gt;0, priority(Main[[#This Row],[Comments]]),"")</f>
        <v/>
      </c>
      <c r="B780" s="99" t="s">
        <v>1613</v>
      </c>
      <c r="C780" s="65" t="s">
        <v>4</v>
      </c>
      <c r="D780" s="66" t="s">
        <v>685</v>
      </c>
      <c r="E780" s="67">
        <v>40464.400208333333</v>
      </c>
      <c r="F780" s="67"/>
      <c r="G780" s="64" t="str">
        <f>IF(stdProdLT(Main[[#This Row],[Comments]])=0.1,"N/A",IF(stdProdLT(Main[[#This Row],[Comments]])=0,"",stdProdLT(Main[[#This Row],[Comments]])))</f>
        <v/>
      </c>
      <c r="H780" s="68" t="str">
        <f>IF(AND(Main[[#This Row],[In Stock Date]]&lt;&gt;"",Main[[#This Row],[Revised Due Date]]&lt;&gt;""),Main[[#This Row],[In Stock Date]]-Main[[#This Row],[Revised Due Date]],"")</f>
        <v/>
      </c>
      <c r="I780" s="65" t="s">
        <v>4</v>
      </c>
      <c r="J780" s="65" t="s">
        <v>4</v>
      </c>
      <c r="K780" s="65" t="s">
        <v>4</v>
      </c>
      <c r="L780" s="67"/>
      <c r="M780" s="69" t="str">
        <f>IF(Main[[#This Row],[Tech Start Date]]&lt;1/1/1990,"",IF(Main[[#This Row],[Class]]="C",WORKDAY(Main[[#This Row],[Tech Start Date]],9),IF(Main[[#This Row],[Class]]="B", WORKDAY(Main[[#This Row],[Tech Start Date]],6),IF(Main[[#This Row],[Class]]="A",WORKDAY(Main[[#This Row],[Tech Start Date]],2),""))))</f>
        <v/>
      </c>
      <c r="N780" s="69" t="str">
        <f>IF(Main[[#This Row],[Tech Start Date]]&lt;1/1/1990,"",IF(Main[[#This Row],[Class]]="C",WORKDAY(Main[[#This Row],[Tech Start Date]],19),IF(Main[[#This Row],[Class]]="B", WORKDAY(Main[[#This Row],[Tech Start Date]],12),IF(Main[[#This Row],[Class]]="A",WORKDAY(Main[[#This Row],[Tech Start Date]],4),""))))</f>
        <v/>
      </c>
      <c r="O780" s="69" t="str">
        <f>IF(Main[[#This Row],[Tech Start Date]]&lt;1/1/1990,"",IF(Main[[#This Row],[Class]]="C",WORKDAY(Main[[#This Row],[Tech Start Date]],23),IF(Main[[#This Row],[Class]]="B", WORKDAY(Main[[#This Row],[Tech Start Date]],15),IF(Main[[#This Row],[Class]]="A",WORKDAY(Main[[#This Row],[Tech Start Date]],5),""))))</f>
        <v/>
      </c>
      <c r="P780" s="69" t="str">
        <f>IF(Main[[#This Row],[Tech Start Date]]&lt;1/1/1990,"",IF(Main[[#This Row],[Class]]="C",WORKDAY(Main[[#This Row],[Tech Start Date]],28),IF(Main[[#This Row],[Class]]="B", WORKDAY(Main[[#This Row],[Tech Start Date]],19),IF(Main[[#This Row],[Class]]="A",WORKDAY(Main[[#This Row],[Tech Start Date]],9),""))))</f>
        <v/>
      </c>
      <c r="Q780" s="67">
        <v>40512</v>
      </c>
      <c r="R780" s="67"/>
      <c r="S780" s="65" t="s">
        <v>6</v>
      </c>
      <c r="T780" s="70" t="s">
        <v>4</v>
      </c>
      <c r="U780" s="65" t="s">
        <v>7</v>
      </c>
      <c r="V780" s="65" t="s">
        <v>1917</v>
      </c>
      <c r="W780" s="65" t="s">
        <v>4</v>
      </c>
      <c r="X780" s="65" t="s">
        <v>2825</v>
      </c>
      <c r="Y780" s="65" t="s">
        <v>2938</v>
      </c>
      <c r="Z780" s="65" t="s">
        <v>4</v>
      </c>
      <c r="AA780" s="65" t="s">
        <v>2825</v>
      </c>
    </row>
    <row r="781" spans="1:27" ht="17.45" customHeight="1">
      <c r="A781" s="131" t="str">
        <f>IF(priority(Main[[#This Row],[Comments]])&lt;&gt;0, priority(Main[[#This Row],[Comments]]),"")</f>
        <v/>
      </c>
      <c r="B781" s="99" t="s">
        <v>1847</v>
      </c>
      <c r="C781" s="65" t="s">
        <v>67</v>
      </c>
      <c r="D781" s="66" t="s">
        <v>903</v>
      </c>
      <c r="E781" s="67"/>
      <c r="F781" s="67"/>
      <c r="G781" s="64" t="str">
        <f>IF(stdProdLT(Main[[#This Row],[Comments]])=0.1,"N/A",IF(stdProdLT(Main[[#This Row],[Comments]])=0,"",stdProdLT(Main[[#This Row],[Comments]])))</f>
        <v/>
      </c>
      <c r="H781" s="68" t="str">
        <f>IF(AND(Main[[#This Row],[In Stock Date]]&lt;&gt;"",Main[[#This Row],[Revised Due Date]]&lt;&gt;""),Main[[#This Row],[In Stock Date]]-Main[[#This Row],[Revised Due Date]],"")</f>
        <v/>
      </c>
      <c r="I781" s="65" t="s">
        <v>163</v>
      </c>
      <c r="J781" s="65" t="s">
        <v>4</v>
      </c>
      <c r="K781" s="71" t="s">
        <v>1929</v>
      </c>
      <c r="L781" s="67"/>
      <c r="M781" s="69" t="str">
        <f>IF(Main[[#This Row],[Tech Start Date]]&lt;1/1/1990,"",IF(Main[[#This Row],[Class]]="C",WORKDAY(Main[[#This Row],[Tech Start Date]],9),IF(Main[[#This Row],[Class]]="B", WORKDAY(Main[[#This Row],[Tech Start Date]],6),IF(Main[[#This Row],[Class]]="A",WORKDAY(Main[[#This Row],[Tech Start Date]],2),""))))</f>
        <v/>
      </c>
      <c r="N781" s="69" t="str">
        <f>IF(Main[[#This Row],[Tech Start Date]]&lt;1/1/1990,"",IF(Main[[#This Row],[Class]]="C",WORKDAY(Main[[#This Row],[Tech Start Date]],19),IF(Main[[#This Row],[Class]]="B", WORKDAY(Main[[#This Row],[Tech Start Date]],12),IF(Main[[#This Row],[Class]]="A",WORKDAY(Main[[#This Row],[Tech Start Date]],4),""))))</f>
        <v/>
      </c>
      <c r="O781" s="69" t="str">
        <f>IF(Main[[#This Row],[Tech Start Date]]&lt;1/1/1990,"",IF(Main[[#This Row],[Class]]="C",WORKDAY(Main[[#This Row],[Tech Start Date]],23),IF(Main[[#This Row],[Class]]="B", WORKDAY(Main[[#This Row],[Tech Start Date]],15),IF(Main[[#This Row],[Class]]="A",WORKDAY(Main[[#This Row],[Tech Start Date]],5),""))))</f>
        <v/>
      </c>
      <c r="P781" s="69" t="str">
        <f>IF(Main[[#This Row],[Tech Start Date]]&lt;1/1/1990,"",IF(Main[[#This Row],[Class]]="C",WORKDAY(Main[[#This Row],[Tech Start Date]],28),IF(Main[[#This Row],[Class]]="B", WORKDAY(Main[[#This Row],[Tech Start Date]],19),IF(Main[[#This Row],[Class]]="A",WORKDAY(Main[[#This Row],[Tech Start Date]],9),""))))</f>
        <v/>
      </c>
      <c r="Q781" s="67">
        <v>39990</v>
      </c>
      <c r="R781" s="67">
        <v>40497</v>
      </c>
      <c r="S781" s="65" t="s">
        <v>17</v>
      </c>
      <c r="T781" s="70" t="s">
        <v>4</v>
      </c>
      <c r="U781" s="65" t="s">
        <v>14</v>
      </c>
      <c r="V781" s="65" t="s">
        <v>1920</v>
      </c>
      <c r="W781" s="65" t="s">
        <v>1922</v>
      </c>
      <c r="X781" s="65" t="s">
        <v>2826</v>
      </c>
      <c r="Y781" s="65" t="s">
        <v>2940</v>
      </c>
      <c r="Z781" s="65" t="s">
        <v>415</v>
      </c>
      <c r="AA781" s="65" t="s">
        <v>3392</v>
      </c>
    </row>
    <row r="782" spans="1:27" ht="17.45" customHeight="1">
      <c r="A782" s="131" t="str">
        <f>IF(priority(Main[[#This Row],[Comments]])&lt;&gt;0, priority(Main[[#This Row],[Comments]]),"")</f>
        <v/>
      </c>
      <c r="B782" s="99" t="s">
        <v>1599</v>
      </c>
      <c r="C782" s="65" t="s">
        <v>31</v>
      </c>
      <c r="D782" s="66" t="s">
        <v>674</v>
      </c>
      <c r="E782" s="67"/>
      <c r="F782" s="67">
        <v>40725</v>
      </c>
      <c r="G782" s="64" t="str">
        <f>IF(stdProdLT(Main[[#This Row],[Comments]])=0.1,"N/A",IF(stdProdLT(Main[[#This Row],[Comments]])=0,"",stdProdLT(Main[[#This Row],[Comments]])))</f>
        <v/>
      </c>
      <c r="H782" s="68" t="str">
        <f>IF(AND(Main[[#This Row],[In Stock Date]]&lt;&gt;"",Main[[#This Row],[Revised Due Date]]&lt;&gt;""),Main[[#This Row],[In Stock Date]]-Main[[#This Row],[Revised Due Date]],"")</f>
        <v/>
      </c>
      <c r="I782" s="65" t="s">
        <v>4</v>
      </c>
      <c r="J782" s="65" t="s">
        <v>4</v>
      </c>
      <c r="K782" s="65" t="s">
        <v>4</v>
      </c>
      <c r="L782" s="67"/>
      <c r="M782" s="69" t="str">
        <f>IF(Main[[#This Row],[Tech Start Date]]&lt;1/1/1990,"",IF(Main[[#This Row],[Class]]="C",WORKDAY(Main[[#This Row],[Tech Start Date]],9),IF(Main[[#This Row],[Class]]="B", WORKDAY(Main[[#This Row],[Tech Start Date]],6),IF(Main[[#This Row],[Class]]="A",WORKDAY(Main[[#This Row],[Tech Start Date]],2),""))))</f>
        <v/>
      </c>
      <c r="N782" s="69" t="str">
        <f>IF(Main[[#This Row],[Tech Start Date]]&lt;1/1/1990,"",IF(Main[[#This Row],[Class]]="C",WORKDAY(Main[[#This Row],[Tech Start Date]],19),IF(Main[[#This Row],[Class]]="B", WORKDAY(Main[[#This Row],[Tech Start Date]],12),IF(Main[[#This Row],[Class]]="A",WORKDAY(Main[[#This Row],[Tech Start Date]],4),""))))</f>
        <v/>
      </c>
      <c r="O782" s="69" t="str">
        <f>IF(Main[[#This Row],[Tech Start Date]]&lt;1/1/1990,"",IF(Main[[#This Row],[Class]]="C",WORKDAY(Main[[#This Row],[Tech Start Date]],23),IF(Main[[#This Row],[Class]]="B", WORKDAY(Main[[#This Row],[Tech Start Date]],15),IF(Main[[#This Row],[Class]]="A",WORKDAY(Main[[#This Row],[Tech Start Date]],5),""))))</f>
        <v/>
      </c>
      <c r="P782" s="69" t="str">
        <f>IF(Main[[#This Row],[Tech Start Date]]&lt;1/1/1990,"",IF(Main[[#This Row],[Class]]="C",WORKDAY(Main[[#This Row],[Tech Start Date]],28),IF(Main[[#This Row],[Class]]="B", WORKDAY(Main[[#This Row],[Tech Start Date]],19),IF(Main[[#This Row],[Class]]="A",WORKDAY(Main[[#This Row],[Tech Start Date]],9),""))))</f>
        <v/>
      </c>
      <c r="Q782" s="67">
        <v>40634</v>
      </c>
      <c r="R782" s="67"/>
      <c r="S782" s="65" t="s">
        <v>11</v>
      </c>
      <c r="T782" s="70" t="s">
        <v>4</v>
      </c>
      <c r="U782" s="65" t="s">
        <v>14</v>
      </c>
      <c r="V782" s="65" t="s">
        <v>1920</v>
      </c>
      <c r="W782" s="65" t="s">
        <v>1923</v>
      </c>
      <c r="X782" s="65" t="s">
        <v>2851</v>
      </c>
      <c r="Y782" s="65" t="s">
        <v>3071</v>
      </c>
      <c r="Z782" s="65" t="s">
        <v>4</v>
      </c>
      <c r="AA782" s="65" t="s">
        <v>2851</v>
      </c>
    </row>
    <row r="783" spans="1:27" ht="17.45" customHeight="1">
      <c r="A783" s="131" t="str">
        <f>IF(priority(Main[[#This Row],[Comments]])&lt;&gt;0, priority(Main[[#This Row],[Comments]]),"")</f>
        <v/>
      </c>
      <c r="B783" s="99" t="s">
        <v>1712</v>
      </c>
      <c r="C783" s="65" t="s">
        <v>31</v>
      </c>
      <c r="D783" s="66" t="s">
        <v>770</v>
      </c>
      <c r="E783" s="67"/>
      <c r="F783" s="67">
        <v>40664</v>
      </c>
      <c r="G783" s="64" t="str">
        <f>IF(stdProdLT(Main[[#This Row],[Comments]])=0.1,"N/A",IF(stdProdLT(Main[[#This Row],[Comments]])=0,"",stdProdLT(Main[[#This Row],[Comments]])))</f>
        <v/>
      </c>
      <c r="H783" s="68" t="str">
        <f>IF(AND(Main[[#This Row],[In Stock Date]]&lt;&gt;"",Main[[#This Row],[Revised Due Date]]&lt;&gt;""),Main[[#This Row],[In Stock Date]]-Main[[#This Row],[Revised Due Date]],"")</f>
        <v/>
      </c>
      <c r="I783" s="65" t="s">
        <v>4</v>
      </c>
      <c r="J783" s="65" t="s">
        <v>28</v>
      </c>
      <c r="K783" s="65" t="s">
        <v>4</v>
      </c>
      <c r="L783" s="67"/>
      <c r="M783" s="69" t="str">
        <f>IF(Main[[#This Row],[Tech Start Date]]&lt;1/1/1990,"",IF(Main[[#This Row],[Class]]="C",WORKDAY(Main[[#This Row],[Tech Start Date]],9),IF(Main[[#This Row],[Class]]="B", WORKDAY(Main[[#This Row],[Tech Start Date]],6),IF(Main[[#This Row],[Class]]="A",WORKDAY(Main[[#This Row],[Tech Start Date]],2),""))))</f>
        <v/>
      </c>
      <c r="N783" s="69" t="str">
        <f>IF(Main[[#This Row],[Tech Start Date]]&lt;1/1/1990,"",IF(Main[[#This Row],[Class]]="C",WORKDAY(Main[[#This Row],[Tech Start Date]],19),IF(Main[[#This Row],[Class]]="B", WORKDAY(Main[[#This Row],[Tech Start Date]],12),IF(Main[[#This Row],[Class]]="A",WORKDAY(Main[[#This Row],[Tech Start Date]],4),""))))</f>
        <v/>
      </c>
      <c r="O783" s="69" t="str">
        <f>IF(Main[[#This Row],[Tech Start Date]]&lt;1/1/1990,"",IF(Main[[#This Row],[Class]]="C",WORKDAY(Main[[#This Row],[Tech Start Date]],23),IF(Main[[#This Row],[Class]]="B", WORKDAY(Main[[#This Row],[Tech Start Date]],15),IF(Main[[#This Row],[Class]]="A",WORKDAY(Main[[#This Row],[Tech Start Date]],5),""))))</f>
        <v/>
      </c>
      <c r="P783" s="69" t="str">
        <f>IF(Main[[#This Row],[Tech Start Date]]&lt;1/1/1990,"",IF(Main[[#This Row],[Class]]="C",WORKDAY(Main[[#This Row],[Tech Start Date]],28),IF(Main[[#This Row],[Class]]="B", WORKDAY(Main[[#This Row],[Tech Start Date]],19),IF(Main[[#This Row],[Class]]="A",WORKDAY(Main[[#This Row],[Tech Start Date]],9),""))))</f>
        <v/>
      </c>
      <c r="Q783" s="67">
        <v>40589</v>
      </c>
      <c r="R783" s="67"/>
      <c r="S783" s="65" t="s">
        <v>11</v>
      </c>
      <c r="T783" s="70" t="s">
        <v>4</v>
      </c>
      <c r="U783" s="65" t="s">
        <v>14</v>
      </c>
      <c r="V783" s="65" t="s">
        <v>1920</v>
      </c>
      <c r="W783" s="65" t="s">
        <v>1923</v>
      </c>
      <c r="X783" s="65" t="s">
        <v>50</v>
      </c>
      <c r="Y783" s="65" t="s">
        <v>3126</v>
      </c>
      <c r="Z783" s="65" t="s">
        <v>30</v>
      </c>
      <c r="AA783" s="65" t="s">
        <v>2831</v>
      </c>
    </row>
    <row r="784" spans="1:27" ht="17.45" customHeight="1">
      <c r="A784" s="131" t="str">
        <f>IF(priority(Main[[#This Row],[Comments]])&lt;&gt;0, priority(Main[[#This Row],[Comments]]),"")</f>
        <v/>
      </c>
      <c r="B784" s="99" t="s">
        <v>3618</v>
      </c>
      <c r="C784" s="65" t="s">
        <v>3619</v>
      </c>
      <c r="D784" s="66" t="s">
        <v>3620</v>
      </c>
      <c r="E784" s="67">
        <v>40960.213784722226</v>
      </c>
      <c r="F784" s="67">
        <v>41146</v>
      </c>
      <c r="G784" s="64">
        <f>IF(stdProdLT(Main[[#This Row],[Comments]])=0.1,"N/A",IF(stdProdLT(Main[[#This Row],[Comments]])=0,"",stdProdLT(Main[[#This Row],[Comments]])))</f>
        <v>126</v>
      </c>
      <c r="H784" s="68" t="str">
        <f>IF(AND(Main[[#This Row],[In Stock Date]]&lt;&gt;"",Main[[#This Row],[Revised Due Date]]&lt;&gt;""),Main[[#This Row],[In Stock Date]]-Main[[#This Row],[Revised Due Date]],"")</f>
        <v/>
      </c>
      <c r="I784" s="65" t="s">
        <v>4</v>
      </c>
      <c r="J784" s="65" t="s">
        <v>4</v>
      </c>
      <c r="K784" s="65" t="s">
        <v>4</v>
      </c>
      <c r="L784" s="67"/>
      <c r="M784" s="69" t="str">
        <f>IF(Main[[#This Row],[Tech Start Date]]&lt;1/1/1990,"",IF(Main[[#This Row],[Class]]="C",WORKDAY(Main[[#This Row],[Tech Start Date]],9),IF(Main[[#This Row],[Class]]="B", WORKDAY(Main[[#This Row],[Tech Start Date]],6),IF(Main[[#This Row],[Class]]="A",WORKDAY(Main[[#This Row],[Tech Start Date]],2),""))))</f>
        <v/>
      </c>
      <c r="N784" s="69" t="str">
        <f>IF(Main[[#This Row],[Tech Start Date]]&lt;1/1/1990,"",IF(Main[[#This Row],[Class]]="C",WORKDAY(Main[[#This Row],[Tech Start Date]],19),IF(Main[[#This Row],[Class]]="B", WORKDAY(Main[[#This Row],[Tech Start Date]],12),IF(Main[[#This Row],[Class]]="A",WORKDAY(Main[[#This Row],[Tech Start Date]],4),""))))</f>
        <v/>
      </c>
      <c r="O784" s="69" t="str">
        <f>IF(Main[[#This Row],[Tech Start Date]]&lt;1/1/1990,"",IF(Main[[#This Row],[Class]]="C",WORKDAY(Main[[#This Row],[Tech Start Date]],23),IF(Main[[#This Row],[Class]]="B", WORKDAY(Main[[#This Row],[Tech Start Date]],15),IF(Main[[#This Row],[Class]]="A",WORKDAY(Main[[#This Row],[Tech Start Date]],5),""))))</f>
        <v/>
      </c>
      <c r="P784" s="69" t="str">
        <f>IF(Main[[#This Row],[Tech Start Date]]&lt;1/1/1990,"",IF(Main[[#This Row],[Class]]="C",WORKDAY(Main[[#This Row],[Tech Start Date]],28),IF(Main[[#This Row],[Class]]="B", WORKDAY(Main[[#This Row],[Tech Start Date]],19),IF(Main[[#This Row],[Class]]="A",WORKDAY(Main[[#This Row],[Tech Start Date]],9),""))))</f>
        <v/>
      </c>
      <c r="Q784" s="67"/>
      <c r="R784" s="67"/>
      <c r="S784" s="65" t="s">
        <v>11</v>
      </c>
      <c r="T784" s="70" t="s">
        <v>3621</v>
      </c>
      <c r="U784" s="65" t="s">
        <v>7</v>
      </c>
      <c r="V784" s="65" t="s">
        <v>1920</v>
      </c>
      <c r="W784" s="65" t="s">
        <v>1922</v>
      </c>
      <c r="X784" s="65" t="s">
        <v>2899</v>
      </c>
      <c r="Y784" s="65" t="s">
        <v>3061</v>
      </c>
      <c r="Z784" s="65" t="s">
        <v>4</v>
      </c>
      <c r="AA784" s="65" t="s">
        <v>2899</v>
      </c>
    </row>
    <row r="785" spans="1:27" ht="17.45" customHeight="1">
      <c r="A785" s="131" t="str">
        <f>IF(priority(Main[[#This Row],[Comments]])&lt;&gt;0, priority(Main[[#This Row],[Comments]]),"")</f>
        <v/>
      </c>
      <c r="B785" s="99" t="s">
        <v>1600</v>
      </c>
      <c r="C785" s="65" t="s">
        <v>4</v>
      </c>
      <c r="D785" s="66" t="s">
        <v>675</v>
      </c>
      <c r="E785" s="67"/>
      <c r="F785" s="67"/>
      <c r="G785" s="64" t="str">
        <f>IF(stdProdLT(Main[[#This Row],[Comments]])=0.1,"N/A",IF(stdProdLT(Main[[#This Row],[Comments]])=0,"",stdProdLT(Main[[#This Row],[Comments]])))</f>
        <v/>
      </c>
      <c r="H785" s="68" t="str">
        <f>IF(AND(Main[[#This Row],[In Stock Date]]&lt;&gt;"",Main[[#This Row],[Revised Due Date]]&lt;&gt;""),Main[[#This Row],[In Stock Date]]-Main[[#This Row],[Revised Due Date]],"")</f>
        <v/>
      </c>
      <c r="I785" s="65" t="s">
        <v>102</v>
      </c>
      <c r="J785" s="65" t="s">
        <v>4</v>
      </c>
      <c r="K785" s="65" t="s">
        <v>1924</v>
      </c>
      <c r="L785" s="67"/>
      <c r="M785" s="69" t="str">
        <f>IF(Main[[#This Row],[Tech Start Date]]&lt;1/1/1990,"",IF(Main[[#This Row],[Class]]="C",WORKDAY(Main[[#This Row],[Tech Start Date]],9),IF(Main[[#This Row],[Class]]="B", WORKDAY(Main[[#This Row],[Tech Start Date]],6),IF(Main[[#This Row],[Class]]="A",WORKDAY(Main[[#This Row],[Tech Start Date]],2),""))))</f>
        <v/>
      </c>
      <c r="N785" s="69" t="str">
        <f>IF(Main[[#This Row],[Tech Start Date]]&lt;1/1/1990,"",IF(Main[[#This Row],[Class]]="C",WORKDAY(Main[[#This Row],[Tech Start Date]],19),IF(Main[[#This Row],[Class]]="B", WORKDAY(Main[[#This Row],[Tech Start Date]],12),IF(Main[[#This Row],[Class]]="A",WORKDAY(Main[[#This Row],[Tech Start Date]],4),""))))</f>
        <v/>
      </c>
      <c r="O785" s="69" t="str">
        <f>IF(Main[[#This Row],[Tech Start Date]]&lt;1/1/1990,"",IF(Main[[#This Row],[Class]]="C",WORKDAY(Main[[#This Row],[Tech Start Date]],23),IF(Main[[#This Row],[Class]]="B", WORKDAY(Main[[#This Row],[Tech Start Date]],15),IF(Main[[#This Row],[Class]]="A",WORKDAY(Main[[#This Row],[Tech Start Date]],5),""))))</f>
        <v/>
      </c>
      <c r="P785" s="69" t="str">
        <f>IF(Main[[#This Row],[Tech Start Date]]&lt;1/1/1990,"",IF(Main[[#This Row],[Class]]="C",WORKDAY(Main[[#This Row],[Tech Start Date]],28),IF(Main[[#This Row],[Class]]="B", WORKDAY(Main[[#This Row],[Tech Start Date]],19),IF(Main[[#This Row],[Class]]="A",WORKDAY(Main[[#This Row],[Tech Start Date]],9),""))))</f>
        <v/>
      </c>
      <c r="Q785" s="67"/>
      <c r="R785" s="67"/>
      <c r="S785" s="65" t="s">
        <v>23</v>
      </c>
      <c r="T785" s="70" t="s">
        <v>4</v>
      </c>
      <c r="U785" s="65" t="s">
        <v>14</v>
      </c>
      <c r="V785" s="65" t="s">
        <v>1917</v>
      </c>
      <c r="W785" s="65" t="s">
        <v>1921</v>
      </c>
      <c r="X785" s="65" t="s">
        <v>306</v>
      </c>
      <c r="Y785" s="65" t="s">
        <v>4</v>
      </c>
      <c r="Z785" s="65" t="s">
        <v>4</v>
      </c>
      <c r="AA785" s="65" t="s">
        <v>3439</v>
      </c>
    </row>
    <row r="786" spans="1:27" ht="17.45" customHeight="1">
      <c r="A786" s="131" t="str">
        <f>IF(priority(Main[[#This Row],[Comments]])&lt;&gt;0, priority(Main[[#This Row],[Comments]]),"")</f>
        <v/>
      </c>
      <c r="B786" s="99" t="s">
        <v>1601</v>
      </c>
      <c r="C786" s="65" t="s">
        <v>4</v>
      </c>
      <c r="D786" s="66" t="s">
        <v>676</v>
      </c>
      <c r="E786" s="67">
        <v>40491.714780092596</v>
      </c>
      <c r="F786" s="67"/>
      <c r="G786" s="64" t="str">
        <f>IF(stdProdLT(Main[[#This Row],[Comments]])=0.1,"N/A",IF(stdProdLT(Main[[#This Row],[Comments]])=0,"",stdProdLT(Main[[#This Row],[Comments]])))</f>
        <v/>
      </c>
      <c r="H786" s="68" t="str">
        <f>IF(AND(Main[[#This Row],[In Stock Date]]&lt;&gt;"",Main[[#This Row],[Revised Due Date]]&lt;&gt;""),Main[[#This Row],[In Stock Date]]-Main[[#This Row],[Revised Due Date]],"")</f>
        <v/>
      </c>
      <c r="I786" s="65" t="s">
        <v>4</v>
      </c>
      <c r="J786" s="65" t="s">
        <v>28</v>
      </c>
      <c r="K786" s="65" t="s">
        <v>1924</v>
      </c>
      <c r="L786" s="67"/>
      <c r="M786" s="69" t="str">
        <f>IF(Main[[#This Row],[Tech Start Date]]&lt;1/1/1990,"",IF(Main[[#This Row],[Class]]="C",WORKDAY(Main[[#This Row],[Tech Start Date]],9),IF(Main[[#This Row],[Class]]="B", WORKDAY(Main[[#This Row],[Tech Start Date]],6),IF(Main[[#This Row],[Class]]="A",WORKDAY(Main[[#This Row],[Tech Start Date]],2),""))))</f>
        <v/>
      </c>
      <c r="N786" s="69" t="str">
        <f>IF(Main[[#This Row],[Tech Start Date]]&lt;1/1/1990,"",IF(Main[[#This Row],[Class]]="C",WORKDAY(Main[[#This Row],[Tech Start Date]],19),IF(Main[[#This Row],[Class]]="B", WORKDAY(Main[[#This Row],[Tech Start Date]],12),IF(Main[[#This Row],[Class]]="A",WORKDAY(Main[[#This Row],[Tech Start Date]],4),""))))</f>
        <v/>
      </c>
      <c r="O786" s="69" t="str">
        <f>IF(Main[[#This Row],[Tech Start Date]]&lt;1/1/1990,"",IF(Main[[#This Row],[Class]]="C",WORKDAY(Main[[#This Row],[Tech Start Date]],23),IF(Main[[#This Row],[Class]]="B", WORKDAY(Main[[#This Row],[Tech Start Date]],15),IF(Main[[#This Row],[Class]]="A",WORKDAY(Main[[#This Row],[Tech Start Date]],5),""))))</f>
        <v/>
      </c>
      <c r="P786" s="69" t="str">
        <f>IF(Main[[#This Row],[Tech Start Date]]&lt;1/1/1990,"",IF(Main[[#This Row],[Class]]="C",WORKDAY(Main[[#This Row],[Tech Start Date]],28),IF(Main[[#This Row],[Class]]="B", WORKDAY(Main[[#This Row],[Tech Start Date]],19),IF(Main[[#This Row],[Class]]="A",WORKDAY(Main[[#This Row],[Tech Start Date]],9),""))))</f>
        <v/>
      </c>
      <c r="Q786" s="67">
        <v>40520</v>
      </c>
      <c r="R786" s="67"/>
      <c r="S786" s="65" t="s">
        <v>6</v>
      </c>
      <c r="T786" s="70" t="s">
        <v>4</v>
      </c>
      <c r="U786" s="65" t="s">
        <v>7</v>
      </c>
      <c r="V786" s="65" t="s">
        <v>1917</v>
      </c>
      <c r="W786" s="65" t="s">
        <v>1919</v>
      </c>
      <c r="X786" s="65" t="s">
        <v>2827</v>
      </c>
      <c r="Y786" s="65" t="s">
        <v>2942</v>
      </c>
      <c r="Z786" s="65" t="s">
        <v>129</v>
      </c>
      <c r="AA786" s="65" t="s">
        <v>2827</v>
      </c>
    </row>
    <row r="787" spans="1:27" ht="17.45" customHeight="1">
      <c r="A787" s="131" t="str">
        <f>IF(priority(Main[[#This Row],[Comments]])&lt;&gt;0, priority(Main[[#This Row],[Comments]]),"")</f>
        <v/>
      </c>
      <c r="B787" s="99" t="s">
        <v>1602</v>
      </c>
      <c r="C787" s="65" t="s">
        <v>47</v>
      </c>
      <c r="D787" s="66" t="s">
        <v>677</v>
      </c>
      <c r="E787" s="67"/>
      <c r="F787" s="67"/>
      <c r="G787" s="64" t="str">
        <f>IF(stdProdLT(Main[[#This Row],[Comments]])=0.1,"N/A",IF(stdProdLT(Main[[#This Row],[Comments]])=0,"",stdProdLT(Main[[#This Row],[Comments]])))</f>
        <v/>
      </c>
      <c r="H787" s="68" t="str">
        <f>IF(AND(Main[[#This Row],[In Stock Date]]&lt;&gt;"",Main[[#This Row],[Revised Due Date]]&lt;&gt;""),Main[[#This Row],[In Stock Date]]-Main[[#This Row],[Revised Due Date]],"")</f>
        <v/>
      </c>
      <c r="I787" s="65" t="s">
        <v>4</v>
      </c>
      <c r="J787" s="65" t="s">
        <v>4</v>
      </c>
      <c r="K787" s="65" t="s">
        <v>4</v>
      </c>
      <c r="L787" s="67"/>
      <c r="M787" s="69" t="str">
        <f>IF(Main[[#This Row],[Tech Start Date]]&lt;1/1/1990,"",IF(Main[[#This Row],[Class]]="C",WORKDAY(Main[[#This Row],[Tech Start Date]],9),IF(Main[[#This Row],[Class]]="B", WORKDAY(Main[[#This Row],[Tech Start Date]],6),IF(Main[[#This Row],[Class]]="A",WORKDAY(Main[[#This Row],[Tech Start Date]],2),""))))</f>
        <v/>
      </c>
      <c r="N787" s="69" t="str">
        <f>IF(Main[[#This Row],[Tech Start Date]]&lt;1/1/1990,"",IF(Main[[#This Row],[Class]]="C",WORKDAY(Main[[#This Row],[Tech Start Date]],19),IF(Main[[#This Row],[Class]]="B", WORKDAY(Main[[#This Row],[Tech Start Date]],12),IF(Main[[#This Row],[Class]]="A",WORKDAY(Main[[#This Row],[Tech Start Date]],4),""))))</f>
        <v/>
      </c>
      <c r="O787" s="69" t="str">
        <f>IF(Main[[#This Row],[Tech Start Date]]&lt;1/1/1990,"",IF(Main[[#This Row],[Class]]="C",WORKDAY(Main[[#This Row],[Tech Start Date]],23),IF(Main[[#This Row],[Class]]="B", WORKDAY(Main[[#This Row],[Tech Start Date]],15),IF(Main[[#This Row],[Class]]="A",WORKDAY(Main[[#This Row],[Tech Start Date]],5),""))))</f>
        <v/>
      </c>
      <c r="P787" s="69" t="str">
        <f>IF(Main[[#This Row],[Tech Start Date]]&lt;1/1/1990,"",IF(Main[[#This Row],[Class]]="C",WORKDAY(Main[[#This Row],[Tech Start Date]],28),IF(Main[[#This Row],[Class]]="B", WORKDAY(Main[[#This Row],[Tech Start Date]],19),IF(Main[[#This Row],[Class]]="A",WORKDAY(Main[[#This Row],[Tech Start Date]],9),""))))</f>
        <v/>
      </c>
      <c r="Q787" s="67"/>
      <c r="R787" s="67"/>
      <c r="S787" s="65" t="s">
        <v>11</v>
      </c>
      <c r="T787" s="70" t="s">
        <v>4</v>
      </c>
      <c r="U787" s="65" t="s">
        <v>14</v>
      </c>
      <c r="V787" s="65" t="s">
        <v>1918</v>
      </c>
      <c r="W787" s="65" t="s">
        <v>1921</v>
      </c>
      <c r="X787" s="65" t="s">
        <v>306</v>
      </c>
      <c r="Y787" s="65" t="s">
        <v>2947</v>
      </c>
      <c r="Z787" s="65" t="s">
        <v>4</v>
      </c>
      <c r="AA787" s="65" t="s">
        <v>3388</v>
      </c>
    </row>
    <row r="788" spans="1:27" ht="17.45" customHeight="1">
      <c r="A788" s="131" t="str">
        <f>IF(priority(Main[[#This Row],[Comments]])&lt;&gt;0, priority(Main[[#This Row],[Comments]]),"")</f>
        <v/>
      </c>
      <c r="B788" s="99" t="s">
        <v>1603</v>
      </c>
      <c r="C788" s="65" t="s">
        <v>275</v>
      </c>
      <c r="D788" s="66" t="s">
        <v>586</v>
      </c>
      <c r="E788" s="67"/>
      <c r="F788" s="67">
        <v>40186</v>
      </c>
      <c r="G788" s="64" t="str">
        <f>IF(stdProdLT(Main[[#This Row],[Comments]])=0.1,"N/A",IF(stdProdLT(Main[[#This Row],[Comments]])=0,"",stdProdLT(Main[[#This Row],[Comments]])))</f>
        <v/>
      </c>
      <c r="H788" s="68" t="str">
        <f>IF(AND(Main[[#This Row],[In Stock Date]]&lt;&gt;"",Main[[#This Row],[Revised Due Date]]&lt;&gt;""),Main[[#This Row],[In Stock Date]]-Main[[#This Row],[Revised Due Date]],"")</f>
        <v/>
      </c>
      <c r="I788" s="65" t="s">
        <v>4</v>
      </c>
      <c r="J788" s="65" t="s">
        <v>4</v>
      </c>
      <c r="K788" s="65" t="s">
        <v>4</v>
      </c>
      <c r="L788" s="67"/>
      <c r="M788" s="69" t="str">
        <f>IF(Main[[#This Row],[Tech Start Date]]&lt;1/1/1990,"",IF(Main[[#This Row],[Class]]="C",WORKDAY(Main[[#This Row],[Tech Start Date]],9),IF(Main[[#This Row],[Class]]="B", WORKDAY(Main[[#This Row],[Tech Start Date]],6),IF(Main[[#This Row],[Class]]="A",WORKDAY(Main[[#This Row],[Tech Start Date]],2),""))))</f>
        <v/>
      </c>
      <c r="N788" s="69" t="str">
        <f>IF(Main[[#This Row],[Tech Start Date]]&lt;1/1/1990,"",IF(Main[[#This Row],[Class]]="C",WORKDAY(Main[[#This Row],[Tech Start Date]],19),IF(Main[[#This Row],[Class]]="B", WORKDAY(Main[[#This Row],[Tech Start Date]],12),IF(Main[[#This Row],[Class]]="A",WORKDAY(Main[[#This Row],[Tech Start Date]],4),""))))</f>
        <v/>
      </c>
      <c r="O788" s="69" t="str">
        <f>IF(Main[[#This Row],[Tech Start Date]]&lt;1/1/1990,"",IF(Main[[#This Row],[Class]]="C",WORKDAY(Main[[#This Row],[Tech Start Date]],23),IF(Main[[#This Row],[Class]]="B", WORKDAY(Main[[#This Row],[Tech Start Date]],15),IF(Main[[#This Row],[Class]]="A",WORKDAY(Main[[#This Row],[Tech Start Date]],5),""))))</f>
        <v/>
      </c>
      <c r="P788" s="69" t="str">
        <f>IF(Main[[#This Row],[Tech Start Date]]&lt;1/1/1990,"",IF(Main[[#This Row],[Class]]="C",WORKDAY(Main[[#This Row],[Tech Start Date]],28),IF(Main[[#This Row],[Class]]="B", WORKDAY(Main[[#This Row],[Tech Start Date]],19),IF(Main[[#This Row],[Class]]="A",WORKDAY(Main[[#This Row],[Tech Start Date]],9),""))))</f>
        <v/>
      </c>
      <c r="Q788" s="67">
        <v>40186</v>
      </c>
      <c r="R788" s="67"/>
      <c r="S788" s="65" t="s">
        <v>11</v>
      </c>
      <c r="T788" s="70" t="s">
        <v>4</v>
      </c>
      <c r="U788" s="65" t="s">
        <v>14</v>
      </c>
      <c r="V788" s="65" t="s">
        <v>1920</v>
      </c>
      <c r="W788" s="65" t="s">
        <v>1925</v>
      </c>
      <c r="X788" s="65" t="s">
        <v>2848</v>
      </c>
      <c r="Y788" s="65" t="s">
        <v>4</v>
      </c>
      <c r="Z788" s="65" t="s">
        <v>4</v>
      </c>
      <c r="AA788" s="65" t="s">
        <v>2848</v>
      </c>
    </row>
    <row r="789" spans="1:27" ht="17.45" customHeight="1">
      <c r="A789" s="131" t="str">
        <f>IF(priority(Main[[#This Row],[Comments]])&lt;&gt;0, priority(Main[[#This Row],[Comments]]),"")</f>
        <v/>
      </c>
      <c r="B789" s="99" t="s">
        <v>1057</v>
      </c>
      <c r="C789" s="65" t="s">
        <v>4</v>
      </c>
      <c r="D789" s="66" t="s">
        <v>39</v>
      </c>
      <c r="E789" s="67"/>
      <c r="F789" s="67"/>
      <c r="G789" s="64" t="str">
        <f>IF(stdProdLT(Main[[#This Row],[Comments]])=0.1,"N/A",IF(stdProdLT(Main[[#This Row],[Comments]])=0,"",stdProdLT(Main[[#This Row],[Comments]])))</f>
        <v/>
      </c>
      <c r="H789" s="68" t="str">
        <f>IF(AND(Main[[#This Row],[In Stock Date]]&lt;&gt;"",Main[[#This Row],[Revised Due Date]]&lt;&gt;""),Main[[#This Row],[In Stock Date]]-Main[[#This Row],[Revised Due Date]],"")</f>
        <v/>
      </c>
      <c r="I789" s="65" t="s">
        <v>489</v>
      </c>
      <c r="J789" s="65" t="s">
        <v>70</v>
      </c>
      <c r="K789" s="65" t="s">
        <v>1926</v>
      </c>
      <c r="L789" s="67"/>
      <c r="M789" s="69" t="str">
        <f>IF(Main[[#This Row],[Tech Start Date]]&lt;1/1/1990,"",IF(Main[[#This Row],[Class]]="C",WORKDAY(Main[[#This Row],[Tech Start Date]],9),IF(Main[[#This Row],[Class]]="B", WORKDAY(Main[[#This Row],[Tech Start Date]],6),IF(Main[[#This Row],[Class]]="A",WORKDAY(Main[[#This Row],[Tech Start Date]],2),""))))</f>
        <v/>
      </c>
      <c r="N789" s="69" t="str">
        <f>IF(Main[[#This Row],[Tech Start Date]]&lt;1/1/1990,"",IF(Main[[#This Row],[Class]]="C",WORKDAY(Main[[#This Row],[Tech Start Date]],19),IF(Main[[#This Row],[Class]]="B", WORKDAY(Main[[#This Row],[Tech Start Date]],12),IF(Main[[#This Row],[Class]]="A",WORKDAY(Main[[#This Row],[Tech Start Date]],4),""))))</f>
        <v/>
      </c>
      <c r="O789" s="69" t="str">
        <f>IF(Main[[#This Row],[Tech Start Date]]&lt;1/1/1990,"",IF(Main[[#This Row],[Class]]="C",WORKDAY(Main[[#This Row],[Tech Start Date]],23),IF(Main[[#This Row],[Class]]="B", WORKDAY(Main[[#This Row],[Tech Start Date]],15),IF(Main[[#This Row],[Class]]="A",WORKDAY(Main[[#This Row],[Tech Start Date]],5),""))))</f>
        <v/>
      </c>
      <c r="P789" s="69" t="str">
        <f>IF(Main[[#This Row],[Tech Start Date]]&lt;1/1/1990,"",IF(Main[[#This Row],[Class]]="C",WORKDAY(Main[[#This Row],[Tech Start Date]],28),IF(Main[[#This Row],[Class]]="B", WORKDAY(Main[[#This Row],[Tech Start Date]],19),IF(Main[[#This Row],[Class]]="A",WORKDAY(Main[[#This Row],[Tech Start Date]],9),""))))</f>
        <v/>
      </c>
      <c r="Q789" s="67">
        <v>40704</v>
      </c>
      <c r="R789" s="67"/>
      <c r="S789" s="65" t="s">
        <v>6</v>
      </c>
      <c r="T789" s="70" t="s">
        <v>4</v>
      </c>
      <c r="U789" s="65" t="s">
        <v>14</v>
      </c>
      <c r="V789" s="65" t="s">
        <v>1920</v>
      </c>
      <c r="W789" s="65" t="s">
        <v>1921</v>
      </c>
      <c r="X789" s="65" t="s">
        <v>2824</v>
      </c>
      <c r="Y789" s="65" t="s">
        <v>2935</v>
      </c>
      <c r="Z789" s="65" t="s">
        <v>30</v>
      </c>
      <c r="AA789" s="65" t="s">
        <v>2824</v>
      </c>
    </row>
    <row r="790" spans="1:27" ht="17.45" customHeight="1">
      <c r="A790" s="131" t="str">
        <f>IF(priority(Main[[#This Row],[Comments]])&lt;&gt;0, priority(Main[[#This Row],[Comments]]),"")</f>
        <v/>
      </c>
      <c r="B790" s="99" t="s">
        <v>1605</v>
      </c>
      <c r="C790" s="65" t="s">
        <v>4</v>
      </c>
      <c r="D790" s="66" t="s">
        <v>679</v>
      </c>
      <c r="E790" s="67">
        <v>40497.338240740741</v>
      </c>
      <c r="F790" s="67"/>
      <c r="G790" s="64" t="str">
        <f>IF(stdProdLT(Main[[#This Row],[Comments]])=0.1,"N/A",IF(stdProdLT(Main[[#This Row],[Comments]])=0,"",stdProdLT(Main[[#This Row],[Comments]])))</f>
        <v/>
      </c>
      <c r="H790" s="68" t="str">
        <f>IF(AND(Main[[#This Row],[In Stock Date]]&lt;&gt;"",Main[[#This Row],[Revised Due Date]]&lt;&gt;""),Main[[#This Row],[In Stock Date]]-Main[[#This Row],[Revised Due Date]],"")</f>
        <v/>
      </c>
      <c r="I790" s="65" t="s">
        <v>4</v>
      </c>
      <c r="J790" s="65" t="s">
        <v>4</v>
      </c>
      <c r="K790" s="65" t="s">
        <v>4</v>
      </c>
      <c r="L790" s="67"/>
      <c r="M790" s="69" t="str">
        <f>IF(Main[[#This Row],[Tech Start Date]]&lt;1/1/1990,"",IF(Main[[#This Row],[Class]]="C",WORKDAY(Main[[#This Row],[Tech Start Date]],9),IF(Main[[#This Row],[Class]]="B", WORKDAY(Main[[#This Row],[Tech Start Date]],6),IF(Main[[#This Row],[Class]]="A",WORKDAY(Main[[#This Row],[Tech Start Date]],2),""))))</f>
        <v/>
      </c>
      <c r="N790" s="69" t="str">
        <f>IF(Main[[#This Row],[Tech Start Date]]&lt;1/1/1990,"",IF(Main[[#This Row],[Class]]="C",WORKDAY(Main[[#This Row],[Tech Start Date]],19),IF(Main[[#This Row],[Class]]="B", WORKDAY(Main[[#This Row],[Tech Start Date]],12),IF(Main[[#This Row],[Class]]="A",WORKDAY(Main[[#This Row],[Tech Start Date]],4),""))))</f>
        <v/>
      </c>
      <c r="O790" s="69" t="str">
        <f>IF(Main[[#This Row],[Tech Start Date]]&lt;1/1/1990,"",IF(Main[[#This Row],[Class]]="C",WORKDAY(Main[[#This Row],[Tech Start Date]],23),IF(Main[[#This Row],[Class]]="B", WORKDAY(Main[[#This Row],[Tech Start Date]],15),IF(Main[[#This Row],[Class]]="A",WORKDAY(Main[[#This Row],[Tech Start Date]],5),""))))</f>
        <v/>
      </c>
      <c r="P790" s="69" t="str">
        <f>IF(Main[[#This Row],[Tech Start Date]]&lt;1/1/1990,"",IF(Main[[#This Row],[Class]]="C",WORKDAY(Main[[#This Row],[Tech Start Date]],28),IF(Main[[#This Row],[Class]]="B", WORKDAY(Main[[#This Row],[Tech Start Date]],19),IF(Main[[#This Row],[Class]]="A",WORKDAY(Main[[#This Row],[Tech Start Date]],9),""))))</f>
        <v/>
      </c>
      <c r="Q790" s="67">
        <v>40529</v>
      </c>
      <c r="R790" s="67"/>
      <c r="S790" s="65" t="s">
        <v>4</v>
      </c>
      <c r="T790" s="70" t="s">
        <v>4</v>
      </c>
      <c r="U790" s="65" t="s">
        <v>7</v>
      </c>
      <c r="V790" s="65" t="s">
        <v>1917</v>
      </c>
      <c r="W790" s="65" t="s">
        <v>4</v>
      </c>
      <c r="X790" s="65" t="s">
        <v>2824</v>
      </c>
      <c r="Y790" s="65" t="s">
        <v>2935</v>
      </c>
      <c r="Z790" s="65" t="s">
        <v>4</v>
      </c>
      <c r="AA790" s="65" t="s">
        <v>2824</v>
      </c>
    </row>
    <row r="791" spans="1:27" ht="17.45" customHeight="1">
      <c r="A791" s="131" t="str">
        <f>IF(priority(Main[[#This Row],[Comments]])&lt;&gt;0, priority(Main[[#This Row],[Comments]]),"")</f>
        <v/>
      </c>
      <c r="B791" s="99" t="s">
        <v>1606</v>
      </c>
      <c r="C791" s="65" t="s">
        <v>72</v>
      </c>
      <c r="D791" s="66" t="s">
        <v>647</v>
      </c>
      <c r="E791" s="67"/>
      <c r="F791" s="67"/>
      <c r="G791" s="64" t="str">
        <f>IF(stdProdLT(Main[[#This Row],[Comments]])=0.1,"N/A",IF(stdProdLT(Main[[#This Row],[Comments]])=0,"",stdProdLT(Main[[#This Row],[Comments]])))</f>
        <v/>
      </c>
      <c r="H791" s="68" t="str">
        <f>IF(AND(Main[[#This Row],[In Stock Date]]&lt;&gt;"",Main[[#This Row],[Revised Due Date]]&lt;&gt;""),Main[[#This Row],[In Stock Date]]-Main[[#This Row],[Revised Due Date]],"")</f>
        <v/>
      </c>
      <c r="I791" s="65" t="s">
        <v>4</v>
      </c>
      <c r="J791" s="65" t="s">
        <v>4</v>
      </c>
      <c r="K791" s="65" t="s">
        <v>4</v>
      </c>
      <c r="L791" s="67"/>
      <c r="M791" s="69" t="str">
        <f>IF(Main[[#This Row],[Tech Start Date]]&lt;1/1/1990,"",IF(Main[[#This Row],[Class]]="C",WORKDAY(Main[[#This Row],[Tech Start Date]],9),IF(Main[[#This Row],[Class]]="B", WORKDAY(Main[[#This Row],[Tech Start Date]],6),IF(Main[[#This Row],[Class]]="A",WORKDAY(Main[[#This Row],[Tech Start Date]],2),""))))</f>
        <v/>
      </c>
      <c r="N791" s="69" t="str">
        <f>IF(Main[[#This Row],[Tech Start Date]]&lt;1/1/1990,"",IF(Main[[#This Row],[Class]]="C",WORKDAY(Main[[#This Row],[Tech Start Date]],19),IF(Main[[#This Row],[Class]]="B", WORKDAY(Main[[#This Row],[Tech Start Date]],12),IF(Main[[#This Row],[Class]]="A",WORKDAY(Main[[#This Row],[Tech Start Date]],4),""))))</f>
        <v/>
      </c>
      <c r="O791" s="69" t="str">
        <f>IF(Main[[#This Row],[Tech Start Date]]&lt;1/1/1990,"",IF(Main[[#This Row],[Class]]="C",WORKDAY(Main[[#This Row],[Tech Start Date]],23),IF(Main[[#This Row],[Class]]="B", WORKDAY(Main[[#This Row],[Tech Start Date]],15),IF(Main[[#This Row],[Class]]="A",WORKDAY(Main[[#This Row],[Tech Start Date]],5),""))))</f>
        <v/>
      </c>
      <c r="P791" s="69" t="str">
        <f>IF(Main[[#This Row],[Tech Start Date]]&lt;1/1/1990,"",IF(Main[[#This Row],[Class]]="C",WORKDAY(Main[[#This Row],[Tech Start Date]],28),IF(Main[[#This Row],[Class]]="B", WORKDAY(Main[[#This Row],[Tech Start Date]],19),IF(Main[[#This Row],[Class]]="A",WORKDAY(Main[[#This Row],[Tech Start Date]],9),""))))</f>
        <v/>
      </c>
      <c r="Q791" s="67"/>
      <c r="R791" s="67"/>
      <c r="S791" s="65" t="s">
        <v>49</v>
      </c>
      <c r="T791" s="70" t="s">
        <v>4</v>
      </c>
      <c r="U791" s="65" t="s">
        <v>12</v>
      </c>
      <c r="V791" s="65" t="s">
        <v>1918</v>
      </c>
      <c r="W791" s="65" t="s">
        <v>1919</v>
      </c>
      <c r="X791" s="65" t="s">
        <v>2907</v>
      </c>
      <c r="Y791" s="65" t="s">
        <v>3085</v>
      </c>
      <c r="Z791" s="65" t="s">
        <v>4</v>
      </c>
      <c r="AA791" s="65" t="s">
        <v>2907</v>
      </c>
    </row>
    <row r="792" spans="1:27" ht="17.45" customHeight="1">
      <c r="A792" s="131" t="str">
        <f>IF(priority(Main[[#This Row],[Comments]])&lt;&gt;0, priority(Main[[#This Row],[Comments]]),"")</f>
        <v/>
      </c>
      <c r="B792" s="99" t="s">
        <v>1609</v>
      </c>
      <c r="C792" s="65" t="s">
        <v>4</v>
      </c>
      <c r="D792" s="66" t="s">
        <v>681</v>
      </c>
      <c r="E792" s="67">
        <v>40603.482094907406</v>
      </c>
      <c r="F792" s="67"/>
      <c r="G792" s="64" t="str">
        <f>IF(stdProdLT(Main[[#This Row],[Comments]])=0.1,"N/A",IF(stdProdLT(Main[[#This Row],[Comments]])=0,"",stdProdLT(Main[[#This Row],[Comments]])))</f>
        <v/>
      </c>
      <c r="H792" s="68" t="str">
        <f>IF(AND(Main[[#This Row],[In Stock Date]]&lt;&gt;"",Main[[#This Row],[Revised Due Date]]&lt;&gt;""),Main[[#This Row],[In Stock Date]]-Main[[#This Row],[Revised Due Date]],"")</f>
        <v/>
      </c>
      <c r="I792" s="65" t="s">
        <v>44</v>
      </c>
      <c r="J792" s="65" t="s">
        <v>28</v>
      </c>
      <c r="K792" s="65" t="s">
        <v>1926</v>
      </c>
      <c r="L792" s="67"/>
      <c r="M792" s="69" t="str">
        <f>IF(Main[[#This Row],[Tech Start Date]]&lt;1/1/1990,"",IF(Main[[#This Row],[Class]]="C",WORKDAY(Main[[#This Row],[Tech Start Date]],9),IF(Main[[#This Row],[Class]]="B", WORKDAY(Main[[#This Row],[Tech Start Date]],6),IF(Main[[#This Row],[Class]]="A",WORKDAY(Main[[#This Row],[Tech Start Date]],2),""))))</f>
        <v/>
      </c>
      <c r="N792" s="69" t="str">
        <f>IF(Main[[#This Row],[Tech Start Date]]&lt;1/1/1990,"",IF(Main[[#This Row],[Class]]="C",WORKDAY(Main[[#This Row],[Tech Start Date]],19),IF(Main[[#This Row],[Class]]="B", WORKDAY(Main[[#This Row],[Tech Start Date]],12),IF(Main[[#This Row],[Class]]="A",WORKDAY(Main[[#This Row],[Tech Start Date]],4),""))))</f>
        <v/>
      </c>
      <c r="O792" s="69" t="str">
        <f>IF(Main[[#This Row],[Tech Start Date]]&lt;1/1/1990,"",IF(Main[[#This Row],[Class]]="C",WORKDAY(Main[[#This Row],[Tech Start Date]],23),IF(Main[[#This Row],[Class]]="B", WORKDAY(Main[[#This Row],[Tech Start Date]],15),IF(Main[[#This Row],[Class]]="A",WORKDAY(Main[[#This Row],[Tech Start Date]],5),""))))</f>
        <v/>
      </c>
      <c r="P792" s="69" t="str">
        <f>IF(Main[[#This Row],[Tech Start Date]]&lt;1/1/1990,"",IF(Main[[#This Row],[Class]]="C",WORKDAY(Main[[#This Row],[Tech Start Date]],28),IF(Main[[#This Row],[Class]]="B", WORKDAY(Main[[#This Row],[Tech Start Date]],19),IF(Main[[#This Row],[Class]]="A",WORKDAY(Main[[#This Row],[Tech Start Date]],9),""))))</f>
        <v/>
      </c>
      <c r="Q792" s="67">
        <v>40637</v>
      </c>
      <c r="R792" s="67"/>
      <c r="S792" s="65" t="s">
        <v>6</v>
      </c>
      <c r="T792" s="70" t="s">
        <v>4</v>
      </c>
      <c r="U792" s="65" t="s">
        <v>7</v>
      </c>
      <c r="V792" s="65" t="s">
        <v>1917</v>
      </c>
      <c r="W792" s="65" t="s">
        <v>1919</v>
      </c>
      <c r="X792" s="65" t="s">
        <v>2828</v>
      </c>
      <c r="Y792" s="65" t="s">
        <v>2944</v>
      </c>
      <c r="Z792" s="65" t="s">
        <v>44</v>
      </c>
      <c r="AA792" s="65" t="s">
        <v>2828</v>
      </c>
    </row>
    <row r="793" spans="1:27" ht="17.45" customHeight="1">
      <c r="A793" s="131" t="str">
        <f>IF(priority(Main[[#This Row],[Comments]])&lt;&gt;0, priority(Main[[#This Row],[Comments]]),"")</f>
        <v/>
      </c>
      <c r="B793" s="99" t="s">
        <v>1610</v>
      </c>
      <c r="C793" s="65" t="s">
        <v>113</v>
      </c>
      <c r="D793" s="66" t="s">
        <v>682</v>
      </c>
      <c r="E793" s="67"/>
      <c r="F793" s="67">
        <v>40193</v>
      </c>
      <c r="G793" s="64" t="str">
        <f>IF(stdProdLT(Main[[#This Row],[Comments]])=0.1,"N/A",IF(stdProdLT(Main[[#This Row],[Comments]])=0,"",stdProdLT(Main[[#This Row],[Comments]])))</f>
        <v/>
      </c>
      <c r="H793" s="68" t="str">
        <f>IF(AND(Main[[#This Row],[In Stock Date]]&lt;&gt;"",Main[[#This Row],[Revised Due Date]]&lt;&gt;""),Main[[#This Row],[In Stock Date]]-Main[[#This Row],[Revised Due Date]],"")</f>
        <v/>
      </c>
      <c r="I793" s="65" t="s">
        <v>4</v>
      </c>
      <c r="J793" s="65" t="s">
        <v>4</v>
      </c>
      <c r="K793" s="65" t="s">
        <v>4</v>
      </c>
      <c r="L793" s="67"/>
      <c r="M793" s="69" t="str">
        <f>IF(Main[[#This Row],[Tech Start Date]]&lt;1/1/1990,"",IF(Main[[#This Row],[Class]]="C",WORKDAY(Main[[#This Row],[Tech Start Date]],9),IF(Main[[#This Row],[Class]]="B", WORKDAY(Main[[#This Row],[Tech Start Date]],6),IF(Main[[#This Row],[Class]]="A",WORKDAY(Main[[#This Row],[Tech Start Date]],2),""))))</f>
        <v/>
      </c>
      <c r="N793" s="69" t="str">
        <f>IF(Main[[#This Row],[Tech Start Date]]&lt;1/1/1990,"",IF(Main[[#This Row],[Class]]="C",WORKDAY(Main[[#This Row],[Tech Start Date]],19),IF(Main[[#This Row],[Class]]="B", WORKDAY(Main[[#This Row],[Tech Start Date]],12),IF(Main[[#This Row],[Class]]="A",WORKDAY(Main[[#This Row],[Tech Start Date]],4),""))))</f>
        <v/>
      </c>
      <c r="O793" s="69" t="str">
        <f>IF(Main[[#This Row],[Tech Start Date]]&lt;1/1/1990,"",IF(Main[[#This Row],[Class]]="C",WORKDAY(Main[[#This Row],[Tech Start Date]],23),IF(Main[[#This Row],[Class]]="B", WORKDAY(Main[[#This Row],[Tech Start Date]],15),IF(Main[[#This Row],[Class]]="A",WORKDAY(Main[[#This Row],[Tech Start Date]],5),""))))</f>
        <v/>
      </c>
      <c r="P793" s="69" t="str">
        <f>IF(Main[[#This Row],[Tech Start Date]]&lt;1/1/1990,"",IF(Main[[#This Row],[Class]]="C",WORKDAY(Main[[#This Row],[Tech Start Date]],28),IF(Main[[#This Row],[Class]]="B", WORKDAY(Main[[#This Row],[Tech Start Date]],19),IF(Main[[#This Row],[Class]]="A",WORKDAY(Main[[#This Row],[Tech Start Date]],9),""))))</f>
        <v/>
      </c>
      <c r="Q793" s="67">
        <v>40470</v>
      </c>
      <c r="R793" s="67"/>
      <c r="S793" s="65" t="s">
        <v>11</v>
      </c>
      <c r="T793" s="70" t="s">
        <v>4</v>
      </c>
      <c r="U793" s="65" t="s">
        <v>14</v>
      </c>
      <c r="V793" s="65" t="s">
        <v>1927</v>
      </c>
      <c r="W793" s="65" t="s">
        <v>1923</v>
      </c>
      <c r="X793" s="65" t="s">
        <v>2850</v>
      </c>
      <c r="Y793" s="65" t="s">
        <v>2983</v>
      </c>
      <c r="Z793" s="65" t="s">
        <v>4</v>
      </c>
      <c r="AA793" s="65" t="s">
        <v>2850</v>
      </c>
    </row>
    <row r="794" spans="1:27" ht="17.45" customHeight="1">
      <c r="A794" s="131" t="str">
        <f>IF(priority(Main[[#This Row],[Comments]])&lt;&gt;0, priority(Main[[#This Row],[Comments]]),"")</f>
        <v/>
      </c>
      <c r="B794" s="99" t="s">
        <v>1611</v>
      </c>
      <c r="C794" s="65" t="s">
        <v>4</v>
      </c>
      <c r="D794" s="66" t="s">
        <v>683</v>
      </c>
      <c r="E794" s="67"/>
      <c r="F794" s="67"/>
      <c r="G794" s="64" t="str">
        <f>IF(stdProdLT(Main[[#This Row],[Comments]])=0.1,"N/A",IF(stdProdLT(Main[[#This Row],[Comments]])=0,"",stdProdLT(Main[[#This Row],[Comments]])))</f>
        <v/>
      </c>
      <c r="H794" s="68" t="str">
        <f>IF(AND(Main[[#This Row],[In Stock Date]]&lt;&gt;"",Main[[#This Row],[Revised Due Date]]&lt;&gt;""),Main[[#This Row],[In Stock Date]]-Main[[#This Row],[Revised Due Date]],"")</f>
        <v/>
      </c>
      <c r="I794" s="65" t="s">
        <v>417</v>
      </c>
      <c r="J794" s="65" t="s">
        <v>4</v>
      </c>
      <c r="K794" s="65" t="s">
        <v>4</v>
      </c>
      <c r="L794" s="67"/>
      <c r="M794" s="69" t="str">
        <f>IF(Main[[#This Row],[Tech Start Date]]&lt;1/1/1990,"",IF(Main[[#This Row],[Class]]="C",WORKDAY(Main[[#This Row],[Tech Start Date]],9),IF(Main[[#This Row],[Class]]="B", WORKDAY(Main[[#This Row],[Tech Start Date]],6),IF(Main[[#This Row],[Class]]="A",WORKDAY(Main[[#This Row],[Tech Start Date]],2),""))))</f>
        <v/>
      </c>
      <c r="N794" s="69" t="str">
        <f>IF(Main[[#This Row],[Tech Start Date]]&lt;1/1/1990,"",IF(Main[[#This Row],[Class]]="C",WORKDAY(Main[[#This Row],[Tech Start Date]],19),IF(Main[[#This Row],[Class]]="B", WORKDAY(Main[[#This Row],[Tech Start Date]],12),IF(Main[[#This Row],[Class]]="A",WORKDAY(Main[[#This Row],[Tech Start Date]],4),""))))</f>
        <v/>
      </c>
      <c r="O794" s="69" t="str">
        <f>IF(Main[[#This Row],[Tech Start Date]]&lt;1/1/1990,"",IF(Main[[#This Row],[Class]]="C",WORKDAY(Main[[#This Row],[Tech Start Date]],23),IF(Main[[#This Row],[Class]]="B", WORKDAY(Main[[#This Row],[Tech Start Date]],15),IF(Main[[#This Row],[Class]]="A",WORKDAY(Main[[#This Row],[Tech Start Date]],5),""))))</f>
        <v/>
      </c>
      <c r="P794" s="69" t="str">
        <f>IF(Main[[#This Row],[Tech Start Date]]&lt;1/1/1990,"",IF(Main[[#This Row],[Class]]="C",WORKDAY(Main[[#This Row],[Tech Start Date]],28),IF(Main[[#This Row],[Class]]="B", WORKDAY(Main[[#This Row],[Tech Start Date]],19),IF(Main[[#This Row],[Class]]="A",WORKDAY(Main[[#This Row],[Tech Start Date]],9),""))))</f>
        <v/>
      </c>
      <c r="Q794" s="67"/>
      <c r="R794" s="67"/>
      <c r="S794" s="65" t="s">
        <v>23</v>
      </c>
      <c r="T794" s="70" t="s">
        <v>4</v>
      </c>
      <c r="U794" s="65" t="s">
        <v>14</v>
      </c>
      <c r="V794" s="65" t="s">
        <v>1920</v>
      </c>
      <c r="W794" s="65" t="s">
        <v>1921</v>
      </c>
      <c r="X794" s="65" t="s">
        <v>417</v>
      </c>
      <c r="Y794" s="65" t="s">
        <v>3094</v>
      </c>
      <c r="Z794" s="65" t="s">
        <v>30</v>
      </c>
      <c r="AA794" s="65" t="s">
        <v>3440</v>
      </c>
    </row>
    <row r="795" spans="1:27" ht="17.45" customHeight="1">
      <c r="A795" s="131" t="str">
        <f>IF(priority(Main[[#This Row],[Comments]])&lt;&gt;0, priority(Main[[#This Row],[Comments]]),"")</f>
        <v/>
      </c>
      <c r="B795" s="99" t="s">
        <v>1615</v>
      </c>
      <c r="C795" s="65" t="s">
        <v>687</v>
      </c>
      <c r="D795" s="66" t="s">
        <v>688</v>
      </c>
      <c r="E795" s="67"/>
      <c r="F795" s="67">
        <v>40527</v>
      </c>
      <c r="G795" s="64" t="str">
        <f>IF(stdProdLT(Main[[#This Row],[Comments]])=0.1,"N/A",IF(stdProdLT(Main[[#This Row],[Comments]])=0,"",stdProdLT(Main[[#This Row],[Comments]])))</f>
        <v/>
      </c>
      <c r="H795" s="68" t="str">
        <f>IF(AND(Main[[#This Row],[In Stock Date]]&lt;&gt;"",Main[[#This Row],[Revised Due Date]]&lt;&gt;""),Main[[#This Row],[In Stock Date]]-Main[[#This Row],[Revised Due Date]],"")</f>
        <v/>
      </c>
      <c r="I795" s="65" t="s">
        <v>4</v>
      </c>
      <c r="J795" s="65" t="s">
        <v>4</v>
      </c>
      <c r="K795" s="71" t="s">
        <v>4</v>
      </c>
      <c r="L795" s="67"/>
      <c r="M795" s="69" t="str">
        <f>IF(Main[[#This Row],[Tech Start Date]]&lt;1/1/1990,"",IF(Main[[#This Row],[Class]]="C",WORKDAY(Main[[#This Row],[Tech Start Date]],9),IF(Main[[#This Row],[Class]]="B", WORKDAY(Main[[#This Row],[Tech Start Date]],6),IF(Main[[#This Row],[Class]]="A",WORKDAY(Main[[#This Row],[Tech Start Date]],2),""))))</f>
        <v/>
      </c>
      <c r="N795" s="69" t="str">
        <f>IF(Main[[#This Row],[Tech Start Date]]&lt;1/1/1990,"",IF(Main[[#This Row],[Class]]="C",WORKDAY(Main[[#This Row],[Tech Start Date]],19),IF(Main[[#This Row],[Class]]="B", WORKDAY(Main[[#This Row],[Tech Start Date]],12),IF(Main[[#This Row],[Class]]="A",WORKDAY(Main[[#This Row],[Tech Start Date]],4),""))))</f>
        <v/>
      </c>
      <c r="O795" s="69" t="str">
        <f>IF(Main[[#This Row],[Tech Start Date]]&lt;1/1/1990,"",IF(Main[[#This Row],[Class]]="C",WORKDAY(Main[[#This Row],[Tech Start Date]],23),IF(Main[[#This Row],[Class]]="B", WORKDAY(Main[[#This Row],[Tech Start Date]],15),IF(Main[[#This Row],[Class]]="A",WORKDAY(Main[[#This Row],[Tech Start Date]],5),""))))</f>
        <v/>
      </c>
      <c r="P795" s="69" t="str">
        <f>IF(Main[[#This Row],[Tech Start Date]]&lt;1/1/1990,"",IF(Main[[#This Row],[Class]]="C",WORKDAY(Main[[#This Row],[Tech Start Date]],28),IF(Main[[#This Row],[Class]]="B", WORKDAY(Main[[#This Row],[Tech Start Date]],19),IF(Main[[#This Row],[Class]]="A",WORKDAY(Main[[#This Row],[Tech Start Date]],9),""))))</f>
        <v/>
      </c>
      <c r="Q795" s="67">
        <v>40480</v>
      </c>
      <c r="R795" s="67"/>
      <c r="S795" s="65" t="s">
        <v>11</v>
      </c>
      <c r="T795" s="70" t="s">
        <v>4</v>
      </c>
      <c r="U795" s="65" t="s">
        <v>14</v>
      </c>
      <c r="V795" s="65" t="s">
        <v>1918</v>
      </c>
      <c r="W795" s="65" t="s">
        <v>1923</v>
      </c>
      <c r="X795" s="65" t="s">
        <v>2885</v>
      </c>
      <c r="Y795" s="65" t="s">
        <v>3033</v>
      </c>
      <c r="Z795" s="65" t="s">
        <v>4</v>
      </c>
      <c r="AA795" s="65" t="s">
        <v>2885</v>
      </c>
    </row>
    <row r="796" spans="1:27" ht="17.45" customHeight="1">
      <c r="A796" s="131" t="str">
        <f>IF(priority(Main[[#This Row],[Comments]])&lt;&gt;0, priority(Main[[#This Row],[Comments]]),"")</f>
        <v/>
      </c>
      <c r="B796" s="99" t="s">
        <v>1616</v>
      </c>
      <c r="C796" s="65" t="s">
        <v>4</v>
      </c>
      <c r="D796" s="66" t="s">
        <v>689</v>
      </c>
      <c r="E796" s="67"/>
      <c r="F796" s="67"/>
      <c r="G796" s="64" t="str">
        <f>IF(stdProdLT(Main[[#This Row],[Comments]])=0.1,"N/A",IF(stdProdLT(Main[[#This Row],[Comments]])=0,"",stdProdLT(Main[[#This Row],[Comments]])))</f>
        <v/>
      </c>
      <c r="H796" s="68" t="str">
        <f>IF(AND(Main[[#This Row],[In Stock Date]]&lt;&gt;"",Main[[#This Row],[Revised Due Date]]&lt;&gt;""),Main[[#This Row],[In Stock Date]]-Main[[#This Row],[Revised Due Date]],"")</f>
        <v/>
      </c>
      <c r="I796" s="65" t="s">
        <v>4</v>
      </c>
      <c r="J796" s="65" t="s">
        <v>4</v>
      </c>
      <c r="K796" s="65" t="s">
        <v>4</v>
      </c>
      <c r="L796" s="67"/>
      <c r="M796" s="69" t="str">
        <f>IF(Main[[#This Row],[Tech Start Date]]&lt;1/1/1990,"",IF(Main[[#This Row],[Class]]="C",WORKDAY(Main[[#This Row],[Tech Start Date]],9),IF(Main[[#This Row],[Class]]="B", WORKDAY(Main[[#This Row],[Tech Start Date]],6),IF(Main[[#This Row],[Class]]="A",WORKDAY(Main[[#This Row],[Tech Start Date]],2),""))))</f>
        <v/>
      </c>
      <c r="N796" s="69" t="str">
        <f>IF(Main[[#This Row],[Tech Start Date]]&lt;1/1/1990,"",IF(Main[[#This Row],[Class]]="C",WORKDAY(Main[[#This Row],[Tech Start Date]],19),IF(Main[[#This Row],[Class]]="B", WORKDAY(Main[[#This Row],[Tech Start Date]],12),IF(Main[[#This Row],[Class]]="A",WORKDAY(Main[[#This Row],[Tech Start Date]],4),""))))</f>
        <v/>
      </c>
      <c r="O796" s="69" t="str">
        <f>IF(Main[[#This Row],[Tech Start Date]]&lt;1/1/1990,"",IF(Main[[#This Row],[Class]]="C",WORKDAY(Main[[#This Row],[Tech Start Date]],23),IF(Main[[#This Row],[Class]]="B", WORKDAY(Main[[#This Row],[Tech Start Date]],15),IF(Main[[#This Row],[Class]]="A",WORKDAY(Main[[#This Row],[Tech Start Date]],5),""))))</f>
        <v/>
      </c>
      <c r="P796" s="69" t="str">
        <f>IF(Main[[#This Row],[Tech Start Date]]&lt;1/1/1990,"",IF(Main[[#This Row],[Class]]="C",WORKDAY(Main[[#This Row],[Tech Start Date]],28),IF(Main[[#This Row],[Class]]="B", WORKDAY(Main[[#This Row],[Tech Start Date]],19),IF(Main[[#This Row],[Class]]="A",WORKDAY(Main[[#This Row],[Tech Start Date]],9),""))))</f>
        <v/>
      </c>
      <c r="Q796" s="67"/>
      <c r="R796" s="67"/>
      <c r="S796" s="65" t="s">
        <v>6</v>
      </c>
      <c r="T796" s="70" t="s">
        <v>4</v>
      </c>
      <c r="U796" s="65" t="s">
        <v>14</v>
      </c>
      <c r="V796" s="65" t="s">
        <v>1917</v>
      </c>
      <c r="W796" s="65" t="s">
        <v>1925</v>
      </c>
      <c r="X796" s="65" t="s">
        <v>2055</v>
      </c>
      <c r="Y796" s="65" t="s">
        <v>3008</v>
      </c>
      <c r="Z796" s="65" t="s">
        <v>4</v>
      </c>
      <c r="AA796" s="65" t="s">
        <v>2055</v>
      </c>
    </row>
    <row r="797" spans="1:27" ht="17.45" customHeight="1">
      <c r="A797" s="131" t="str">
        <f>IF(priority(Main[[#This Row],[Comments]])&lt;&gt;0, priority(Main[[#This Row],[Comments]]),"")</f>
        <v/>
      </c>
      <c r="B797" s="99" t="s">
        <v>1562</v>
      </c>
      <c r="C797" s="65" t="s">
        <v>93</v>
      </c>
      <c r="D797" s="66" t="s">
        <v>640</v>
      </c>
      <c r="E797" s="67"/>
      <c r="F797" s="67">
        <v>40132</v>
      </c>
      <c r="G797" s="64" t="str">
        <f>IF(stdProdLT(Main[[#This Row],[Comments]])=0.1,"N/A",IF(stdProdLT(Main[[#This Row],[Comments]])=0,"",stdProdLT(Main[[#This Row],[Comments]])))</f>
        <v/>
      </c>
      <c r="H797" s="68" t="str">
        <f>IF(AND(Main[[#This Row],[In Stock Date]]&lt;&gt;"",Main[[#This Row],[Revised Due Date]]&lt;&gt;""),Main[[#This Row],[In Stock Date]]-Main[[#This Row],[Revised Due Date]],"")</f>
        <v/>
      </c>
      <c r="I797" s="65" t="s">
        <v>4</v>
      </c>
      <c r="J797" s="65" t="s">
        <v>4</v>
      </c>
      <c r="K797" s="65" t="s">
        <v>4</v>
      </c>
      <c r="L797" s="67"/>
      <c r="M797" s="69" t="str">
        <f>IF(Main[[#This Row],[Tech Start Date]]&lt;1/1/1990,"",IF(Main[[#This Row],[Class]]="C",WORKDAY(Main[[#This Row],[Tech Start Date]],9),IF(Main[[#This Row],[Class]]="B", WORKDAY(Main[[#This Row],[Tech Start Date]],6),IF(Main[[#This Row],[Class]]="A",WORKDAY(Main[[#This Row],[Tech Start Date]],2),""))))</f>
        <v/>
      </c>
      <c r="N797" s="69" t="str">
        <f>IF(Main[[#This Row],[Tech Start Date]]&lt;1/1/1990,"",IF(Main[[#This Row],[Class]]="C",WORKDAY(Main[[#This Row],[Tech Start Date]],19),IF(Main[[#This Row],[Class]]="B", WORKDAY(Main[[#This Row],[Tech Start Date]],12),IF(Main[[#This Row],[Class]]="A",WORKDAY(Main[[#This Row],[Tech Start Date]],4),""))))</f>
        <v/>
      </c>
      <c r="O797" s="69" t="str">
        <f>IF(Main[[#This Row],[Tech Start Date]]&lt;1/1/1990,"",IF(Main[[#This Row],[Class]]="C",WORKDAY(Main[[#This Row],[Tech Start Date]],23),IF(Main[[#This Row],[Class]]="B", WORKDAY(Main[[#This Row],[Tech Start Date]],15),IF(Main[[#This Row],[Class]]="A",WORKDAY(Main[[#This Row],[Tech Start Date]],5),""))))</f>
        <v/>
      </c>
      <c r="P797" s="69" t="str">
        <f>IF(Main[[#This Row],[Tech Start Date]]&lt;1/1/1990,"",IF(Main[[#This Row],[Class]]="C",WORKDAY(Main[[#This Row],[Tech Start Date]],28),IF(Main[[#This Row],[Class]]="B", WORKDAY(Main[[#This Row],[Tech Start Date]],19),IF(Main[[#This Row],[Class]]="A",WORKDAY(Main[[#This Row],[Tech Start Date]],9),""))))</f>
        <v/>
      </c>
      <c r="Q797" s="67">
        <v>40132</v>
      </c>
      <c r="R797" s="67"/>
      <c r="S797" s="65" t="s">
        <v>11</v>
      </c>
      <c r="T797" s="70" t="s">
        <v>4</v>
      </c>
      <c r="U797" s="65" t="s">
        <v>14</v>
      </c>
      <c r="V797" s="65" t="s">
        <v>1920</v>
      </c>
      <c r="W797" s="65" t="s">
        <v>1928</v>
      </c>
      <c r="X797" s="65" t="s">
        <v>2862</v>
      </c>
      <c r="Y797" s="65" t="s">
        <v>4</v>
      </c>
      <c r="Z797" s="65" t="s">
        <v>4</v>
      </c>
      <c r="AA797" s="65" t="s">
        <v>2862</v>
      </c>
    </row>
    <row r="798" spans="1:27" ht="17.45" customHeight="1">
      <c r="A798" s="131" t="str">
        <f>IF(priority(Main[[#This Row],[Comments]])&lt;&gt;0, priority(Main[[#This Row],[Comments]]),"")</f>
        <v/>
      </c>
      <c r="B798" s="99" t="s">
        <v>3262</v>
      </c>
      <c r="C798" s="65" t="s">
        <v>3263</v>
      </c>
      <c r="D798" s="66" t="s">
        <v>3264</v>
      </c>
      <c r="E798" s="67">
        <v>40931.373113425929</v>
      </c>
      <c r="F798" s="67"/>
      <c r="G798" s="64" t="str">
        <f>IF(stdProdLT(Main[[#This Row],[Comments]])=0.1,"N/A",IF(stdProdLT(Main[[#This Row],[Comments]])=0,"",stdProdLT(Main[[#This Row],[Comments]])))</f>
        <v/>
      </c>
      <c r="H798" s="68" t="str">
        <f>IF(AND(Main[[#This Row],[In Stock Date]]&lt;&gt;"",Main[[#This Row],[Revised Due Date]]&lt;&gt;""),Main[[#This Row],[In Stock Date]]-Main[[#This Row],[Revised Due Date]],"")</f>
        <v/>
      </c>
      <c r="I798" s="65" t="s">
        <v>943</v>
      </c>
      <c r="J798" s="65" t="s">
        <v>28</v>
      </c>
      <c r="K798" s="65" t="s">
        <v>1926</v>
      </c>
      <c r="L798" s="67"/>
      <c r="M798" s="69" t="str">
        <f>IF(Main[[#This Row],[Tech Start Date]]&lt;1/1/1990,"",IF(Main[[#This Row],[Class]]="C",WORKDAY(Main[[#This Row],[Tech Start Date]],9),IF(Main[[#This Row],[Class]]="B", WORKDAY(Main[[#This Row],[Tech Start Date]],6),IF(Main[[#This Row],[Class]]="A",WORKDAY(Main[[#This Row],[Tech Start Date]],2),""))))</f>
        <v/>
      </c>
      <c r="N798" s="69" t="str">
        <f>IF(Main[[#This Row],[Tech Start Date]]&lt;1/1/1990,"",IF(Main[[#This Row],[Class]]="C",WORKDAY(Main[[#This Row],[Tech Start Date]],19),IF(Main[[#This Row],[Class]]="B", WORKDAY(Main[[#This Row],[Tech Start Date]],12),IF(Main[[#This Row],[Class]]="A",WORKDAY(Main[[#This Row],[Tech Start Date]],4),""))))</f>
        <v/>
      </c>
      <c r="O798" s="69" t="str">
        <f>IF(Main[[#This Row],[Tech Start Date]]&lt;1/1/1990,"",IF(Main[[#This Row],[Class]]="C",WORKDAY(Main[[#This Row],[Tech Start Date]],23),IF(Main[[#This Row],[Class]]="B", WORKDAY(Main[[#This Row],[Tech Start Date]],15),IF(Main[[#This Row],[Class]]="A",WORKDAY(Main[[#This Row],[Tech Start Date]],5),""))))</f>
        <v/>
      </c>
      <c r="P798" s="69" t="str">
        <f>IF(Main[[#This Row],[Tech Start Date]]&lt;1/1/1990,"",IF(Main[[#This Row],[Class]]="C",WORKDAY(Main[[#This Row],[Tech Start Date]],28),IF(Main[[#This Row],[Class]]="B", WORKDAY(Main[[#This Row],[Tech Start Date]],19),IF(Main[[#This Row],[Class]]="A",WORKDAY(Main[[#This Row],[Tech Start Date]],9),""))))</f>
        <v/>
      </c>
      <c r="Q798" s="67"/>
      <c r="R798" s="67"/>
      <c r="S798" s="65" t="s">
        <v>6</v>
      </c>
      <c r="T798" s="70" t="s">
        <v>3265</v>
      </c>
      <c r="U798" s="65" t="s">
        <v>29</v>
      </c>
      <c r="V798" s="65" t="s">
        <v>1918</v>
      </c>
      <c r="W798" s="65" t="s">
        <v>1921</v>
      </c>
      <c r="X798" s="65" t="s">
        <v>2822</v>
      </c>
      <c r="Y798" s="65" t="s">
        <v>2999</v>
      </c>
      <c r="Z798" s="65" t="s">
        <v>2056</v>
      </c>
      <c r="AA798" s="65" t="s">
        <v>2822</v>
      </c>
    </row>
    <row r="799" spans="1:27" ht="17.45" customHeight="1">
      <c r="A799" s="131" t="str">
        <f>IF(priority(Main[[#This Row],[Comments]])&lt;&gt;0, priority(Main[[#This Row],[Comments]]),"")</f>
        <v/>
      </c>
      <c r="B799" s="99" t="s">
        <v>1563</v>
      </c>
      <c r="C799" s="65" t="s">
        <v>4</v>
      </c>
      <c r="D799" s="66" t="s">
        <v>641</v>
      </c>
      <c r="E799" s="67"/>
      <c r="F799" s="67">
        <v>40602</v>
      </c>
      <c r="G799" s="64" t="str">
        <f>IF(stdProdLT(Main[[#This Row],[Comments]])=0.1,"N/A",IF(stdProdLT(Main[[#This Row],[Comments]])=0,"",stdProdLT(Main[[#This Row],[Comments]])))</f>
        <v/>
      </c>
      <c r="H799" s="68" t="str">
        <f>IF(AND(Main[[#This Row],[In Stock Date]]&lt;&gt;"",Main[[#This Row],[Revised Due Date]]&lt;&gt;""),Main[[#This Row],[In Stock Date]]-Main[[#This Row],[Revised Due Date]],"")</f>
        <v/>
      </c>
      <c r="I799" s="65" t="s">
        <v>399</v>
      </c>
      <c r="J799" s="65" t="s">
        <v>75</v>
      </c>
      <c r="K799" s="65" t="s">
        <v>1926</v>
      </c>
      <c r="L799" s="67"/>
      <c r="M799" s="69" t="str">
        <f>IF(Main[[#This Row],[Tech Start Date]]&lt;1/1/1990,"",IF(Main[[#This Row],[Class]]="C",WORKDAY(Main[[#This Row],[Tech Start Date]],9),IF(Main[[#This Row],[Class]]="B", WORKDAY(Main[[#This Row],[Tech Start Date]],6),IF(Main[[#This Row],[Class]]="A",WORKDAY(Main[[#This Row],[Tech Start Date]],2),""))))</f>
        <v/>
      </c>
      <c r="N799" s="69" t="str">
        <f>IF(Main[[#This Row],[Tech Start Date]]&lt;1/1/1990,"",IF(Main[[#This Row],[Class]]="C",WORKDAY(Main[[#This Row],[Tech Start Date]],19),IF(Main[[#This Row],[Class]]="B", WORKDAY(Main[[#This Row],[Tech Start Date]],12),IF(Main[[#This Row],[Class]]="A",WORKDAY(Main[[#This Row],[Tech Start Date]],4),""))))</f>
        <v/>
      </c>
      <c r="O799" s="69" t="str">
        <f>IF(Main[[#This Row],[Tech Start Date]]&lt;1/1/1990,"",IF(Main[[#This Row],[Class]]="C",WORKDAY(Main[[#This Row],[Tech Start Date]],23),IF(Main[[#This Row],[Class]]="B", WORKDAY(Main[[#This Row],[Tech Start Date]],15),IF(Main[[#This Row],[Class]]="A",WORKDAY(Main[[#This Row],[Tech Start Date]],5),""))))</f>
        <v/>
      </c>
      <c r="P799" s="69" t="str">
        <f>IF(Main[[#This Row],[Tech Start Date]]&lt;1/1/1990,"",IF(Main[[#This Row],[Class]]="C",WORKDAY(Main[[#This Row],[Tech Start Date]],28),IF(Main[[#This Row],[Class]]="B", WORKDAY(Main[[#This Row],[Tech Start Date]],19),IF(Main[[#This Row],[Class]]="A",WORKDAY(Main[[#This Row],[Tech Start Date]],9),""))))</f>
        <v/>
      </c>
      <c r="Q799" s="67"/>
      <c r="R799" s="67"/>
      <c r="S799" s="65" t="s">
        <v>11</v>
      </c>
      <c r="T799" s="70" t="s">
        <v>4</v>
      </c>
      <c r="U799" s="65" t="s">
        <v>14</v>
      </c>
      <c r="V799" s="65" t="s">
        <v>1920</v>
      </c>
      <c r="W799" s="65" t="s">
        <v>1923</v>
      </c>
      <c r="X799" s="65" t="s">
        <v>50</v>
      </c>
      <c r="Y799" s="65" t="s">
        <v>2967</v>
      </c>
      <c r="Z799" s="65" t="s">
        <v>306</v>
      </c>
      <c r="AA799" s="65" t="s">
        <v>50</v>
      </c>
    </row>
    <row r="800" spans="1:27" ht="17.45" customHeight="1">
      <c r="A800" s="131" t="str">
        <f>IF(priority(Main[[#This Row],[Comments]])&lt;&gt;0, priority(Main[[#This Row],[Comments]]),"")</f>
        <v/>
      </c>
      <c r="B800" s="99" t="s">
        <v>1564</v>
      </c>
      <c r="C800" s="65" t="s">
        <v>4</v>
      </c>
      <c r="D800" s="66" t="s">
        <v>642</v>
      </c>
      <c r="E800" s="67"/>
      <c r="F800" s="67">
        <v>40711</v>
      </c>
      <c r="G800" s="64" t="str">
        <f>IF(stdProdLT(Main[[#This Row],[Comments]])=0.1,"N/A",IF(stdProdLT(Main[[#This Row],[Comments]])=0,"",stdProdLT(Main[[#This Row],[Comments]])))</f>
        <v/>
      </c>
      <c r="H800" s="68" t="str">
        <f>IF(AND(Main[[#This Row],[In Stock Date]]&lt;&gt;"",Main[[#This Row],[Revised Due Date]]&lt;&gt;""),Main[[#This Row],[In Stock Date]]-Main[[#This Row],[Revised Due Date]],"")</f>
        <v/>
      </c>
      <c r="I800" s="65" t="s">
        <v>4</v>
      </c>
      <c r="J800" s="65" t="s">
        <v>4</v>
      </c>
      <c r="K800" s="65" t="s">
        <v>4</v>
      </c>
      <c r="L800" s="67"/>
      <c r="M800" s="69" t="str">
        <f>IF(Main[[#This Row],[Tech Start Date]]&lt;1/1/1990,"",IF(Main[[#This Row],[Class]]="C",WORKDAY(Main[[#This Row],[Tech Start Date]],9),IF(Main[[#This Row],[Class]]="B", WORKDAY(Main[[#This Row],[Tech Start Date]],6),IF(Main[[#This Row],[Class]]="A",WORKDAY(Main[[#This Row],[Tech Start Date]],2),""))))</f>
        <v/>
      </c>
      <c r="N800" s="69" t="str">
        <f>IF(Main[[#This Row],[Tech Start Date]]&lt;1/1/1990,"",IF(Main[[#This Row],[Class]]="C",WORKDAY(Main[[#This Row],[Tech Start Date]],19),IF(Main[[#This Row],[Class]]="B", WORKDAY(Main[[#This Row],[Tech Start Date]],12),IF(Main[[#This Row],[Class]]="A",WORKDAY(Main[[#This Row],[Tech Start Date]],4),""))))</f>
        <v/>
      </c>
      <c r="O800" s="69" t="str">
        <f>IF(Main[[#This Row],[Tech Start Date]]&lt;1/1/1990,"",IF(Main[[#This Row],[Class]]="C",WORKDAY(Main[[#This Row],[Tech Start Date]],23),IF(Main[[#This Row],[Class]]="B", WORKDAY(Main[[#This Row],[Tech Start Date]],15),IF(Main[[#This Row],[Class]]="A",WORKDAY(Main[[#This Row],[Tech Start Date]],5),""))))</f>
        <v/>
      </c>
      <c r="P800" s="69" t="str">
        <f>IF(Main[[#This Row],[Tech Start Date]]&lt;1/1/1990,"",IF(Main[[#This Row],[Class]]="C",WORKDAY(Main[[#This Row],[Tech Start Date]],28),IF(Main[[#This Row],[Class]]="B", WORKDAY(Main[[#This Row],[Tech Start Date]],19),IF(Main[[#This Row],[Class]]="A",WORKDAY(Main[[#This Row],[Tech Start Date]],9),""))))</f>
        <v/>
      </c>
      <c r="Q800" s="67"/>
      <c r="R800" s="67"/>
      <c r="S800" s="65" t="s">
        <v>11</v>
      </c>
      <c r="T800" s="70" t="s">
        <v>4</v>
      </c>
      <c r="U800" s="65" t="s">
        <v>14</v>
      </c>
      <c r="V800" s="65" t="s">
        <v>1918</v>
      </c>
      <c r="W800" s="65" t="s">
        <v>1922</v>
      </c>
      <c r="X800" s="65" t="s">
        <v>943</v>
      </c>
      <c r="Y800" s="65" t="s">
        <v>3001</v>
      </c>
      <c r="Z800" s="65" t="s">
        <v>4</v>
      </c>
      <c r="AA800" s="65" t="s">
        <v>943</v>
      </c>
    </row>
    <row r="801" spans="1:27" ht="17.45" customHeight="1">
      <c r="A801" s="131" t="str">
        <f>IF(priority(Main[[#This Row],[Comments]])&lt;&gt;0, priority(Main[[#This Row],[Comments]]),"")</f>
        <v/>
      </c>
      <c r="B801" s="99" t="s">
        <v>1565</v>
      </c>
      <c r="C801" s="65" t="s">
        <v>180</v>
      </c>
      <c r="D801" s="66" t="s">
        <v>643</v>
      </c>
      <c r="E801" s="67"/>
      <c r="F801" s="67">
        <v>40389</v>
      </c>
      <c r="G801" s="64" t="str">
        <f>IF(stdProdLT(Main[[#This Row],[Comments]])=0.1,"N/A",IF(stdProdLT(Main[[#This Row],[Comments]])=0,"",stdProdLT(Main[[#This Row],[Comments]])))</f>
        <v/>
      </c>
      <c r="H801" s="68" t="str">
        <f>IF(AND(Main[[#This Row],[In Stock Date]]&lt;&gt;"",Main[[#This Row],[Revised Due Date]]&lt;&gt;""),Main[[#This Row],[In Stock Date]]-Main[[#This Row],[Revised Due Date]],"")</f>
        <v/>
      </c>
      <c r="I801" s="65" t="s">
        <v>4</v>
      </c>
      <c r="J801" s="65" t="s">
        <v>4</v>
      </c>
      <c r="K801" s="65" t="s">
        <v>4</v>
      </c>
      <c r="L801" s="67"/>
      <c r="M801" s="69" t="str">
        <f>IF(Main[[#This Row],[Tech Start Date]]&lt;1/1/1990,"",IF(Main[[#This Row],[Class]]="C",WORKDAY(Main[[#This Row],[Tech Start Date]],9),IF(Main[[#This Row],[Class]]="B", WORKDAY(Main[[#This Row],[Tech Start Date]],6),IF(Main[[#This Row],[Class]]="A",WORKDAY(Main[[#This Row],[Tech Start Date]],2),""))))</f>
        <v/>
      </c>
      <c r="N801" s="69" t="str">
        <f>IF(Main[[#This Row],[Tech Start Date]]&lt;1/1/1990,"",IF(Main[[#This Row],[Class]]="C",WORKDAY(Main[[#This Row],[Tech Start Date]],19),IF(Main[[#This Row],[Class]]="B", WORKDAY(Main[[#This Row],[Tech Start Date]],12),IF(Main[[#This Row],[Class]]="A",WORKDAY(Main[[#This Row],[Tech Start Date]],4),""))))</f>
        <v/>
      </c>
      <c r="O801" s="69" t="str">
        <f>IF(Main[[#This Row],[Tech Start Date]]&lt;1/1/1990,"",IF(Main[[#This Row],[Class]]="C",WORKDAY(Main[[#This Row],[Tech Start Date]],23),IF(Main[[#This Row],[Class]]="B", WORKDAY(Main[[#This Row],[Tech Start Date]],15),IF(Main[[#This Row],[Class]]="A",WORKDAY(Main[[#This Row],[Tech Start Date]],5),""))))</f>
        <v/>
      </c>
      <c r="P801" s="69" t="str">
        <f>IF(Main[[#This Row],[Tech Start Date]]&lt;1/1/1990,"",IF(Main[[#This Row],[Class]]="C",WORKDAY(Main[[#This Row],[Tech Start Date]],28),IF(Main[[#This Row],[Class]]="B", WORKDAY(Main[[#This Row],[Tech Start Date]],19),IF(Main[[#This Row],[Class]]="A",WORKDAY(Main[[#This Row],[Tech Start Date]],9),""))))</f>
        <v/>
      </c>
      <c r="Q801" s="67">
        <v>40298</v>
      </c>
      <c r="R801" s="67"/>
      <c r="S801" s="65" t="s">
        <v>11</v>
      </c>
      <c r="T801" s="70" t="s">
        <v>4</v>
      </c>
      <c r="U801" s="65" t="s">
        <v>14</v>
      </c>
      <c r="V801" s="65" t="s">
        <v>1917</v>
      </c>
      <c r="W801" s="65" t="s">
        <v>1923</v>
      </c>
      <c r="X801" s="65" t="s">
        <v>2830</v>
      </c>
      <c r="Y801" s="65" t="s">
        <v>2949</v>
      </c>
      <c r="Z801" s="65" t="s">
        <v>4</v>
      </c>
      <c r="AA801" s="65" t="s">
        <v>2830</v>
      </c>
    </row>
    <row r="802" spans="1:27" ht="17.45" customHeight="1">
      <c r="A802" s="131" t="str">
        <f>IF(priority(Main[[#This Row],[Comments]])&lt;&gt;0, priority(Main[[#This Row],[Comments]]),"")</f>
        <v/>
      </c>
      <c r="B802" s="99" t="s">
        <v>1566</v>
      </c>
      <c r="C802" s="65" t="s">
        <v>4</v>
      </c>
      <c r="D802" s="66" t="s">
        <v>644</v>
      </c>
      <c r="E802" s="67"/>
      <c r="F802" s="67"/>
      <c r="G802" s="64" t="str">
        <f>IF(stdProdLT(Main[[#This Row],[Comments]])=0.1,"N/A",IF(stdProdLT(Main[[#This Row],[Comments]])=0,"",stdProdLT(Main[[#This Row],[Comments]])))</f>
        <v/>
      </c>
      <c r="H802" s="68" t="str">
        <f>IF(AND(Main[[#This Row],[In Stock Date]]&lt;&gt;"",Main[[#This Row],[Revised Due Date]]&lt;&gt;""),Main[[#This Row],[In Stock Date]]-Main[[#This Row],[Revised Due Date]],"")</f>
        <v/>
      </c>
      <c r="I802" s="65" t="s">
        <v>4</v>
      </c>
      <c r="J802" s="65" t="s">
        <v>4</v>
      </c>
      <c r="K802" s="65" t="s">
        <v>4</v>
      </c>
      <c r="L802" s="67"/>
      <c r="M802" s="69" t="str">
        <f>IF(Main[[#This Row],[Tech Start Date]]&lt;1/1/1990,"",IF(Main[[#This Row],[Class]]="C",WORKDAY(Main[[#This Row],[Tech Start Date]],9),IF(Main[[#This Row],[Class]]="B", WORKDAY(Main[[#This Row],[Tech Start Date]],6),IF(Main[[#This Row],[Class]]="A",WORKDAY(Main[[#This Row],[Tech Start Date]],2),""))))</f>
        <v/>
      </c>
      <c r="N802" s="69" t="str">
        <f>IF(Main[[#This Row],[Tech Start Date]]&lt;1/1/1990,"",IF(Main[[#This Row],[Class]]="C",WORKDAY(Main[[#This Row],[Tech Start Date]],19),IF(Main[[#This Row],[Class]]="B", WORKDAY(Main[[#This Row],[Tech Start Date]],12),IF(Main[[#This Row],[Class]]="A",WORKDAY(Main[[#This Row],[Tech Start Date]],4),""))))</f>
        <v/>
      </c>
      <c r="O802" s="69" t="str">
        <f>IF(Main[[#This Row],[Tech Start Date]]&lt;1/1/1990,"",IF(Main[[#This Row],[Class]]="C",WORKDAY(Main[[#This Row],[Tech Start Date]],23),IF(Main[[#This Row],[Class]]="B", WORKDAY(Main[[#This Row],[Tech Start Date]],15),IF(Main[[#This Row],[Class]]="A",WORKDAY(Main[[#This Row],[Tech Start Date]],5),""))))</f>
        <v/>
      </c>
      <c r="P802" s="69" t="str">
        <f>IF(Main[[#This Row],[Tech Start Date]]&lt;1/1/1990,"",IF(Main[[#This Row],[Class]]="C",WORKDAY(Main[[#This Row],[Tech Start Date]],28),IF(Main[[#This Row],[Class]]="B", WORKDAY(Main[[#This Row],[Tech Start Date]],19),IF(Main[[#This Row],[Class]]="A",WORKDAY(Main[[#This Row],[Tech Start Date]],9),""))))</f>
        <v/>
      </c>
      <c r="Q802" s="67"/>
      <c r="R802" s="67"/>
      <c r="S802" s="65" t="s">
        <v>11</v>
      </c>
      <c r="T802" s="70" t="s">
        <v>4</v>
      </c>
      <c r="U802" s="65" t="s">
        <v>12</v>
      </c>
      <c r="V802" s="65" t="s">
        <v>1917</v>
      </c>
      <c r="W802" s="65" t="s">
        <v>1921</v>
      </c>
      <c r="X802" s="65" t="s">
        <v>888</v>
      </c>
      <c r="Y802" s="65" t="s">
        <v>3088</v>
      </c>
      <c r="Z802" s="65" t="s">
        <v>4</v>
      </c>
      <c r="AA802" s="65" t="s">
        <v>888</v>
      </c>
    </row>
    <row r="803" spans="1:27" ht="17.45" customHeight="1">
      <c r="A803" s="131" t="str">
        <f>IF(priority(Main[[#This Row],[Comments]])&lt;&gt;0, priority(Main[[#This Row],[Comments]]),"")</f>
        <v/>
      </c>
      <c r="B803" s="99" t="s">
        <v>2353</v>
      </c>
      <c r="C803" s="65" t="s">
        <v>4</v>
      </c>
      <c r="D803" s="66" t="s">
        <v>3565</v>
      </c>
      <c r="E803" s="67">
        <v>40849.308981481481</v>
      </c>
      <c r="F803" s="67"/>
      <c r="G803" s="64" t="str">
        <f>IF(stdProdLT(Main[[#This Row],[Comments]])=0.1,"N/A",IF(stdProdLT(Main[[#This Row],[Comments]])=0,"",stdProdLT(Main[[#This Row],[Comments]])))</f>
        <v/>
      </c>
      <c r="H803" s="68" t="str">
        <f>IF(AND(Main[[#This Row],[In Stock Date]]&lt;&gt;"",Main[[#This Row],[Revised Due Date]]&lt;&gt;""),Main[[#This Row],[In Stock Date]]-Main[[#This Row],[Revised Due Date]],"")</f>
        <v/>
      </c>
      <c r="I803" s="65" t="s">
        <v>939</v>
      </c>
      <c r="J803" s="65" t="s">
        <v>21</v>
      </c>
      <c r="K803" s="65" t="s">
        <v>1924</v>
      </c>
      <c r="L803" s="67"/>
      <c r="M803" s="69" t="str">
        <f>IF(Main[[#This Row],[Tech Start Date]]&lt;1/1/1990,"",IF(Main[[#This Row],[Class]]="C",WORKDAY(Main[[#This Row],[Tech Start Date]],9),IF(Main[[#This Row],[Class]]="B", WORKDAY(Main[[#This Row],[Tech Start Date]],6),IF(Main[[#This Row],[Class]]="A",WORKDAY(Main[[#This Row],[Tech Start Date]],2),""))))</f>
        <v/>
      </c>
      <c r="N803" s="69" t="str">
        <f>IF(Main[[#This Row],[Tech Start Date]]&lt;1/1/1990,"",IF(Main[[#This Row],[Class]]="C",WORKDAY(Main[[#This Row],[Tech Start Date]],19),IF(Main[[#This Row],[Class]]="B", WORKDAY(Main[[#This Row],[Tech Start Date]],12),IF(Main[[#This Row],[Class]]="A",WORKDAY(Main[[#This Row],[Tech Start Date]],4),""))))</f>
        <v/>
      </c>
      <c r="O803" s="69" t="str">
        <f>IF(Main[[#This Row],[Tech Start Date]]&lt;1/1/1990,"",IF(Main[[#This Row],[Class]]="C",WORKDAY(Main[[#This Row],[Tech Start Date]],23),IF(Main[[#This Row],[Class]]="B", WORKDAY(Main[[#This Row],[Tech Start Date]],15),IF(Main[[#This Row],[Class]]="A",WORKDAY(Main[[#This Row],[Tech Start Date]],5),""))))</f>
        <v/>
      </c>
      <c r="P803" s="69" t="str">
        <f>IF(Main[[#This Row],[Tech Start Date]]&lt;1/1/1990,"",IF(Main[[#This Row],[Class]]="C",WORKDAY(Main[[#This Row],[Tech Start Date]],28),IF(Main[[#This Row],[Class]]="B", WORKDAY(Main[[#This Row],[Tech Start Date]],19),IF(Main[[#This Row],[Class]]="A",WORKDAY(Main[[#This Row],[Tech Start Date]],9),""))))</f>
        <v/>
      </c>
      <c r="Q803" s="67"/>
      <c r="R803" s="67"/>
      <c r="S803" s="65" t="s">
        <v>6</v>
      </c>
      <c r="T803" s="70" t="s">
        <v>4</v>
      </c>
      <c r="U803" s="65" t="s">
        <v>29</v>
      </c>
      <c r="V803" s="65" t="s">
        <v>1917</v>
      </c>
      <c r="W803" s="65" t="s">
        <v>1921</v>
      </c>
      <c r="X803" s="65" t="s">
        <v>939</v>
      </c>
      <c r="Y803" s="65" t="s">
        <v>2990</v>
      </c>
      <c r="Z803" s="65" t="s">
        <v>939</v>
      </c>
      <c r="AA803" s="65" t="s">
        <v>939</v>
      </c>
    </row>
    <row r="804" spans="1:27" ht="17.45" customHeight="1">
      <c r="A804" s="131" t="str">
        <f>IF(priority(Main[[#This Row],[Comments]])&lt;&gt;0, priority(Main[[#This Row],[Comments]]),"")</f>
        <v/>
      </c>
      <c r="B804" s="99" t="s">
        <v>1567</v>
      </c>
      <c r="C804" s="65" t="s">
        <v>645</v>
      </c>
      <c r="D804" s="66" t="s">
        <v>646</v>
      </c>
      <c r="E804" s="67"/>
      <c r="F804" s="67">
        <v>40632</v>
      </c>
      <c r="G804" s="64" t="str">
        <f>IF(stdProdLT(Main[[#This Row],[Comments]])=0.1,"N/A",IF(stdProdLT(Main[[#This Row],[Comments]])=0,"",stdProdLT(Main[[#This Row],[Comments]])))</f>
        <v/>
      </c>
      <c r="H804" s="68" t="str">
        <f>IF(AND(Main[[#This Row],[In Stock Date]]&lt;&gt;"",Main[[#This Row],[Revised Due Date]]&lt;&gt;""),Main[[#This Row],[In Stock Date]]-Main[[#This Row],[Revised Due Date]],"")</f>
        <v/>
      </c>
      <c r="I804" s="65" t="s">
        <v>4</v>
      </c>
      <c r="J804" s="65" t="s">
        <v>4</v>
      </c>
      <c r="K804" s="65" t="s">
        <v>4</v>
      </c>
      <c r="L804" s="67"/>
      <c r="M804" s="69" t="str">
        <f>IF(Main[[#This Row],[Tech Start Date]]&lt;1/1/1990,"",IF(Main[[#This Row],[Class]]="C",WORKDAY(Main[[#This Row],[Tech Start Date]],9),IF(Main[[#This Row],[Class]]="B", WORKDAY(Main[[#This Row],[Tech Start Date]],6),IF(Main[[#This Row],[Class]]="A",WORKDAY(Main[[#This Row],[Tech Start Date]],2),""))))</f>
        <v/>
      </c>
      <c r="N804" s="69" t="str">
        <f>IF(Main[[#This Row],[Tech Start Date]]&lt;1/1/1990,"",IF(Main[[#This Row],[Class]]="C",WORKDAY(Main[[#This Row],[Tech Start Date]],19),IF(Main[[#This Row],[Class]]="B", WORKDAY(Main[[#This Row],[Tech Start Date]],12),IF(Main[[#This Row],[Class]]="A",WORKDAY(Main[[#This Row],[Tech Start Date]],4),""))))</f>
        <v/>
      </c>
      <c r="O804" s="69" t="str">
        <f>IF(Main[[#This Row],[Tech Start Date]]&lt;1/1/1990,"",IF(Main[[#This Row],[Class]]="C",WORKDAY(Main[[#This Row],[Tech Start Date]],23),IF(Main[[#This Row],[Class]]="B", WORKDAY(Main[[#This Row],[Tech Start Date]],15),IF(Main[[#This Row],[Class]]="A",WORKDAY(Main[[#This Row],[Tech Start Date]],5),""))))</f>
        <v/>
      </c>
      <c r="P804" s="69" t="str">
        <f>IF(Main[[#This Row],[Tech Start Date]]&lt;1/1/1990,"",IF(Main[[#This Row],[Class]]="C",WORKDAY(Main[[#This Row],[Tech Start Date]],28),IF(Main[[#This Row],[Class]]="B", WORKDAY(Main[[#This Row],[Tech Start Date]],19),IF(Main[[#This Row],[Class]]="A",WORKDAY(Main[[#This Row],[Tech Start Date]],9),""))))</f>
        <v/>
      </c>
      <c r="Q804" s="67">
        <v>40613</v>
      </c>
      <c r="R804" s="67"/>
      <c r="S804" s="65" t="s">
        <v>11</v>
      </c>
      <c r="T804" s="70" t="s">
        <v>4</v>
      </c>
      <c r="U804" s="65" t="s">
        <v>14</v>
      </c>
      <c r="V804" s="65" t="s">
        <v>1920</v>
      </c>
      <c r="W804" s="65" t="s">
        <v>1925</v>
      </c>
      <c r="X804" s="65" t="s">
        <v>2874</v>
      </c>
      <c r="Y804" s="65" t="s">
        <v>3018</v>
      </c>
      <c r="Z804" s="65" t="s">
        <v>4</v>
      </c>
      <c r="AA804" s="65" t="s">
        <v>2874</v>
      </c>
    </row>
    <row r="805" spans="1:27" ht="17.45" customHeight="1">
      <c r="A805" s="131" t="str">
        <f>IF(priority(Main[[#This Row],[Comments]])&lt;&gt;0, priority(Main[[#This Row],[Comments]]),"")</f>
        <v/>
      </c>
      <c r="B805" s="99" t="s">
        <v>2385</v>
      </c>
      <c r="C805" s="65" t="s">
        <v>4</v>
      </c>
      <c r="D805" s="66" t="s">
        <v>2386</v>
      </c>
      <c r="E805" s="67"/>
      <c r="F805" s="67"/>
      <c r="G805" s="64" t="str">
        <f>IF(stdProdLT(Main[[#This Row],[Comments]])=0.1,"N/A",IF(stdProdLT(Main[[#This Row],[Comments]])=0,"",stdProdLT(Main[[#This Row],[Comments]])))</f>
        <v/>
      </c>
      <c r="H805" s="68" t="str">
        <f>IF(AND(Main[[#This Row],[In Stock Date]]&lt;&gt;"",Main[[#This Row],[Revised Due Date]]&lt;&gt;""),Main[[#This Row],[In Stock Date]]-Main[[#This Row],[Revised Due Date]],"")</f>
        <v/>
      </c>
      <c r="I805" s="65" t="s">
        <v>4</v>
      </c>
      <c r="J805" s="65" t="s">
        <v>70</v>
      </c>
      <c r="K805" s="65" t="s">
        <v>4</v>
      </c>
      <c r="L805" s="67"/>
      <c r="M805" s="69" t="str">
        <f>IF(Main[[#This Row],[Tech Start Date]]&lt;1/1/1990,"",IF(Main[[#This Row],[Class]]="C",WORKDAY(Main[[#This Row],[Tech Start Date]],9),IF(Main[[#This Row],[Class]]="B", WORKDAY(Main[[#This Row],[Tech Start Date]],6),IF(Main[[#This Row],[Class]]="A",WORKDAY(Main[[#This Row],[Tech Start Date]],2),""))))</f>
        <v/>
      </c>
      <c r="N805" s="69" t="str">
        <f>IF(Main[[#This Row],[Tech Start Date]]&lt;1/1/1990,"",IF(Main[[#This Row],[Class]]="C",WORKDAY(Main[[#This Row],[Tech Start Date]],19),IF(Main[[#This Row],[Class]]="B", WORKDAY(Main[[#This Row],[Tech Start Date]],12),IF(Main[[#This Row],[Class]]="A",WORKDAY(Main[[#This Row],[Tech Start Date]],4),""))))</f>
        <v/>
      </c>
      <c r="O805" s="69" t="str">
        <f>IF(Main[[#This Row],[Tech Start Date]]&lt;1/1/1990,"",IF(Main[[#This Row],[Class]]="C",WORKDAY(Main[[#This Row],[Tech Start Date]],23),IF(Main[[#This Row],[Class]]="B", WORKDAY(Main[[#This Row],[Tech Start Date]],15),IF(Main[[#This Row],[Class]]="A",WORKDAY(Main[[#This Row],[Tech Start Date]],5),""))))</f>
        <v/>
      </c>
      <c r="P805" s="69" t="str">
        <f>IF(Main[[#This Row],[Tech Start Date]]&lt;1/1/1990,"",IF(Main[[#This Row],[Class]]="C",WORKDAY(Main[[#This Row],[Tech Start Date]],28),IF(Main[[#This Row],[Class]]="B", WORKDAY(Main[[#This Row],[Tech Start Date]],19),IF(Main[[#This Row],[Class]]="A",WORKDAY(Main[[#This Row],[Tech Start Date]],9),""))))</f>
        <v/>
      </c>
      <c r="Q805" s="67">
        <v>40877</v>
      </c>
      <c r="R805" s="67"/>
      <c r="S805" s="65" t="s">
        <v>6</v>
      </c>
      <c r="T805" s="70" t="s">
        <v>4</v>
      </c>
      <c r="U805" s="65" t="s">
        <v>14</v>
      </c>
      <c r="V805" s="65" t="s">
        <v>1920</v>
      </c>
      <c r="W805" s="65" t="s">
        <v>1921</v>
      </c>
      <c r="X805" s="65" t="s">
        <v>30</v>
      </c>
      <c r="Y805" s="65" t="s">
        <v>3096</v>
      </c>
      <c r="Z805" s="65" t="s">
        <v>30</v>
      </c>
      <c r="AA805" s="65" t="s">
        <v>74</v>
      </c>
    </row>
    <row r="806" spans="1:27" ht="17.45" customHeight="1">
      <c r="A806" s="131" t="str">
        <f>IF(priority(Main[[#This Row],[Comments]])&lt;&gt;0, priority(Main[[#This Row],[Comments]]),"")</f>
        <v/>
      </c>
      <c r="B806" s="99" t="s">
        <v>1617</v>
      </c>
      <c r="C806" s="65" t="s">
        <v>4</v>
      </c>
      <c r="D806" s="66" t="s">
        <v>690</v>
      </c>
      <c r="E806" s="67"/>
      <c r="F806" s="67"/>
      <c r="G806" s="64" t="str">
        <f>IF(stdProdLT(Main[[#This Row],[Comments]])=0.1,"N/A",IF(stdProdLT(Main[[#This Row],[Comments]])=0,"",stdProdLT(Main[[#This Row],[Comments]])))</f>
        <v/>
      </c>
      <c r="H806" s="68" t="str">
        <f>IF(AND(Main[[#This Row],[In Stock Date]]&lt;&gt;"",Main[[#This Row],[Revised Due Date]]&lt;&gt;""),Main[[#This Row],[In Stock Date]]-Main[[#This Row],[Revised Due Date]],"")</f>
        <v/>
      </c>
      <c r="I806" s="65" t="s">
        <v>4</v>
      </c>
      <c r="J806" s="65" t="s">
        <v>4</v>
      </c>
      <c r="K806" s="65" t="s">
        <v>4</v>
      </c>
      <c r="L806" s="67"/>
      <c r="M806" s="69" t="str">
        <f>IF(Main[[#This Row],[Tech Start Date]]&lt;1/1/1990,"",IF(Main[[#This Row],[Class]]="C",WORKDAY(Main[[#This Row],[Tech Start Date]],9),IF(Main[[#This Row],[Class]]="B", WORKDAY(Main[[#This Row],[Tech Start Date]],6),IF(Main[[#This Row],[Class]]="A",WORKDAY(Main[[#This Row],[Tech Start Date]],2),""))))</f>
        <v/>
      </c>
      <c r="N806" s="69" t="str">
        <f>IF(Main[[#This Row],[Tech Start Date]]&lt;1/1/1990,"",IF(Main[[#This Row],[Class]]="C",WORKDAY(Main[[#This Row],[Tech Start Date]],19),IF(Main[[#This Row],[Class]]="B", WORKDAY(Main[[#This Row],[Tech Start Date]],12),IF(Main[[#This Row],[Class]]="A",WORKDAY(Main[[#This Row],[Tech Start Date]],4),""))))</f>
        <v/>
      </c>
      <c r="O806" s="69" t="str">
        <f>IF(Main[[#This Row],[Tech Start Date]]&lt;1/1/1990,"",IF(Main[[#This Row],[Class]]="C",WORKDAY(Main[[#This Row],[Tech Start Date]],23),IF(Main[[#This Row],[Class]]="B", WORKDAY(Main[[#This Row],[Tech Start Date]],15),IF(Main[[#This Row],[Class]]="A",WORKDAY(Main[[#This Row],[Tech Start Date]],5),""))))</f>
        <v/>
      </c>
      <c r="P806" s="69" t="str">
        <f>IF(Main[[#This Row],[Tech Start Date]]&lt;1/1/1990,"",IF(Main[[#This Row],[Class]]="C",WORKDAY(Main[[#This Row],[Tech Start Date]],28),IF(Main[[#This Row],[Class]]="B", WORKDAY(Main[[#This Row],[Tech Start Date]],19),IF(Main[[#This Row],[Class]]="A",WORKDAY(Main[[#This Row],[Tech Start Date]],9),""))))</f>
        <v/>
      </c>
      <c r="Q806" s="67"/>
      <c r="R806" s="67"/>
      <c r="S806" s="65" t="s">
        <v>6</v>
      </c>
      <c r="T806" s="70" t="s">
        <v>4</v>
      </c>
      <c r="U806" s="65" t="s">
        <v>14</v>
      </c>
      <c r="V806" s="65" t="s">
        <v>1917</v>
      </c>
      <c r="W806" s="65" t="s">
        <v>4</v>
      </c>
      <c r="X806" s="65" t="s">
        <v>710</v>
      </c>
      <c r="Y806" s="65" t="s">
        <v>3076</v>
      </c>
      <c r="Z806" s="65" t="s">
        <v>4</v>
      </c>
      <c r="AA806" s="65" t="s">
        <v>710</v>
      </c>
    </row>
    <row r="807" spans="1:27" ht="17.45" customHeight="1">
      <c r="A807" s="131" t="str">
        <f>IF(priority(Main[[#This Row],[Comments]])&lt;&gt;0, priority(Main[[#This Row],[Comments]]),"")</f>
        <v/>
      </c>
      <c r="B807" s="99" t="s">
        <v>1618</v>
      </c>
      <c r="C807" s="65" t="s">
        <v>691</v>
      </c>
      <c r="D807" s="66" t="s">
        <v>692</v>
      </c>
      <c r="E807" s="67"/>
      <c r="F807" s="67">
        <v>40664</v>
      </c>
      <c r="G807" s="64" t="str">
        <f>IF(stdProdLT(Main[[#This Row],[Comments]])=0.1,"N/A",IF(stdProdLT(Main[[#This Row],[Comments]])=0,"",stdProdLT(Main[[#This Row],[Comments]])))</f>
        <v/>
      </c>
      <c r="H807" s="68" t="str">
        <f>IF(AND(Main[[#This Row],[In Stock Date]]&lt;&gt;"",Main[[#This Row],[Revised Due Date]]&lt;&gt;""),Main[[#This Row],[In Stock Date]]-Main[[#This Row],[Revised Due Date]],"")</f>
        <v/>
      </c>
      <c r="I807" s="65" t="s">
        <v>4</v>
      </c>
      <c r="J807" s="65" t="s">
        <v>4</v>
      </c>
      <c r="K807" s="65" t="s">
        <v>4</v>
      </c>
      <c r="L807" s="67"/>
      <c r="M807" s="69" t="str">
        <f>IF(Main[[#This Row],[Tech Start Date]]&lt;1/1/1990,"",IF(Main[[#This Row],[Class]]="C",WORKDAY(Main[[#This Row],[Tech Start Date]],9),IF(Main[[#This Row],[Class]]="B", WORKDAY(Main[[#This Row],[Tech Start Date]],6),IF(Main[[#This Row],[Class]]="A",WORKDAY(Main[[#This Row],[Tech Start Date]],2),""))))</f>
        <v/>
      </c>
      <c r="N807" s="69" t="str">
        <f>IF(Main[[#This Row],[Tech Start Date]]&lt;1/1/1990,"",IF(Main[[#This Row],[Class]]="C",WORKDAY(Main[[#This Row],[Tech Start Date]],19),IF(Main[[#This Row],[Class]]="B", WORKDAY(Main[[#This Row],[Tech Start Date]],12),IF(Main[[#This Row],[Class]]="A",WORKDAY(Main[[#This Row],[Tech Start Date]],4),""))))</f>
        <v/>
      </c>
      <c r="O807" s="69" t="str">
        <f>IF(Main[[#This Row],[Tech Start Date]]&lt;1/1/1990,"",IF(Main[[#This Row],[Class]]="C",WORKDAY(Main[[#This Row],[Tech Start Date]],23),IF(Main[[#This Row],[Class]]="B", WORKDAY(Main[[#This Row],[Tech Start Date]],15),IF(Main[[#This Row],[Class]]="A",WORKDAY(Main[[#This Row],[Tech Start Date]],5),""))))</f>
        <v/>
      </c>
      <c r="P807" s="69" t="str">
        <f>IF(Main[[#This Row],[Tech Start Date]]&lt;1/1/1990,"",IF(Main[[#This Row],[Class]]="C",WORKDAY(Main[[#This Row],[Tech Start Date]],28),IF(Main[[#This Row],[Class]]="B", WORKDAY(Main[[#This Row],[Tech Start Date]],19),IF(Main[[#This Row],[Class]]="A",WORKDAY(Main[[#This Row],[Tech Start Date]],9),""))))</f>
        <v/>
      </c>
      <c r="Q807" s="67">
        <v>40557</v>
      </c>
      <c r="R807" s="67"/>
      <c r="S807" s="65" t="s">
        <v>11</v>
      </c>
      <c r="T807" s="70" t="s">
        <v>4</v>
      </c>
      <c r="U807" s="65" t="s">
        <v>14</v>
      </c>
      <c r="V807" s="65" t="s">
        <v>1917</v>
      </c>
      <c r="W807" s="65" t="s">
        <v>1925</v>
      </c>
      <c r="X807" s="65" t="s">
        <v>2834</v>
      </c>
      <c r="Y807" s="65" t="s">
        <v>3097</v>
      </c>
      <c r="Z807" s="65" t="s">
        <v>4</v>
      </c>
      <c r="AA807" s="65" t="s">
        <v>2834</v>
      </c>
    </row>
    <row r="808" spans="1:27" ht="17.45" customHeight="1">
      <c r="A808" s="131" t="str">
        <f>IF(priority(Main[[#This Row],[Comments]])&lt;&gt;0, priority(Main[[#This Row],[Comments]]),"")</f>
        <v/>
      </c>
      <c r="B808" s="99" t="s">
        <v>1619</v>
      </c>
      <c r="C808" s="65" t="s">
        <v>4</v>
      </c>
      <c r="D808" s="66" t="s">
        <v>693</v>
      </c>
      <c r="E808" s="67"/>
      <c r="F808" s="67"/>
      <c r="G808" s="64" t="str">
        <f>IF(stdProdLT(Main[[#This Row],[Comments]])=0.1,"N/A",IF(stdProdLT(Main[[#This Row],[Comments]])=0,"",stdProdLT(Main[[#This Row],[Comments]])))</f>
        <v/>
      </c>
      <c r="H808" s="68" t="str">
        <f>IF(AND(Main[[#This Row],[In Stock Date]]&lt;&gt;"",Main[[#This Row],[Revised Due Date]]&lt;&gt;""),Main[[#This Row],[In Stock Date]]-Main[[#This Row],[Revised Due Date]],"")</f>
        <v/>
      </c>
      <c r="I808" s="65" t="s">
        <v>4</v>
      </c>
      <c r="J808" s="65" t="s">
        <v>4</v>
      </c>
      <c r="K808" s="65" t="s">
        <v>4</v>
      </c>
      <c r="L808" s="67"/>
      <c r="M808" s="69" t="str">
        <f>IF(Main[[#This Row],[Tech Start Date]]&lt;1/1/1990,"",IF(Main[[#This Row],[Class]]="C",WORKDAY(Main[[#This Row],[Tech Start Date]],9),IF(Main[[#This Row],[Class]]="B", WORKDAY(Main[[#This Row],[Tech Start Date]],6),IF(Main[[#This Row],[Class]]="A",WORKDAY(Main[[#This Row],[Tech Start Date]],2),""))))</f>
        <v/>
      </c>
      <c r="N808" s="69" t="str">
        <f>IF(Main[[#This Row],[Tech Start Date]]&lt;1/1/1990,"",IF(Main[[#This Row],[Class]]="C",WORKDAY(Main[[#This Row],[Tech Start Date]],19),IF(Main[[#This Row],[Class]]="B", WORKDAY(Main[[#This Row],[Tech Start Date]],12),IF(Main[[#This Row],[Class]]="A",WORKDAY(Main[[#This Row],[Tech Start Date]],4),""))))</f>
        <v/>
      </c>
      <c r="O808" s="69" t="str">
        <f>IF(Main[[#This Row],[Tech Start Date]]&lt;1/1/1990,"",IF(Main[[#This Row],[Class]]="C",WORKDAY(Main[[#This Row],[Tech Start Date]],23),IF(Main[[#This Row],[Class]]="B", WORKDAY(Main[[#This Row],[Tech Start Date]],15),IF(Main[[#This Row],[Class]]="A",WORKDAY(Main[[#This Row],[Tech Start Date]],5),""))))</f>
        <v/>
      </c>
      <c r="P808" s="69" t="str">
        <f>IF(Main[[#This Row],[Tech Start Date]]&lt;1/1/1990,"",IF(Main[[#This Row],[Class]]="C",WORKDAY(Main[[#This Row],[Tech Start Date]],28),IF(Main[[#This Row],[Class]]="B", WORKDAY(Main[[#This Row],[Tech Start Date]],19),IF(Main[[#This Row],[Class]]="A",WORKDAY(Main[[#This Row],[Tech Start Date]],9),""))))</f>
        <v/>
      </c>
      <c r="Q808" s="67"/>
      <c r="R808" s="67"/>
      <c r="S808" s="65" t="s">
        <v>11</v>
      </c>
      <c r="T808" s="70" t="s">
        <v>4</v>
      </c>
      <c r="U808" s="65" t="s">
        <v>14</v>
      </c>
      <c r="V808" s="65" t="s">
        <v>1917</v>
      </c>
      <c r="W808" s="65" t="s">
        <v>4</v>
      </c>
      <c r="X808" s="65" t="s">
        <v>710</v>
      </c>
      <c r="Y808" s="65" t="s">
        <v>3028</v>
      </c>
      <c r="Z808" s="65" t="s">
        <v>4</v>
      </c>
      <c r="AA808" s="65" t="s">
        <v>3413</v>
      </c>
    </row>
    <row r="809" spans="1:27" ht="17.45" customHeight="1">
      <c r="A809" s="131" t="str">
        <f>IF(priority(Main[[#This Row],[Comments]])&lt;&gt;0, priority(Main[[#This Row],[Comments]]),"")</f>
        <v/>
      </c>
      <c r="B809" s="99" t="s">
        <v>1808</v>
      </c>
      <c r="C809" s="65" t="s">
        <v>4</v>
      </c>
      <c r="D809" s="66" t="s">
        <v>838</v>
      </c>
      <c r="E809" s="67">
        <v>40430.597812499997</v>
      </c>
      <c r="F809" s="67">
        <v>40574</v>
      </c>
      <c r="G809" s="64" t="str">
        <f>IF(stdProdLT(Main[[#This Row],[Comments]])=0.1,"N/A",IF(stdProdLT(Main[[#This Row],[Comments]])=0,"",stdProdLT(Main[[#This Row],[Comments]])))</f>
        <v/>
      </c>
      <c r="H809" s="68">
        <f>IF(AND(Main[[#This Row],[In Stock Date]]&lt;&gt;"",Main[[#This Row],[Revised Due Date]]&lt;&gt;""),Main[[#This Row],[In Stock Date]]-Main[[#This Row],[Revised Due Date]],"")</f>
        <v>384</v>
      </c>
      <c r="I809" s="65" t="s">
        <v>81</v>
      </c>
      <c r="J809" s="65" t="s">
        <v>52</v>
      </c>
      <c r="K809" s="65" t="s">
        <v>1929</v>
      </c>
      <c r="L809" s="67"/>
      <c r="M809" s="69" t="str">
        <f>IF(Main[[#This Row],[Tech Start Date]]&lt;1/1/1990,"",IF(Main[[#This Row],[Class]]="C",WORKDAY(Main[[#This Row],[Tech Start Date]],9),IF(Main[[#This Row],[Class]]="B", WORKDAY(Main[[#This Row],[Tech Start Date]],6),IF(Main[[#This Row],[Class]]="A",WORKDAY(Main[[#This Row],[Tech Start Date]],2),""))))</f>
        <v/>
      </c>
      <c r="N809" s="69" t="str">
        <f>IF(Main[[#This Row],[Tech Start Date]]&lt;1/1/1990,"",IF(Main[[#This Row],[Class]]="C",WORKDAY(Main[[#This Row],[Tech Start Date]],19),IF(Main[[#This Row],[Class]]="B", WORKDAY(Main[[#This Row],[Tech Start Date]],12),IF(Main[[#This Row],[Class]]="A",WORKDAY(Main[[#This Row],[Tech Start Date]],4),""))))</f>
        <v/>
      </c>
      <c r="O809" s="69" t="str">
        <f>IF(Main[[#This Row],[Tech Start Date]]&lt;1/1/1990,"",IF(Main[[#This Row],[Class]]="C",WORKDAY(Main[[#This Row],[Tech Start Date]],23),IF(Main[[#This Row],[Class]]="B", WORKDAY(Main[[#This Row],[Tech Start Date]],15),IF(Main[[#This Row],[Class]]="A",WORKDAY(Main[[#This Row],[Tech Start Date]],5),""))))</f>
        <v/>
      </c>
      <c r="P809" s="69" t="str">
        <f>IF(Main[[#This Row],[Tech Start Date]]&lt;1/1/1990,"",IF(Main[[#This Row],[Class]]="C",WORKDAY(Main[[#This Row],[Tech Start Date]],28),IF(Main[[#This Row],[Class]]="B", WORKDAY(Main[[#This Row],[Tech Start Date]],19),IF(Main[[#This Row],[Class]]="A",WORKDAY(Main[[#This Row],[Tech Start Date]],9),""))))</f>
        <v/>
      </c>
      <c r="Q809" s="67">
        <v>40190</v>
      </c>
      <c r="R809" s="67">
        <v>40190</v>
      </c>
      <c r="S809" s="65" t="s">
        <v>17</v>
      </c>
      <c r="T809" s="70" t="s">
        <v>4</v>
      </c>
      <c r="U809" s="65" t="s">
        <v>29</v>
      </c>
      <c r="V809" s="65" t="s">
        <v>1920</v>
      </c>
      <c r="W809" s="65" t="s">
        <v>1922</v>
      </c>
      <c r="X809" s="65" t="s">
        <v>50</v>
      </c>
      <c r="Y809" s="65" t="s">
        <v>2991</v>
      </c>
      <c r="Z809" s="65" t="s">
        <v>81</v>
      </c>
      <c r="AA809" s="65" t="s">
        <v>65</v>
      </c>
    </row>
    <row r="810" spans="1:27" ht="17.45" customHeight="1">
      <c r="A810" s="131" t="str">
        <f>IF(priority(Main[[#This Row],[Comments]])&lt;&gt;0, priority(Main[[#This Row],[Comments]]),"")</f>
        <v/>
      </c>
      <c r="B810" s="99" t="s">
        <v>2106</v>
      </c>
      <c r="C810" s="65" t="s">
        <v>2091</v>
      </c>
      <c r="D810" s="66" t="s">
        <v>2092</v>
      </c>
      <c r="E810" s="67"/>
      <c r="F810" s="67">
        <v>40831</v>
      </c>
      <c r="G810" s="64" t="str">
        <f>IF(stdProdLT(Main[[#This Row],[Comments]])=0.1,"N/A",IF(stdProdLT(Main[[#This Row],[Comments]])=0,"",stdProdLT(Main[[#This Row],[Comments]])))</f>
        <v/>
      </c>
      <c r="H810" s="68" t="str">
        <f>IF(AND(Main[[#This Row],[In Stock Date]]&lt;&gt;"",Main[[#This Row],[Revised Due Date]]&lt;&gt;""),Main[[#This Row],[In Stock Date]]-Main[[#This Row],[Revised Due Date]],"")</f>
        <v/>
      </c>
      <c r="I810" s="65" t="s">
        <v>4</v>
      </c>
      <c r="J810" s="65" t="s">
        <v>4</v>
      </c>
      <c r="K810" s="71" t="s">
        <v>4</v>
      </c>
      <c r="L810" s="67"/>
      <c r="M810" s="69" t="str">
        <f>IF(Main[[#This Row],[Tech Start Date]]&lt;1/1/1990,"",IF(Main[[#This Row],[Class]]="C",WORKDAY(Main[[#This Row],[Tech Start Date]],9),IF(Main[[#This Row],[Class]]="B", WORKDAY(Main[[#This Row],[Tech Start Date]],6),IF(Main[[#This Row],[Class]]="A",WORKDAY(Main[[#This Row],[Tech Start Date]],2),""))))</f>
        <v/>
      </c>
      <c r="N810" s="69" t="str">
        <f>IF(Main[[#This Row],[Tech Start Date]]&lt;1/1/1990,"",IF(Main[[#This Row],[Class]]="C",WORKDAY(Main[[#This Row],[Tech Start Date]],19),IF(Main[[#This Row],[Class]]="B", WORKDAY(Main[[#This Row],[Tech Start Date]],12),IF(Main[[#This Row],[Class]]="A",WORKDAY(Main[[#This Row],[Tech Start Date]],4),""))))</f>
        <v/>
      </c>
      <c r="O810" s="69" t="str">
        <f>IF(Main[[#This Row],[Tech Start Date]]&lt;1/1/1990,"",IF(Main[[#This Row],[Class]]="C",WORKDAY(Main[[#This Row],[Tech Start Date]],23),IF(Main[[#This Row],[Class]]="B", WORKDAY(Main[[#This Row],[Tech Start Date]],15),IF(Main[[#This Row],[Class]]="A",WORKDAY(Main[[#This Row],[Tech Start Date]],5),""))))</f>
        <v/>
      </c>
      <c r="P810" s="69" t="str">
        <f>IF(Main[[#This Row],[Tech Start Date]]&lt;1/1/1990,"",IF(Main[[#This Row],[Class]]="C",WORKDAY(Main[[#This Row],[Tech Start Date]],28),IF(Main[[#This Row],[Class]]="B", WORKDAY(Main[[#This Row],[Tech Start Date]],19),IF(Main[[#This Row],[Class]]="A",WORKDAY(Main[[#This Row],[Tech Start Date]],9),""))))</f>
        <v/>
      </c>
      <c r="Q810" s="67">
        <v>40786</v>
      </c>
      <c r="R810" s="67"/>
      <c r="S810" s="65" t="s">
        <v>11</v>
      </c>
      <c r="T810" s="70" t="s">
        <v>4</v>
      </c>
      <c r="U810" s="65" t="s">
        <v>12</v>
      </c>
      <c r="V810" s="65" t="s">
        <v>1920</v>
      </c>
      <c r="W810" s="65" t="s">
        <v>1925</v>
      </c>
      <c r="X810" s="65" t="s">
        <v>2837</v>
      </c>
      <c r="Y810" s="65" t="s">
        <v>2960</v>
      </c>
      <c r="Z810" s="65" t="s">
        <v>4</v>
      </c>
      <c r="AA810" s="65" t="s">
        <v>2837</v>
      </c>
    </row>
    <row r="811" spans="1:27" ht="17.45" customHeight="1">
      <c r="A811" s="131" t="str">
        <f>IF(priority(Main[[#This Row],[Comments]])&lt;&gt;0, priority(Main[[#This Row],[Comments]]),"")</f>
        <v/>
      </c>
      <c r="B811" s="99" t="s">
        <v>2084</v>
      </c>
      <c r="C811" s="65" t="s">
        <v>4</v>
      </c>
      <c r="D811" s="66" t="s">
        <v>2085</v>
      </c>
      <c r="E811" s="67"/>
      <c r="F811" s="67"/>
      <c r="G811" s="64" t="str">
        <f>IF(stdProdLT(Main[[#This Row],[Comments]])=0.1,"N/A",IF(stdProdLT(Main[[#This Row],[Comments]])=0,"",stdProdLT(Main[[#This Row],[Comments]])))</f>
        <v/>
      </c>
      <c r="H811" s="68" t="str">
        <f>IF(AND(Main[[#This Row],[In Stock Date]]&lt;&gt;"",Main[[#This Row],[Revised Due Date]]&lt;&gt;""),Main[[#This Row],[In Stock Date]]-Main[[#This Row],[Revised Due Date]],"")</f>
        <v/>
      </c>
      <c r="I811" s="65" t="s">
        <v>530</v>
      </c>
      <c r="J811" s="65" t="s">
        <v>28</v>
      </c>
      <c r="K811" s="65" t="s">
        <v>1926</v>
      </c>
      <c r="L811" s="67"/>
      <c r="M811" s="69" t="str">
        <f>IF(Main[[#This Row],[Tech Start Date]]&lt;1/1/1990,"",IF(Main[[#This Row],[Class]]="C",WORKDAY(Main[[#This Row],[Tech Start Date]],9),IF(Main[[#This Row],[Class]]="B", WORKDAY(Main[[#This Row],[Tech Start Date]],6),IF(Main[[#This Row],[Class]]="A",WORKDAY(Main[[#This Row],[Tech Start Date]],2),""))))</f>
        <v/>
      </c>
      <c r="N811" s="69" t="str">
        <f>IF(Main[[#This Row],[Tech Start Date]]&lt;1/1/1990,"",IF(Main[[#This Row],[Class]]="C",WORKDAY(Main[[#This Row],[Tech Start Date]],19),IF(Main[[#This Row],[Class]]="B", WORKDAY(Main[[#This Row],[Tech Start Date]],12),IF(Main[[#This Row],[Class]]="A",WORKDAY(Main[[#This Row],[Tech Start Date]],4),""))))</f>
        <v/>
      </c>
      <c r="O811" s="69" t="str">
        <f>IF(Main[[#This Row],[Tech Start Date]]&lt;1/1/1990,"",IF(Main[[#This Row],[Class]]="C",WORKDAY(Main[[#This Row],[Tech Start Date]],23),IF(Main[[#This Row],[Class]]="B", WORKDAY(Main[[#This Row],[Tech Start Date]],15),IF(Main[[#This Row],[Class]]="A",WORKDAY(Main[[#This Row],[Tech Start Date]],5),""))))</f>
        <v/>
      </c>
      <c r="P811" s="69" t="str">
        <f>IF(Main[[#This Row],[Tech Start Date]]&lt;1/1/1990,"",IF(Main[[#This Row],[Class]]="C",WORKDAY(Main[[#This Row],[Tech Start Date]],28),IF(Main[[#This Row],[Class]]="B", WORKDAY(Main[[#This Row],[Tech Start Date]],19),IF(Main[[#This Row],[Class]]="A",WORKDAY(Main[[#This Row],[Tech Start Date]],9),""))))</f>
        <v/>
      </c>
      <c r="Q811" s="67"/>
      <c r="R811" s="67"/>
      <c r="S811" s="65" t="s">
        <v>6</v>
      </c>
      <c r="T811" s="70" t="s">
        <v>4</v>
      </c>
      <c r="U811" s="65" t="s">
        <v>14</v>
      </c>
      <c r="V811" s="65" t="s">
        <v>1920</v>
      </c>
      <c r="W811" s="65" t="s">
        <v>1921</v>
      </c>
      <c r="X811" s="65" t="s">
        <v>2872</v>
      </c>
      <c r="Y811" s="65" t="s">
        <v>3006</v>
      </c>
      <c r="Z811" s="65" t="s">
        <v>44</v>
      </c>
      <c r="AA811" s="65" t="s">
        <v>2872</v>
      </c>
    </row>
    <row r="812" spans="1:27" ht="17.45" customHeight="1">
      <c r="A812" s="131" t="str">
        <f>IF(priority(Main[[#This Row],[Comments]])&lt;&gt;0, priority(Main[[#This Row],[Comments]]),"")</f>
        <v/>
      </c>
      <c r="B812" s="99" t="s">
        <v>1399</v>
      </c>
      <c r="C812" s="65" t="s">
        <v>4</v>
      </c>
      <c r="D812" s="66" t="s">
        <v>481</v>
      </c>
      <c r="E812" s="67">
        <v>40485.329618055555</v>
      </c>
      <c r="F812" s="67"/>
      <c r="G812" s="64" t="str">
        <f>IF(stdProdLT(Main[[#This Row],[Comments]])=0.1,"N/A",IF(stdProdLT(Main[[#This Row],[Comments]])=0,"",stdProdLT(Main[[#This Row],[Comments]])))</f>
        <v/>
      </c>
      <c r="H812" s="68" t="str">
        <f>IF(AND(Main[[#This Row],[In Stock Date]]&lt;&gt;"",Main[[#This Row],[Revised Due Date]]&lt;&gt;""),Main[[#This Row],[In Stock Date]]-Main[[#This Row],[Revised Due Date]],"")</f>
        <v/>
      </c>
      <c r="I812" s="65" t="s">
        <v>4</v>
      </c>
      <c r="J812" s="65" t="s">
        <v>28</v>
      </c>
      <c r="K812" s="65" t="s">
        <v>1929</v>
      </c>
      <c r="L812" s="67"/>
      <c r="M812" s="69" t="str">
        <f>IF(Main[[#This Row],[Tech Start Date]]&lt;1/1/1990,"",IF(Main[[#This Row],[Class]]="C",WORKDAY(Main[[#This Row],[Tech Start Date]],9),IF(Main[[#This Row],[Class]]="B", WORKDAY(Main[[#This Row],[Tech Start Date]],6),IF(Main[[#This Row],[Class]]="A",WORKDAY(Main[[#This Row],[Tech Start Date]],2),""))))</f>
        <v/>
      </c>
      <c r="N812" s="69" t="str">
        <f>IF(Main[[#This Row],[Tech Start Date]]&lt;1/1/1990,"",IF(Main[[#This Row],[Class]]="C",WORKDAY(Main[[#This Row],[Tech Start Date]],19),IF(Main[[#This Row],[Class]]="B", WORKDAY(Main[[#This Row],[Tech Start Date]],12),IF(Main[[#This Row],[Class]]="A",WORKDAY(Main[[#This Row],[Tech Start Date]],4),""))))</f>
        <v/>
      </c>
      <c r="O812" s="69" t="str">
        <f>IF(Main[[#This Row],[Tech Start Date]]&lt;1/1/1990,"",IF(Main[[#This Row],[Class]]="C",WORKDAY(Main[[#This Row],[Tech Start Date]],23),IF(Main[[#This Row],[Class]]="B", WORKDAY(Main[[#This Row],[Tech Start Date]],15),IF(Main[[#This Row],[Class]]="A",WORKDAY(Main[[#This Row],[Tech Start Date]],5),""))))</f>
        <v/>
      </c>
      <c r="P812" s="69" t="str">
        <f>IF(Main[[#This Row],[Tech Start Date]]&lt;1/1/1990,"",IF(Main[[#This Row],[Class]]="C",WORKDAY(Main[[#This Row],[Tech Start Date]],28),IF(Main[[#This Row],[Class]]="B", WORKDAY(Main[[#This Row],[Tech Start Date]],19),IF(Main[[#This Row],[Class]]="A",WORKDAY(Main[[#This Row],[Tech Start Date]],9),""))))</f>
        <v/>
      </c>
      <c r="Q812" s="67"/>
      <c r="R812" s="67"/>
      <c r="S812" s="65" t="s">
        <v>17</v>
      </c>
      <c r="T812" s="70" t="s">
        <v>4</v>
      </c>
      <c r="U812" s="65" t="s">
        <v>29</v>
      </c>
      <c r="V812" s="65" t="s">
        <v>1917</v>
      </c>
      <c r="W812" s="65" t="s">
        <v>1931</v>
      </c>
      <c r="X812" s="65" t="s">
        <v>2055</v>
      </c>
      <c r="Y812" s="65" t="s">
        <v>3008</v>
      </c>
      <c r="Z812" s="65" t="s">
        <v>4</v>
      </c>
      <c r="AA812" s="65" t="s">
        <v>2055</v>
      </c>
    </row>
    <row r="813" spans="1:27" ht="17.45" customHeight="1">
      <c r="A813" s="131" t="str">
        <f>IF(priority(Main[[#This Row],[Comments]])&lt;&gt;0, priority(Main[[#This Row],[Comments]]),"")</f>
        <v/>
      </c>
      <c r="B813" s="99" t="s">
        <v>1820</v>
      </c>
      <c r="C813" s="65" t="s">
        <v>42</v>
      </c>
      <c r="D813" s="66" t="s">
        <v>871</v>
      </c>
      <c r="E813" s="67">
        <v>39932.455243055556</v>
      </c>
      <c r="F813" s="67"/>
      <c r="G813" s="64" t="str">
        <f>IF(stdProdLT(Main[[#This Row],[Comments]])=0.1,"N/A",IF(stdProdLT(Main[[#This Row],[Comments]])=0,"",stdProdLT(Main[[#This Row],[Comments]])))</f>
        <v/>
      </c>
      <c r="H813" s="68" t="str">
        <f>IF(AND(Main[[#This Row],[In Stock Date]]&lt;&gt;"",Main[[#This Row],[Revised Due Date]]&lt;&gt;""),Main[[#This Row],[In Stock Date]]-Main[[#This Row],[Revised Due Date]],"")</f>
        <v/>
      </c>
      <c r="I813" s="65" t="s">
        <v>4</v>
      </c>
      <c r="J813" s="65" t="s">
        <v>4</v>
      </c>
      <c r="K813" s="65" t="s">
        <v>4</v>
      </c>
      <c r="L813" s="67"/>
      <c r="M813" s="69" t="str">
        <f>IF(Main[[#This Row],[Tech Start Date]]&lt;1/1/1990,"",IF(Main[[#This Row],[Class]]="C",WORKDAY(Main[[#This Row],[Tech Start Date]],9),IF(Main[[#This Row],[Class]]="B", WORKDAY(Main[[#This Row],[Tech Start Date]],6),IF(Main[[#This Row],[Class]]="A",WORKDAY(Main[[#This Row],[Tech Start Date]],2),""))))</f>
        <v/>
      </c>
      <c r="N813" s="69" t="str">
        <f>IF(Main[[#This Row],[Tech Start Date]]&lt;1/1/1990,"",IF(Main[[#This Row],[Class]]="C",WORKDAY(Main[[#This Row],[Tech Start Date]],19),IF(Main[[#This Row],[Class]]="B", WORKDAY(Main[[#This Row],[Tech Start Date]],12),IF(Main[[#This Row],[Class]]="A",WORKDAY(Main[[#This Row],[Tech Start Date]],4),""))))</f>
        <v/>
      </c>
      <c r="O813" s="69" t="str">
        <f>IF(Main[[#This Row],[Tech Start Date]]&lt;1/1/1990,"",IF(Main[[#This Row],[Class]]="C",WORKDAY(Main[[#This Row],[Tech Start Date]],23),IF(Main[[#This Row],[Class]]="B", WORKDAY(Main[[#This Row],[Tech Start Date]],15),IF(Main[[#This Row],[Class]]="A",WORKDAY(Main[[#This Row],[Tech Start Date]],5),""))))</f>
        <v/>
      </c>
      <c r="P813" s="69" t="str">
        <f>IF(Main[[#This Row],[Tech Start Date]]&lt;1/1/1990,"",IF(Main[[#This Row],[Class]]="C",WORKDAY(Main[[#This Row],[Tech Start Date]],28),IF(Main[[#This Row],[Class]]="B", WORKDAY(Main[[#This Row],[Tech Start Date]],19),IF(Main[[#This Row],[Class]]="A",WORKDAY(Main[[#This Row],[Tech Start Date]],9),""))))</f>
        <v/>
      </c>
      <c r="Q813" s="67">
        <v>40165</v>
      </c>
      <c r="R813" s="67">
        <v>40298</v>
      </c>
      <c r="S813" s="65" t="s">
        <v>17</v>
      </c>
      <c r="T813" s="70" t="s">
        <v>4</v>
      </c>
      <c r="U813" s="65" t="s">
        <v>29</v>
      </c>
      <c r="V813" s="65" t="s">
        <v>1918</v>
      </c>
      <c r="W813" s="65" t="s">
        <v>1921</v>
      </c>
      <c r="X813" s="65" t="s">
        <v>399</v>
      </c>
      <c r="Y813" s="65" t="s">
        <v>4</v>
      </c>
      <c r="Z813" s="65" t="s">
        <v>4</v>
      </c>
      <c r="AA813" s="65" t="s">
        <v>3442</v>
      </c>
    </row>
    <row r="814" spans="1:27" ht="17.45" customHeight="1">
      <c r="A814" s="131" t="str">
        <f>IF(priority(Main[[#This Row],[Comments]])&lt;&gt;0, priority(Main[[#This Row],[Comments]]),"")</f>
        <v/>
      </c>
      <c r="B814" s="99" t="s">
        <v>1621</v>
      </c>
      <c r="C814" s="65" t="s">
        <v>4</v>
      </c>
      <c r="D814" s="66" t="s">
        <v>697</v>
      </c>
      <c r="E814" s="67"/>
      <c r="F814" s="67"/>
      <c r="G814" s="64" t="str">
        <f>IF(stdProdLT(Main[[#This Row],[Comments]])=0.1,"N/A",IF(stdProdLT(Main[[#This Row],[Comments]])=0,"",stdProdLT(Main[[#This Row],[Comments]])))</f>
        <v/>
      </c>
      <c r="H814" s="68" t="str">
        <f>IF(AND(Main[[#This Row],[In Stock Date]]&lt;&gt;"",Main[[#This Row],[Revised Due Date]]&lt;&gt;""),Main[[#This Row],[In Stock Date]]-Main[[#This Row],[Revised Due Date]],"")</f>
        <v/>
      </c>
      <c r="I814" s="65" t="s">
        <v>4</v>
      </c>
      <c r="J814" s="65" t="s">
        <v>4</v>
      </c>
      <c r="K814" s="65" t="s">
        <v>4</v>
      </c>
      <c r="L814" s="67"/>
      <c r="M814" s="69" t="str">
        <f>IF(Main[[#This Row],[Tech Start Date]]&lt;1/1/1990,"",IF(Main[[#This Row],[Class]]="C",WORKDAY(Main[[#This Row],[Tech Start Date]],9),IF(Main[[#This Row],[Class]]="B", WORKDAY(Main[[#This Row],[Tech Start Date]],6),IF(Main[[#This Row],[Class]]="A",WORKDAY(Main[[#This Row],[Tech Start Date]],2),""))))</f>
        <v/>
      </c>
      <c r="N814" s="69" t="str">
        <f>IF(Main[[#This Row],[Tech Start Date]]&lt;1/1/1990,"",IF(Main[[#This Row],[Class]]="C",WORKDAY(Main[[#This Row],[Tech Start Date]],19),IF(Main[[#This Row],[Class]]="B", WORKDAY(Main[[#This Row],[Tech Start Date]],12),IF(Main[[#This Row],[Class]]="A",WORKDAY(Main[[#This Row],[Tech Start Date]],4),""))))</f>
        <v/>
      </c>
      <c r="O814" s="69" t="str">
        <f>IF(Main[[#This Row],[Tech Start Date]]&lt;1/1/1990,"",IF(Main[[#This Row],[Class]]="C",WORKDAY(Main[[#This Row],[Tech Start Date]],23),IF(Main[[#This Row],[Class]]="B", WORKDAY(Main[[#This Row],[Tech Start Date]],15),IF(Main[[#This Row],[Class]]="A",WORKDAY(Main[[#This Row],[Tech Start Date]],5),""))))</f>
        <v/>
      </c>
      <c r="P814" s="69" t="str">
        <f>IF(Main[[#This Row],[Tech Start Date]]&lt;1/1/1990,"",IF(Main[[#This Row],[Class]]="C",WORKDAY(Main[[#This Row],[Tech Start Date]],28),IF(Main[[#This Row],[Class]]="B", WORKDAY(Main[[#This Row],[Tech Start Date]],19),IF(Main[[#This Row],[Class]]="A",WORKDAY(Main[[#This Row],[Tech Start Date]],9),""))))</f>
        <v/>
      </c>
      <c r="Q814" s="67"/>
      <c r="R814" s="67"/>
      <c r="S814" s="65" t="s">
        <v>23</v>
      </c>
      <c r="T814" s="70" t="s">
        <v>4</v>
      </c>
      <c r="U814" s="65" t="s">
        <v>14</v>
      </c>
      <c r="V814" s="65" t="s">
        <v>1920</v>
      </c>
      <c r="W814" s="65" t="s">
        <v>1921</v>
      </c>
      <c r="X814" s="65" t="s">
        <v>399</v>
      </c>
      <c r="Y814" s="65" t="s">
        <v>4</v>
      </c>
      <c r="Z814" s="65" t="s">
        <v>4</v>
      </c>
      <c r="AA814" s="65" t="s">
        <v>3443</v>
      </c>
    </row>
    <row r="815" spans="1:27" ht="17.45" customHeight="1">
      <c r="A815" s="131" t="str">
        <f>IF(priority(Main[[#This Row],[Comments]])&lt;&gt;0, priority(Main[[#This Row],[Comments]]),"")</f>
        <v/>
      </c>
      <c r="B815" s="99" t="s">
        <v>1622</v>
      </c>
      <c r="C815" s="65" t="s">
        <v>122</v>
      </c>
      <c r="D815" s="66" t="s">
        <v>698</v>
      </c>
      <c r="E815" s="67"/>
      <c r="F815" s="67"/>
      <c r="G815" s="64" t="str">
        <f>IF(stdProdLT(Main[[#This Row],[Comments]])=0.1,"N/A",IF(stdProdLT(Main[[#This Row],[Comments]])=0,"",stdProdLT(Main[[#This Row],[Comments]])))</f>
        <v/>
      </c>
      <c r="H815" s="68" t="str">
        <f>IF(AND(Main[[#This Row],[In Stock Date]]&lt;&gt;"",Main[[#This Row],[Revised Due Date]]&lt;&gt;""),Main[[#This Row],[In Stock Date]]-Main[[#This Row],[Revised Due Date]],"")</f>
        <v/>
      </c>
      <c r="I815" s="65" t="s">
        <v>4</v>
      </c>
      <c r="J815" s="65" t="s">
        <v>4</v>
      </c>
      <c r="K815" s="71" t="s">
        <v>4</v>
      </c>
      <c r="L815" s="67"/>
      <c r="M815" s="69" t="str">
        <f>IF(Main[[#This Row],[Tech Start Date]]&lt;1/1/1990,"",IF(Main[[#This Row],[Class]]="C",WORKDAY(Main[[#This Row],[Tech Start Date]],9),IF(Main[[#This Row],[Class]]="B", WORKDAY(Main[[#This Row],[Tech Start Date]],6),IF(Main[[#This Row],[Class]]="A",WORKDAY(Main[[#This Row],[Tech Start Date]],2),""))))</f>
        <v/>
      </c>
      <c r="N815" s="69" t="str">
        <f>IF(Main[[#This Row],[Tech Start Date]]&lt;1/1/1990,"",IF(Main[[#This Row],[Class]]="C",WORKDAY(Main[[#This Row],[Tech Start Date]],19),IF(Main[[#This Row],[Class]]="B", WORKDAY(Main[[#This Row],[Tech Start Date]],12),IF(Main[[#This Row],[Class]]="A",WORKDAY(Main[[#This Row],[Tech Start Date]],4),""))))</f>
        <v/>
      </c>
      <c r="O815" s="69" t="str">
        <f>IF(Main[[#This Row],[Tech Start Date]]&lt;1/1/1990,"",IF(Main[[#This Row],[Class]]="C",WORKDAY(Main[[#This Row],[Tech Start Date]],23),IF(Main[[#This Row],[Class]]="B", WORKDAY(Main[[#This Row],[Tech Start Date]],15),IF(Main[[#This Row],[Class]]="A",WORKDAY(Main[[#This Row],[Tech Start Date]],5),""))))</f>
        <v/>
      </c>
      <c r="P815" s="69" t="str">
        <f>IF(Main[[#This Row],[Tech Start Date]]&lt;1/1/1990,"",IF(Main[[#This Row],[Class]]="C",WORKDAY(Main[[#This Row],[Tech Start Date]],28),IF(Main[[#This Row],[Class]]="B", WORKDAY(Main[[#This Row],[Tech Start Date]],19),IF(Main[[#This Row],[Class]]="A",WORKDAY(Main[[#This Row],[Tech Start Date]],9),""))))</f>
        <v/>
      </c>
      <c r="Q815" s="67"/>
      <c r="R815" s="67"/>
      <c r="S815" s="65" t="s">
        <v>11</v>
      </c>
      <c r="T815" s="70" t="s">
        <v>4</v>
      </c>
      <c r="U815" s="65" t="s">
        <v>14</v>
      </c>
      <c r="V815" s="65" t="s">
        <v>1917</v>
      </c>
      <c r="W815" s="65" t="s">
        <v>1928</v>
      </c>
      <c r="X815" s="65" t="s">
        <v>2826</v>
      </c>
      <c r="Y815" s="65" t="s">
        <v>3098</v>
      </c>
      <c r="Z815" s="65" t="s">
        <v>4</v>
      </c>
      <c r="AA815" s="65" t="s">
        <v>3444</v>
      </c>
    </row>
    <row r="816" spans="1:27" ht="17.45" customHeight="1">
      <c r="A816" s="131" t="str">
        <f>IF(priority(Main[[#This Row],[Comments]])&lt;&gt;0, priority(Main[[#This Row],[Comments]]),"")</f>
        <v/>
      </c>
      <c r="B816" s="99" t="s">
        <v>1624</v>
      </c>
      <c r="C816" s="65" t="s">
        <v>4</v>
      </c>
      <c r="D816" s="66" t="s">
        <v>699</v>
      </c>
      <c r="E816" s="67"/>
      <c r="F816" s="67">
        <v>40598</v>
      </c>
      <c r="G816" s="64" t="str">
        <f>IF(stdProdLT(Main[[#This Row],[Comments]])=0.1,"N/A",IF(stdProdLT(Main[[#This Row],[Comments]])=0,"",stdProdLT(Main[[#This Row],[Comments]])))</f>
        <v/>
      </c>
      <c r="H816" s="68" t="str">
        <f>IF(AND(Main[[#This Row],[In Stock Date]]&lt;&gt;"",Main[[#This Row],[Revised Due Date]]&lt;&gt;""),Main[[#This Row],[In Stock Date]]-Main[[#This Row],[Revised Due Date]],"")</f>
        <v/>
      </c>
      <c r="I816" s="65" t="s">
        <v>399</v>
      </c>
      <c r="J816" s="65" t="s">
        <v>75</v>
      </c>
      <c r="K816" s="65" t="s">
        <v>4</v>
      </c>
      <c r="L816" s="67"/>
      <c r="M816" s="69" t="str">
        <f>IF(Main[[#This Row],[Tech Start Date]]&lt;1/1/1990,"",IF(Main[[#This Row],[Class]]="C",WORKDAY(Main[[#This Row],[Tech Start Date]],9),IF(Main[[#This Row],[Class]]="B", WORKDAY(Main[[#This Row],[Tech Start Date]],6),IF(Main[[#This Row],[Class]]="A",WORKDAY(Main[[#This Row],[Tech Start Date]],2),""))))</f>
        <v/>
      </c>
      <c r="N816" s="69" t="str">
        <f>IF(Main[[#This Row],[Tech Start Date]]&lt;1/1/1990,"",IF(Main[[#This Row],[Class]]="C",WORKDAY(Main[[#This Row],[Tech Start Date]],19),IF(Main[[#This Row],[Class]]="B", WORKDAY(Main[[#This Row],[Tech Start Date]],12),IF(Main[[#This Row],[Class]]="A",WORKDAY(Main[[#This Row],[Tech Start Date]],4),""))))</f>
        <v/>
      </c>
      <c r="O816" s="69" t="str">
        <f>IF(Main[[#This Row],[Tech Start Date]]&lt;1/1/1990,"",IF(Main[[#This Row],[Class]]="C",WORKDAY(Main[[#This Row],[Tech Start Date]],23),IF(Main[[#This Row],[Class]]="B", WORKDAY(Main[[#This Row],[Tech Start Date]],15),IF(Main[[#This Row],[Class]]="A",WORKDAY(Main[[#This Row],[Tech Start Date]],5),""))))</f>
        <v/>
      </c>
      <c r="P816" s="69" t="str">
        <f>IF(Main[[#This Row],[Tech Start Date]]&lt;1/1/1990,"",IF(Main[[#This Row],[Class]]="C",WORKDAY(Main[[#This Row],[Tech Start Date]],28),IF(Main[[#This Row],[Class]]="B", WORKDAY(Main[[#This Row],[Tech Start Date]],19),IF(Main[[#This Row],[Class]]="A",WORKDAY(Main[[#This Row],[Tech Start Date]],9),""))))</f>
        <v/>
      </c>
      <c r="Q816" s="67">
        <v>40598</v>
      </c>
      <c r="R816" s="67"/>
      <c r="S816" s="65" t="s">
        <v>6</v>
      </c>
      <c r="T816" s="70" t="s">
        <v>4</v>
      </c>
      <c r="U816" s="65" t="s">
        <v>14</v>
      </c>
      <c r="V816" s="65" t="s">
        <v>1927</v>
      </c>
      <c r="W816" s="65" t="s">
        <v>1923</v>
      </c>
      <c r="X816" s="65" t="s">
        <v>2854</v>
      </c>
      <c r="Y816" s="65" t="s">
        <v>2985</v>
      </c>
      <c r="Z816" s="65" t="s">
        <v>306</v>
      </c>
      <c r="AA816" s="65" t="s">
        <v>2854</v>
      </c>
    </row>
    <row r="817" spans="1:27" ht="17.45" customHeight="1">
      <c r="A817" s="131" t="str">
        <f>IF(priority(Main[[#This Row],[Comments]])&lt;&gt;0, priority(Main[[#This Row],[Comments]]),"")</f>
        <v/>
      </c>
      <c r="B817" s="99" t="s">
        <v>2168</v>
      </c>
      <c r="C817" s="65" t="s">
        <v>2163</v>
      </c>
      <c r="D817" s="66" t="s">
        <v>2738</v>
      </c>
      <c r="E817" s="67">
        <v>40781.401631944442</v>
      </c>
      <c r="F817" s="67"/>
      <c r="G817" s="64" t="str">
        <f>IF(stdProdLT(Main[[#This Row],[Comments]])=0.1,"N/A",IF(stdProdLT(Main[[#This Row],[Comments]])=0,"",stdProdLT(Main[[#This Row],[Comments]])))</f>
        <v/>
      </c>
      <c r="H817" s="68" t="str">
        <f>IF(AND(Main[[#This Row],[In Stock Date]]&lt;&gt;"",Main[[#This Row],[Revised Due Date]]&lt;&gt;""),Main[[#This Row],[In Stock Date]]-Main[[#This Row],[Revised Due Date]],"")</f>
        <v/>
      </c>
      <c r="I817" s="65" t="s">
        <v>2054</v>
      </c>
      <c r="J817" s="65" t="s">
        <v>70</v>
      </c>
      <c r="K817" s="65" t="s">
        <v>1926</v>
      </c>
      <c r="L817" s="67"/>
      <c r="M817" s="69" t="str">
        <f>IF(Main[[#This Row],[Tech Start Date]]&lt;1/1/1990,"",IF(Main[[#This Row],[Class]]="C",WORKDAY(Main[[#This Row],[Tech Start Date]],9),IF(Main[[#This Row],[Class]]="B", WORKDAY(Main[[#This Row],[Tech Start Date]],6),IF(Main[[#This Row],[Class]]="A",WORKDAY(Main[[#This Row],[Tech Start Date]],2),""))))</f>
        <v/>
      </c>
      <c r="N817" s="69" t="str">
        <f>IF(Main[[#This Row],[Tech Start Date]]&lt;1/1/1990,"",IF(Main[[#This Row],[Class]]="C",WORKDAY(Main[[#This Row],[Tech Start Date]],19),IF(Main[[#This Row],[Class]]="B", WORKDAY(Main[[#This Row],[Tech Start Date]],12),IF(Main[[#This Row],[Class]]="A",WORKDAY(Main[[#This Row],[Tech Start Date]],4),""))))</f>
        <v/>
      </c>
      <c r="O817" s="69" t="str">
        <f>IF(Main[[#This Row],[Tech Start Date]]&lt;1/1/1990,"",IF(Main[[#This Row],[Class]]="C",WORKDAY(Main[[#This Row],[Tech Start Date]],23),IF(Main[[#This Row],[Class]]="B", WORKDAY(Main[[#This Row],[Tech Start Date]],15),IF(Main[[#This Row],[Class]]="A",WORKDAY(Main[[#This Row],[Tech Start Date]],5),""))))</f>
        <v/>
      </c>
      <c r="P817" s="69" t="str">
        <f>IF(Main[[#This Row],[Tech Start Date]]&lt;1/1/1990,"",IF(Main[[#This Row],[Class]]="C",WORKDAY(Main[[#This Row],[Tech Start Date]],28),IF(Main[[#This Row],[Class]]="B", WORKDAY(Main[[#This Row],[Tech Start Date]],19),IF(Main[[#This Row],[Class]]="A",WORKDAY(Main[[#This Row],[Tech Start Date]],9),""))))</f>
        <v/>
      </c>
      <c r="Q817" s="67">
        <v>40836</v>
      </c>
      <c r="R817" s="67"/>
      <c r="S817" s="65" t="s">
        <v>6</v>
      </c>
      <c r="T817" s="70" t="s">
        <v>4</v>
      </c>
      <c r="U817" s="65" t="s">
        <v>29</v>
      </c>
      <c r="V817" s="65" t="s">
        <v>1920</v>
      </c>
      <c r="W817" s="65" t="s">
        <v>1921</v>
      </c>
      <c r="X817" s="65" t="s">
        <v>2842</v>
      </c>
      <c r="Y817" s="65" t="s">
        <v>2971</v>
      </c>
      <c r="Z817" s="65" t="s">
        <v>30</v>
      </c>
      <c r="AA817" s="65" t="s">
        <v>2842</v>
      </c>
    </row>
    <row r="818" spans="1:27" ht="17.45" customHeight="1">
      <c r="A818" s="131" t="str">
        <f>IF(priority(Main[[#This Row],[Comments]])&lt;&gt;0, priority(Main[[#This Row],[Comments]]),"")</f>
        <v/>
      </c>
      <c r="B818" s="99" t="s">
        <v>2077</v>
      </c>
      <c r="C818" s="65" t="s">
        <v>4</v>
      </c>
      <c r="D818" s="66" t="s">
        <v>2392</v>
      </c>
      <c r="E818" s="67">
        <v>40760.554780092592</v>
      </c>
      <c r="F818" s="67"/>
      <c r="G818" s="64" t="str">
        <f>IF(stdProdLT(Main[[#This Row],[Comments]])=0.1,"N/A",IF(stdProdLT(Main[[#This Row],[Comments]])=0,"",stdProdLT(Main[[#This Row],[Comments]])))</f>
        <v/>
      </c>
      <c r="H818" s="68" t="str">
        <f>IF(AND(Main[[#This Row],[In Stock Date]]&lt;&gt;"",Main[[#This Row],[Revised Due Date]]&lt;&gt;""),Main[[#This Row],[In Stock Date]]-Main[[#This Row],[Revised Due Date]],"")</f>
        <v/>
      </c>
      <c r="I818" s="65" t="s">
        <v>4</v>
      </c>
      <c r="J818" s="65" t="s">
        <v>4</v>
      </c>
      <c r="K818" s="65" t="s">
        <v>4</v>
      </c>
      <c r="L818" s="67"/>
      <c r="M818" s="69" t="str">
        <f>IF(Main[[#This Row],[Tech Start Date]]&lt;1/1/1990,"",IF(Main[[#This Row],[Class]]="C",WORKDAY(Main[[#This Row],[Tech Start Date]],9),IF(Main[[#This Row],[Class]]="B", WORKDAY(Main[[#This Row],[Tech Start Date]],6),IF(Main[[#This Row],[Class]]="A",WORKDAY(Main[[#This Row],[Tech Start Date]],2),""))))</f>
        <v/>
      </c>
      <c r="N818" s="69" t="str">
        <f>IF(Main[[#This Row],[Tech Start Date]]&lt;1/1/1990,"",IF(Main[[#This Row],[Class]]="C",WORKDAY(Main[[#This Row],[Tech Start Date]],19),IF(Main[[#This Row],[Class]]="B", WORKDAY(Main[[#This Row],[Tech Start Date]],12),IF(Main[[#This Row],[Class]]="A",WORKDAY(Main[[#This Row],[Tech Start Date]],4),""))))</f>
        <v/>
      </c>
      <c r="O818" s="69" t="str">
        <f>IF(Main[[#This Row],[Tech Start Date]]&lt;1/1/1990,"",IF(Main[[#This Row],[Class]]="C",WORKDAY(Main[[#This Row],[Tech Start Date]],23),IF(Main[[#This Row],[Class]]="B", WORKDAY(Main[[#This Row],[Tech Start Date]],15),IF(Main[[#This Row],[Class]]="A",WORKDAY(Main[[#This Row],[Tech Start Date]],5),""))))</f>
        <v/>
      </c>
      <c r="P818" s="69" t="str">
        <f>IF(Main[[#This Row],[Tech Start Date]]&lt;1/1/1990,"",IF(Main[[#This Row],[Class]]="C",WORKDAY(Main[[#This Row],[Tech Start Date]],28),IF(Main[[#This Row],[Class]]="B", WORKDAY(Main[[#This Row],[Tech Start Date]],19),IF(Main[[#This Row],[Class]]="A",WORKDAY(Main[[#This Row],[Tech Start Date]],9),""))))</f>
        <v/>
      </c>
      <c r="Q818" s="67"/>
      <c r="R818" s="67"/>
      <c r="S818" s="65" t="s">
        <v>6</v>
      </c>
      <c r="T818" s="70" t="s">
        <v>4</v>
      </c>
      <c r="U818" s="65" t="s">
        <v>7</v>
      </c>
      <c r="V818" s="65" t="s">
        <v>1917</v>
      </c>
      <c r="W818" s="65" t="s">
        <v>1921</v>
      </c>
      <c r="X818" s="65" t="s">
        <v>306</v>
      </c>
      <c r="Y818" s="65" t="s">
        <v>4</v>
      </c>
      <c r="Z818" s="65" t="s">
        <v>4</v>
      </c>
      <c r="AA818" s="65" t="s">
        <v>4</v>
      </c>
    </row>
    <row r="819" spans="1:27" ht="17.45" customHeight="1">
      <c r="A819" s="131" t="str">
        <f>IF(priority(Main[[#This Row],[Comments]])&lt;&gt;0, priority(Main[[#This Row],[Comments]]),"")</f>
        <v/>
      </c>
      <c r="B819" s="99" t="s">
        <v>1625</v>
      </c>
      <c r="C819" s="65" t="s">
        <v>4</v>
      </c>
      <c r="D819" s="66" t="s">
        <v>700</v>
      </c>
      <c r="E819" s="67"/>
      <c r="F819" s="67"/>
      <c r="G819" s="64" t="str">
        <f>IF(stdProdLT(Main[[#This Row],[Comments]])=0.1,"N/A",IF(stdProdLT(Main[[#This Row],[Comments]])=0,"",stdProdLT(Main[[#This Row],[Comments]])))</f>
        <v/>
      </c>
      <c r="H819" s="68" t="str">
        <f>IF(AND(Main[[#This Row],[In Stock Date]]&lt;&gt;"",Main[[#This Row],[Revised Due Date]]&lt;&gt;""),Main[[#This Row],[In Stock Date]]-Main[[#This Row],[Revised Due Date]],"")</f>
        <v/>
      </c>
      <c r="I819" s="65" t="s">
        <v>4</v>
      </c>
      <c r="J819" s="65" t="s">
        <v>4</v>
      </c>
      <c r="K819" s="65" t="s">
        <v>4</v>
      </c>
      <c r="L819" s="67"/>
      <c r="M819" s="69" t="str">
        <f>IF(Main[[#This Row],[Tech Start Date]]&lt;1/1/1990,"",IF(Main[[#This Row],[Class]]="C",WORKDAY(Main[[#This Row],[Tech Start Date]],9),IF(Main[[#This Row],[Class]]="B", WORKDAY(Main[[#This Row],[Tech Start Date]],6),IF(Main[[#This Row],[Class]]="A",WORKDAY(Main[[#This Row],[Tech Start Date]],2),""))))</f>
        <v/>
      </c>
      <c r="N819" s="69" t="str">
        <f>IF(Main[[#This Row],[Tech Start Date]]&lt;1/1/1990,"",IF(Main[[#This Row],[Class]]="C",WORKDAY(Main[[#This Row],[Tech Start Date]],19),IF(Main[[#This Row],[Class]]="B", WORKDAY(Main[[#This Row],[Tech Start Date]],12),IF(Main[[#This Row],[Class]]="A",WORKDAY(Main[[#This Row],[Tech Start Date]],4),""))))</f>
        <v/>
      </c>
      <c r="O819" s="69" t="str">
        <f>IF(Main[[#This Row],[Tech Start Date]]&lt;1/1/1990,"",IF(Main[[#This Row],[Class]]="C",WORKDAY(Main[[#This Row],[Tech Start Date]],23),IF(Main[[#This Row],[Class]]="B", WORKDAY(Main[[#This Row],[Tech Start Date]],15),IF(Main[[#This Row],[Class]]="A",WORKDAY(Main[[#This Row],[Tech Start Date]],5),""))))</f>
        <v/>
      </c>
      <c r="P819" s="69" t="str">
        <f>IF(Main[[#This Row],[Tech Start Date]]&lt;1/1/1990,"",IF(Main[[#This Row],[Class]]="C",WORKDAY(Main[[#This Row],[Tech Start Date]],28),IF(Main[[#This Row],[Class]]="B", WORKDAY(Main[[#This Row],[Tech Start Date]],19),IF(Main[[#This Row],[Class]]="A",WORKDAY(Main[[#This Row],[Tech Start Date]],9),""))))</f>
        <v/>
      </c>
      <c r="Q819" s="67"/>
      <c r="R819" s="67"/>
      <c r="S819" s="65" t="s">
        <v>49</v>
      </c>
      <c r="T819" s="70" t="s">
        <v>4</v>
      </c>
      <c r="U819" s="65" t="s">
        <v>14</v>
      </c>
      <c r="V819" s="65" t="s">
        <v>1917</v>
      </c>
      <c r="W819" s="65" t="s">
        <v>1921</v>
      </c>
      <c r="X819" s="65" t="s">
        <v>306</v>
      </c>
      <c r="Y819" s="65" t="s">
        <v>4</v>
      </c>
      <c r="Z819" s="65" t="s">
        <v>4</v>
      </c>
      <c r="AA819" s="65" t="s">
        <v>4</v>
      </c>
    </row>
    <row r="820" spans="1:27" ht="17.45" customHeight="1">
      <c r="A820" s="131" t="str">
        <f>IF(priority(Main[[#This Row],[Comments]])&lt;&gt;0, priority(Main[[#This Row],[Comments]]),"")</f>
        <v/>
      </c>
      <c r="B820" s="99" t="s">
        <v>1626</v>
      </c>
      <c r="C820" s="65" t="s">
        <v>4</v>
      </c>
      <c r="D820" s="66" t="s">
        <v>701</v>
      </c>
      <c r="E820" s="67"/>
      <c r="F820" s="67"/>
      <c r="G820" s="64" t="str">
        <f>IF(stdProdLT(Main[[#This Row],[Comments]])=0.1,"N/A",IF(stdProdLT(Main[[#This Row],[Comments]])=0,"",stdProdLT(Main[[#This Row],[Comments]])))</f>
        <v/>
      </c>
      <c r="H820" s="68" t="str">
        <f>IF(AND(Main[[#This Row],[In Stock Date]]&lt;&gt;"",Main[[#This Row],[Revised Due Date]]&lt;&gt;""),Main[[#This Row],[In Stock Date]]-Main[[#This Row],[Revised Due Date]],"")</f>
        <v/>
      </c>
      <c r="I820" s="65" t="s">
        <v>4</v>
      </c>
      <c r="J820" s="65" t="s">
        <v>4</v>
      </c>
      <c r="K820" s="65" t="s">
        <v>4</v>
      </c>
      <c r="L820" s="67"/>
      <c r="M820" s="69" t="str">
        <f>IF(Main[[#This Row],[Tech Start Date]]&lt;1/1/1990,"",IF(Main[[#This Row],[Class]]="C",WORKDAY(Main[[#This Row],[Tech Start Date]],9),IF(Main[[#This Row],[Class]]="B", WORKDAY(Main[[#This Row],[Tech Start Date]],6),IF(Main[[#This Row],[Class]]="A",WORKDAY(Main[[#This Row],[Tech Start Date]],2),""))))</f>
        <v/>
      </c>
      <c r="N820" s="69" t="str">
        <f>IF(Main[[#This Row],[Tech Start Date]]&lt;1/1/1990,"",IF(Main[[#This Row],[Class]]="C",WORKDAY(Main[[#This Row],[Tech Start Date]],19),IF(Main[[#This Row],[Class]]="B", WORKDAY(Main[[#This Row],[Tech Start Date]],12),IF(Main[[#This Row],[Class]]="A",WORKDAY(Main[[#This Row],[Tech Start Date]],4),""))))</f>
        <v/>
      </c>
      <c r="O820" s="69" t="str">
        <f>IF(Main[[#This Row],[Tech Start Date]]&lt;1/1/1990,"",IF(Main[[#This Row],[Class]]="C",WORKDAY(Main[[#This Row],[Tech Start Date]],23),IF(Main[[#This Row],[Class]]="B", WORKDAY(Main[[#This Row],[Tech Start Date]],15),IF(Main[[#This Row],[Class]]="A",WORKDAY(Main[[#This Row],[Tech Start Date]],5),""))))</f>
        <v/>
      </c>
      <c r="P820" s="69" t="str">
        <f>IF(Main[[#This Row],[Tech Start Date]]&lt;1/1/1990,"",IF(Main[[#This Row],[Class]]="C",WORKDAY(Main[[#This Row],[Tech Start Date]],28),IF(Main[[#This Row],[Class]]="B", WORKDAY(Main[[#This Row],[Tech Start Date]],19),IF(Main[[#This Row],[Class]]="A",WORKDAY(Main[[#This Row],[Tech Start Date]],9),""))))</f>
        <v/>
      </c>
      <c r="Q820" s="67"/>
      <c r="R820" s="67"/>
      <c r="S820" s="65" t="s">
        <v>11</v>
      </c>
      <c r="T820" s="70" t="s">
        <v>4</v>
      </c>
      <c r="U820" s="65" t="s">
        <v>14</v>
      </c>
      <c r="V820" s="65" t="s">
        <v>1920</v>
      </c>
      <c r="W820" s="65" t="s">
        <v>1925</v>
      </c>
      <c r="X820" s="65" t="s">
        <v>306</v>
      </c>
      <c r="Y820" s="65" t="s">
        <v>4</v>
      </c>
      <c r="Z820" s="65" t="s">
        <v>4</v>
      </c>
      <c r="AA820" s="65" t="s">
        <v>4</v>
      </c>
    </row>
    <row r="821" spans="1:27" ht="17.45" customHeight="1">
      <c r="A821" s="131" t="str">
        <f>IF(priority(Main[[#This Row],[Comments]])&lt;&gt;0, priority(Main[[#This Row],[Comments]]),"")</f>
        <v/>
      </c>
      <c r="B821" s="99" t="s">
        <v>1627</v>
      </c>
      <c r="C821" s="65" t="s">
        <v>211</v>
      </c>
      <c r="D821" s="66" t="s">
        <v>212</v>
      </c>
      <c r="E821" s="67"/>
      <c r="F821" s="67">
        <v>40452</v>
      </c>
      <c r="G821" s="64" t="str">
        <f>IF(stdProdLT(Main[[#This Row],[Comments]])=0.1,"N/A",IF(stdProdLT(Main[[#This Row],[Comments]])=0,"",stdProdLT(Main[[#This Row],[Comments]])))</f>
        <v/>
      </c>
      <c r="H821" s="68" t="str">
        <f>IF(AND(Main[[#This Row],[In Stock Date]]&lt;&gt;"",Main[[#This Row],[Revised Due Date]]&lt;&gt;""),Main[[#This Row],[In Stock Date]]-Main[[#This Row],[Revised Due Date]],"")</f>
        <v/>
      </c>
      <c r="I821" s="65" t="s">
        <v>4</v>
      </c>
      <c r="J821" s="65" t="s">
        <v>4</v>
      </c>
      <c r="K821" s="65" t="s">
        <v>4</v>
      </c>
      <c r="L821" s="67"/>
      <c r="M821" s="69" t="str">
        <f>IF(Main[[#This Row],[Tech Start Date]]&lt;1/1/1990,"",IF(Main[[#This Row],[Class]]="C",WORKDAY(Main[[#This Row],[Tech Start Date]],9),IF(Main[[#This Row],[Class]]="B", WORKDAY(Main[[#This Row],[Tech Start Date]],6),IF(Main[[#This Row],[Class]]="A",WORKDAY(Main[[#This Row],[Tech Start Date]],2),""))))</f>
        <v/>
      </c>
      <c r="N821" s="69" t="str">
        <f>IF(Main[[#This Row],[Tech Start Date]]&lt;1/1/1990,"",IF(Main[[#This Row],[Class]]="C",WORKDAY(Main[[#This Row],[Tech Start Date]],19),IF(Main[[#This Row],[Class]]="B", WORKDAY(Main[[#This Row],[Tech Start Date]],12),IF(Main[[#This Row],[Class]]="A",WORKDAY(Main[[#This Row],[Tech Start Date]],4),""))))</f>
        <v/>
      </c>
      <c r="O821" s="69" t="str">
        <f>IF(Main[[#This Row],[Tech Start Date]]&lt;1/1/1990,"",IF(Main[[#This Row],[Class]]="C",WORKDAY(Main[[#This Row],[Tech Start Date]],23),IF(Main[[#This Row],[Class]]="B", WORKDAY(Main[[#This Row],[Tech Start Date]],15),IF(Main[[#This Row],[Class]]="A",WORKDAY(Main[[#This Row],[Tech Start Date]],5),""))))</f>
        <v/>
      </c>
      <c r="P821" s="69" t="str">
        <f>IF(Main[[#This Row],[Tech Start Date]]&lt;1/1/1990,"",IF(Main[[#This Row],[Class]]="C",WORKDAY(Main[[#This Row],[Tech Start Date]],28),IF(Main[[#This Row],[Class]]="B", WORKDAY(Main[[#This Row],[Tech Start Date]],19),IF(Main[[#This Row],[Class]]="A",WORKDAY(Main[[#This Row],[Tech Start Date]],9),""))))</f>
        <v/>
      </c>
      <c r="Q821" s="67">
        <v>40357</v>
      </c>
      <c r="R821" s="67"/>
      <c r="S821" s="65" t="s">
        <v>11</v>
      </c>
      <c r="T821" s="70" t="s">
        <v>4</v>
      </c>
      <c r="U821" s="65" t="s">
        <v>12</v>
      </c>
      <c r="V821" s="65" t="s">
        <v>1917</v>
      </c>
      <c r="W821" s="65" t="s">
        <v>1925</v>
      </c>
      <c r="X821" s="65" t="s">
        <v>2839</v>
      </c>
      <c r="Y821" s="65" t="s">
        <v>4</v>
      </c>
      <c r="Z821" s="65" t="s">
        <v>4</v>
      </c>
      <c r="AA821" s="65" t="s">
        <v>2839</v>
      </c>
    </row>
    <row r="822" spans="1:27" ht="17.45" customHeight="1">
      <c r="A822" s="131" t="str">
        <f>IF(priority(Main[[#This Row],[Comments]])&lt;&gt;0, priority(Main[[#This Row],[Comments]]),"")</f>
        <v/>
      </c>
      <c r="B822" s="99" t="s">
        <v>2231</v>
      </c>
      <c r="C822" s="65" t="s">
        <v>4</v>
      </c>
      <c r="D822" s="66" t="s">
        <v>2232</v>
      </c>
      <c r="E822" s="67">
        <v>40802.257071759261</v>
      </c>
      <c r="F822" s="67"/>
      <c r="G822" s="64" t="str">
        <f>IF(stdProdLT(Main[[#This Row],[Comments]])=0.1,"N/A",IF(stdProdLT(Main[[#This Row],[Comments]])=0,"",stdProdLT(Main[[#This Row],[Comments]])))</f>
        <v/>
      </c>
      <c r="H822" s="68" t="str">
        <f>IF(AND(Main[[#This Row],[In Stock Date]]&lt;&gt;"",Main[[#This Row],[Revised Due Date]]&lt;&gt;""),Main[[#This Row],[In Stock Date]]-Main[[#This Row],[Revised Due Date]],"")</f>
        <v/>
      </c>
      <c r="I822" s="65" t="s">
        <v>4</v>
      </c>
      <c r="J822" s="65" t="s">
        <v>4</v>
      </c>
      <c r="K822" s="65" t="s">
        <v>4</v>
      </c>
      <c r="L822" s="67"/>
      <c r="M822" s="69" t="str">
        <f>IF(Main[[#This Row],[Tech Start Date]]&lt;1/1/1990,"",IF(Main[[#This Row],[Class]]="C",WORKDAY(Main[[#This Row],[Tech Start Date]],9),IF(Main[[#This Row],[Class]]="B", WORKDAY(Main[[#This Row],[Tech Start Date]],6),IF(Main[[#This Row],[Class]]="A",WORKDAY(Main[[#This Row],[Tech Start Date]],2),""))))</f>
        <v/>
      </c>
      <c r="N822" s="69" t="str">
        <f>IF(Main[[#This Row],[Tech Start Date]]&lt;1/1/1990,"",IF(Main[[#This Row],[Class]]="C",WORKDAY(Main[[#This Row],[Tech Start Date]],19),IF(Main[[#This Row],[Class]]="B", WORKDAY(Main[[#This Row],[Tech Start Date]],12),IF(Main[[#This Row],[Class]]="A",WORKDAY(Main[[#This Row],[Tech Start Date]],4),""))))</f>
        <v/>
      </c>
      <c r="O822" s="69" t="str">
        <f>IF(Main[[#This Row],[Tech Start Date]]&lt;1/1/1990,"",IF(Main[[#This Row],[Class]]="C",WORKDAY(Main[[#This Row],[Tech Start Date]],23),IF(Main[[#This Row],[Class]]="B", WORKDAY(Main[[#This Row],[Tech Start Date]],15),IF(Main[[#This Row],[Class]]="A",WORKDAY(Main[[#This Row],[Tech Start Date]],5),""))))</f>
        <v/>
      </c>
      <c r="P822" s="69" t="str">
        <f>IF(Main[[#This Row],[Tech Start Date]]&lt;1/1/1990,"",IF(Main[[#This Row],[Class]]="C",WORKDAY(Main[[#This Row],[Tech Start Date]],28),IF(Main[[#This Row],[Class]]="B", WORKDAY(Main[[#This Row],[Tech Start Date]],19),IF(Main[[#This Row],[Class]]="A",WORKDAY(Main[[#This Row],[Tech Start Date]],9),""))))</f>
        <v/>
      </c>
      <c r="Q822" s="67">
        <v>40816</v>
      </c>
      <c r="R822" s="67"/>
      <c r="S822" s="65" t="s">
        <v>6</v>
      </c>
      <c r="T822" s="70" t="s">
        <v>4</v>
      </c>
      <c r="U822" s="65" t="s">
        <v>7</v>
      </c>
      <c r="V822" s="65" t="s">
        <v>1917</v>
      </c>
      <c r="W822" s="65" t="s">
        <v>1925</v>
      </c>
      <c r="X822" s="65" t="s">
        <v>2827</v>
      </c>
      <c r="Y822" s="65" t="s">
        <v>2942</v>
      </c>
      <c r="Z822" s="65" t="s">
        <v>4</v>
      </c>
      <c r="AA822" s="65" t="s">
        <v>2827</v>
      </c>
    </row>
    <row r="823" spans="1:27" ht="17.45" customHeight="1">
      <c r="A823" s="131" t="str">
        <f>IF(priority(Main[[#This Row],[Comments]])&lt;&gt;0, priority(Main[[#This Row],[Comments]]),"")</f>
        <v/>
      </c>
      <c r="B823" s="99" t="s">
        <v>1629</v>
      </c>
      <c r="C823" s="65" t="s">
        <v>347</v>
      </c>
      <c r="D823" s="66" t="s">
        <v>703</v>
      </c>
      <c r="E823" s="67"/>
      <c r="F823" s="67">
        <v>40664</v>
      </c>
      <c r="G823" s="64" t="str">
        <f>IF(stdProdLT(Main[[#This Row],[Comments]])=0.1,"N/A",IF(stdProdLT(Main[[#This Row],[Comments]])=0,"",stdProdLT(Main[[#This Row],[Comments]])))</f>
        <v/>
      </c>
      <c r="H823" s="68" t="str">
        <f>IF(AND(Main[[#This Row],[In Stock Date]]&lt;&gt;"",Main[[#This Row],[Revised Due Date]]&lt;&gt;""),Main[[#This Row],[In Stock Date]]-Main[[#This Row],[Revised Due Date]],"")</f>
        <v/>
      </c>
      <c r="I823" s="65" t="s">
        <v>399</v>
      </c>
      <c r="J823" s="65" t="s">
        <v>75</v>
      </c>
      <c r="K823" s="65" t="s">
        <v>1924</v>
      </c>
      <c r="L823" s="67"/>
      <c r="M823" s="69" t="str">
        <f>IF(Main[[#This Row],[Tech Start Date]]&lt;1/1/1990,"",IF(Main[[#This Row],[Class]]="C",WORKDAY(Main[[#This Row],[Tech Start Date]],9),IF(Main[[#This Row],[Class]]="B", WORKDAY(Main[[#This Row],[Tech Start Date]],6),IF(Main[[#This Row],[Class]]="A",WORKDAY(Main[[#This Row],[Tech Start Date]],2),""))))</f>
        <v/>
      </c>
      <c r="N823" s="69" t="str">
        <f>IF(Main[[#This Row],[Tech Start Date]]&lt;1/1/1990,"",IF(Main[[#This Row],[Class]]="C",WORKDAY(Main[[#This Row],[Tech Start Date]],19),IF(Main[[#This Row],[Class]]="B", WORKDAY(Main[[#This Row],[Tech Start Date]],12),IF(Main[[#This Row],[Class]]="A",WORKDAY(Main[[#This Row],[Tech Start Date]],4),""))))</f>
        <v/>
      </c>
      <c r="O823" s="69" t="str">
        <f>IF(Main[[#This Row],[Tech Start Date]]&lt;1/1/1990,"",IF(Main[[#This Row],[Class]]="C",WORKDAY(Main[[#This Row],[Tech Start Date]],23),IF(Main[[#This Row],[Class]]="B", WORKDAY(Main[[#This Row],[Tech Start Date]],15),IF(Main[[#This Row],[Class]]="A",WORKDAY(Main[[#This Row],[Tech Start Date]],5),""))))</f>
        <v/>
      </c>
      <c r="P823" s="69" t="str">
        <f>IF(Main[[#This Row],[Tech Start Date]]&lt;1/1/1990,"",IF(Main[[#This Row],[Class]]="C",WORKDAY(Main[[#This Row],[Tech Start Date]],28),IF(Main[[#This Row],[Class]]="B", WORKDAY(Main[[#This Row],[Tech Start Date]],19),IF(Main[[#This Row],[Class]]="A",WORKDAY(Main[[#This Row],[Tech Start Date]],9),""))))</f>
        <v/>
      </c>
      <c r="Q823" s="67"/>
      <c r="R823" s="67"/>
      <c r="S823" s="65" t="s">
        <v>11</v>
      </c>
      <c r="T823" s="70" t="s">
        <v>4</v>
      </c>
      <c r="U823" s="65" t="s">
        <v>14</v>
      </c>
      <c r="V823" s="65" t="s">
        <v>1920</v>
      </c>
      <c r="W823" s="65" t="s">
        <v>1923</v>
      </c>
      <c r="X823" s="65" t="s">
        <v>50</v>
      </c>
      <c r="Y823" s="65" t="s">
        <v>3099</v>
      </c>
      <c r="Z823" s="65" t="s">
        <v>306</v>
      </c>
      <c r="AA823" s="65" t="s">
        <v>2878</v>
      </c>
    </row>
    <row r="824" spans="1:27" ht="17.45" customHeight="1">
      <c r="A824" s="131" t="str">
        <f>IF(priority(Main[[#This Row],[Comments]])&lt;&gt;0, priority(Main[[#This Row],[Comments]]),"")</f>
        <v/>
      </c>
      <c r="B824" s="99" t="s">
        <v>1630</v>
      </c>
      <c r="C824" s="65" t="s">
        <v>4</v>
      </c>
      <c r="D824" s="66" t="s">
        <v>97</v>
      </c>
      <c r="E824" s="67"/>
      <c r="F824" s="67"/>
      <c r="G824" s="64" t="str">
        <f>IF(stdProdLT(Main[[#This Row],[Comments]])=0.1,"N/A",IF(stdProdLT(Main[[#This Row],[Comments]])=0,"",stdProdLT(Main[[#This Row],[Comments]])))</f>
        <v/>
      </c>
      <c r="H824" s="68" t="str">
        <f>IF(AND(Main[[#This Row],[In Stock Date]]&lt;&gt;"",Main[[#This Row],[Revised Due Date]]&lt;&gt;""),Main[[#This Row],[In Stock Date]]-Main[[#This Row],[Revised Due Date]],"")</f>
        <v/>
      </c>
      <c r="I824" s="65" t="s">
        <v>4</v>
      </c>
      <c r="J824" s="65" t="s">
        <v>4</v>
      </c>
      <c r="K824" s="65" t="s">
        <v>4</v>
      </c>
      <c r="L824" s="67"/>
      <c r="M824" s="69" t="str">
        <f>IF(Main[[#This Row],[Tech Start Date]]&lt;1/1/1990,"",IF(Main[[#This Row],[Class]]="C",WORKDAY(Main[[#This Row],[Tech Start Date]],9),IF(Main[[#This Row],[Class]]="B", WORKDAY(Main[[#This Row],[Tech Start Date]],6),IF(Main[[#This Row],[Class]]="A",WORKDAY(Main[[#This Row],[Tech Start Date]],2),""))))</f>
        <v/>
      </c>
      <c r="N824" s="69" t="str">
        <f>IF(Main[[#This Row],[Tech Start Date]]&lt;1/1/1990,"",IF(Main[[#This Row],[Class]]="C",WORKDAY(Main[[#This Row],[Tech Start Date]],19),IF(Main[[#This Row],[Class]]="B", WORKDAY(Main[[#This Row],[Tech Start Date]],12),IF(Main[[#This Row],[Class]]="A",WORKDAY(Main[[#This Row],[Tech Start Date]],4),""))))</f>
        <v/>
      </c>
      <c r="O824" s="69" t="str">
        <f>IF(Main[[#This Row],[Tech Start Date]]&lt;1/1/1990,"",IF(Main[[#This Row],[Class]]="C",WORKDAY(Main[[#This Row],[Tech Start Date]],23),IF(Main[[#This Row],[Class]]="B", WORKDAY(Main[[#This Row],[Tech Start Date]],15),IF(Main[[#This Row],[Class]]="A",WORKDAY(Main[[#This Row],[Tech Start Date]],5),""))))</f>
        <v/>
      </c>
      <c r="P824" s="69" t="str">
        <f>IF(Main[[#This Row],[Tech Start Date]]&lt;1/1/1990,"",IF(Main[[#This Row],[Class]]="C",WORKDAY(Main[[#This Row],[Tech Start Date]],28),IF(Main[[#This Row],[Class]]="B", WORKDAY(Main[[#This Row],[Tech Start Date]],19),IF(Main[[#This Row],[Class]]="A",WORKDAY(Main[[#This Row],[Tech Start Date]],9),""))))</f>
        <v/>
      </c>
      <c r="Q824" s="67">
        <v>40858</v>
      </c>
      <c r="R824" s="67"/>
      <c r="S824" s="65" t="s">
        <v>17</v>
      </c>
      <c r="T824" s="70" t="s">
        <v>4</v>
      </c>
      <c r="U824" s="65" t="s">
        <v>14</v>
      </c>
      <c r="V824" s="65" t="s">
        <v>1917</v>
      </c>
      <c r="W824" s="65" t="s">
        <v>1922</v>
      </c>
      <c r="X824" s="65" t="s">
        <v>50</v>
      </c>
      <c r="Y824" s="65" t="s">
        <v>2965</v>
      </c>
      <c r="Z824" s="65" t="s">
        <v>4</v>
      </c>
      <c r="AA824" s="65" t="s">
        <v>2834</v>
      </c>
    </row>
    <row r="825" spans="1:27" ht="17.45" customHeight="1">
      <c r="A825" s="131" t="str">
        <f>IF(priority(Main[[#This Row],[Comments]])&lt;&gt;0, priority(Main[[#This Row],[Comments]]),"")</f>
        <v/>
      </c>
      <c r="B825" s="99" t="s">
        <v>1631</v>
      </c>
      <c r="C825" s="65" t="s">
        <v>4</v>
      </c>
      <c r="D825" s="66" t="s">
        <v>97</v>
      </c>
      <c r="E825" s="67"/>
      <c r="F825" s="67"/>
      <c r="G825" s="64" t="str">
        <f>IF(stdProdLT(Main[[#This Row],[Comments]])=0.1,"N/A",IF(stdProdLT(Main[[#This Row],[Comments]])=0,"",stdProdLT(Main[[#This Row],[Comments]])))</f>
        <v/>
      </c>
      <c r="H825" s="68" t="str">
        <f>IF(AND(Main[[#This Row],[In Stock Date]]&lt;&gt;"",Main[[#This Row],[Revised Due Date]]&lt;&gt;""),Main[[#This Row],[In Stock Date]]-Main[[#This Row],[Revised Due Date]],"")</f>
        <v/>
      </c>
      <c r="I825" s="65" t="s">
        <v>4</v>
      </c>
      <c r="J825" s="65" t="s">
        <v>4</v>
      </c>
      <c r="K825" s="65" t="s">
        <v>4</v>
      </c>
      <c r="L825" s="67"/>
      <c r="M825" s="69" t="str">
        <f>IF(Main[[#This Row],[Tech Start Date]]&lt;1/1/1990,"",IF(Main[[#This Row],[Class]]="C",WORKDAY(Main[[#This Row],[Tech Start Date]],9),IF(Main[[#This Row],[Class]]="B", WORKDAY(Main[[#This Row],[Tech Start Date]],6),IF(Main[[#This Row],[Class]]="A",WORKDAY(Main[[#This Row],[Tech Start Date]],2),""))))</f>
        <v/>
      </c>
      <c r="N825" s="69" t="str">
        <f>IF(Main[[#This Row],[Tech Start Date]]&lt;1/1/1990,"",IF(Main[[#This Row],[Class]]="C",WORKDAY(Main[[#This Row],[Tech Start Date]],19),IF(Main[[#This Row],[Class]]="B", WORKDAY(Main[[#This Row],[Tech Start Date]],12),IF(Main[[#This Row],[Class]]="A",WORKDAY(Main[[#This Row],[Tech Start Date]],4),""))))</f>
        <v/>
      </c>
      <c r="O825" s="69" t="str">
        <f>IF(Main[[#This Row],[Tech Start Date]]&lt;1/1/1990,"",IF(Main[[#This Row],[Class]]="C",WORKDAY(Main[[#This Row],[Tech Start Date]],23),IF(Main[[#This Row],[Class]]="B", WORKDAY(Main[[#This Row],[Tech Start Date]],15),IF(Main[[#This Row],[Class]]="A",WORKDAY(Main[[#This Row],[Tech Start Date]],5),""))))</f>
        <v/>
      </c>
      <c r="P825" s="69" t="str">
        <f>IF(Main[[#This Row],[Tech Start Date]]&lt;1/1/1990,"",IF(Main[[#This Row],[Class]]="C",WORKDAY(Main[[#This Row],[Tech Start Date]],28),IF(Main[[#This Row],[Class]]="B", WORKDAY(Main[[#This Row],[Tech Start Date]],19),IF(Main[[#This Row],[Class]]="A",WORKDAY(Main[[#This Row],[Tech Start Date]],9),""))))</f>
        <v/>
      </c>
      <c r="Q825" s="67">
        <v>40858</v>
      </c>
      <c r="R825" s="67"/>
      <c r="S825" s="65" t="s">
        <v>17</v>
      </c>
      <c r="T825" s="70" t="s">
        <v>4</v>
      </c>
      <c r="U825" s="65" t="s">
        <v>12</v>
      </c>
      <c r="V825" s="65" t="s">
        <v>1917</v>
      </c>
      <c r="W825" s="65" t="s">
        <v>1922</v>
      </c>
      <c r="X825" s="65" t="s">
        <v>50</v>
      </c>
      <c r="Y825" s="65" t="s">
        <v>2965</v>
      </c>
      <c r="Z825" s="65" t="s">
        <v>4</v>
      </c>
      <c r="AA825" s="65" t="s">
        <v>2834</v>
      </c>
    </row>
    <row r="826" spans="1:27" ht="17.45" customHeight="1">
      <c r="A826" s="131" t="str">
        <f>IF(priority(Main[[#This Row],[Comments]])&lt;&gt;0, priority(Main[[#This Row],[Comments]]),"")</f>
        <v/>
      </c>
      <c r="B826" s="99" t="s">
        <v>1632</v>
      </c>
      <c r="C826" s="65" t="s">
        <v>4</v>
      </c>
      <c r="D826" s="66" t="s">
        <v>704</v>
      </c>
      <c r="E826" s="67">
        <v>40455.919641203705</v>
      </c>
      <c r="F826" s="67"/>
      <c r="G826" s="64" t="str">
        <f>IF(stdProdLT(Main[[#This Row],[Comments]])=0.1,"N/A",IF(stdProdLT(Main[[#This Row],[Comments]])=0,"",stdProdLT(Main[[#This Row],[Comments]])))</f>
        <v/>
      </c>
      <c r="H826" s="68" t="str">
        <f>IF(AND(Main[[#This Row],[In Stock Date]]&lt;&gt;"",Main[[#This Row],[Revised Due Date]]&lt;&gt;""),Main[[#This Row],[In Stock Date]]-Main[[#This Row],[Revised Due Date]],"")</f>
        <v/>
      </c>
      <c r="I826" s="65" t="s">
        <v>4</v>
      </c>
      <c r="J826" s="65" t="s">
        <v>28</v>
      </c>
      <c r="K826" s="71" t="s">
        <v>1929</v>
      </c>
      <c r="L826" s="67"/>
      <c r="M826" s="69" t="str">
        <f>IF(Main[[#This Row],[Tech Start Date]]&lt;1/1/1990,"",IF(Main[[#This Row],[Class]]="C",WORKDAY(Main[[#This Row],[Tech Start Date]],9),IF(Main[[#This Row],[Class]]="B", WORKDAY(Main[[#This Row],[Tech Start Date]],6),IF(Main[[#This Row],[Class]]="A",WORKDAY(Main[[#This Row],[Tech Start Date]],2),""))))</f>
        <v/>
      </c>
      <c r="N826" s="69" t="str">
        <f>IF(Main[[#This Row],[Tech Start Date]]&lt;1/1/1990,"",IF(Main[[#This Row],[Class]]="C",WORKDAY(Main[[#This Row],[Tech Start Date]],19),IF(Main[[#This Row],[Class]]="B", WORKDAY(Main[[#This Row],[Tech Start Date]],12),IF(Main[[#This Row],[Class]]="A",WORKDAY(Main[[#This Row],[Tech Start Date]],4),""))))</f>
        <v/>
      </c>
      <c r="O826" s="69" t="str">
        <f>IF(Main[[#This Row],[Tech Start Date]]&lt;1/1/1990,"",IF(Main[[#This Row],[Class]]="C",WORKDAY(Main[[#This Row],[Tech Start Date]],23),IF(Main[[#This Row],[Class]]="B", WORKDAY(Main[[#This Row],[Tech Start Date]],15),IF(Main[[#This Row],[Class]]="A",WORKDAY(Main[[#This Row],[Tech Start Date]],5),""))))</f>
        <v/>
      </c>
      <c r="P826" s="69" t="str">
        <f>IF(Main[[#This Row],[Tech Start Date]]&lt;1/1/1990,"",IF(Main[[#This Row],[Class]]="C",WORKDAY(Main[[#This Row],[Tech Start Date]],28),IF(Main[[#This Row],[Class]]="B", WORKDAY(Main[[#This Row],[Tech Start Date]],19),IF(Main[[#This Row],[Class]]="A",WORKDAY(Main[[#This Row],[Tech Start Date]],9),""))))</f>
        <v/>
      </c>
      <c r="Q826" s="67">
        <v>40543</v>
      </c>
      <c r="R826" s="67"/>
      <c r="S826" s="65" t="s">
        <v>17</v>
      </c>
      <c r="T826" s="70" t="s">
        <v>4</v>
      </c>
      <c r="U826" s="65" t="s">
        <v>7</v>
      </c>
      <c r="V826" s="65" t="s">
        <v>1917</v>
      </c>
      <c r="W826" s="65" t="s">
        <v>1921</v>
      </c>
      <c r="X826" s="65" t="s">
        <v>129</v>
      </c>
      <c r="Y826" s="65" t="s">
        <v>2939</v>
      </c>
      <c r="Z826" s="65" t="s">
        <v>129</v>
      </c>
      <c r="AA826" s="65" t="s">
        <v>129</v>
      </c>
    </row>
    <row r="827" spans="1:27" ht="17.45" customHeight="1">
      <c r="A827" s="131" t="str">
        <f>IF(priority(Main[[#This Row],[Comments]])&lt;&gt;0, priority(Main[[#This Row],[Comments]]),"")</f>
        <v/>
      </c>
      <c r="B827" s="99" t="s">
        <v>1633</v>
      </c>
      <c r="C827" s="65" t="s">
        <v>4</v>
      </c>
      <c r="D827" s="66" t="s">
        <v>705</v>
      </c>
      <c r="E827" s="67">
        <v>40711.477789351855</v>
      </c>
      <c r="F827" s="67"/>
      <c r="G827" s="64" t="str">
        <f>IF(stdProdLT(Main[[#This Row],[Comments]])=0.1,"N/A",IF(stdProdLT(Main[[#This Row],[Comments]])=0,"",stdProdLT(Main[[#This Row],[Comments]])))</f>
        <v/>
      </c>
      <c r="H827" s="68" t="str">
        <f>IF(AND(Main[[#This Row],[In Stock Date]]&lt;&gt;"",Main[[#This Row],[Revised Due Date]]&lt;&gt;""),Main[[#This Row],[In Stock Date]]-Main[[#This Row],[Revised Due Date]],"")</f>
        <v/>
      </c>
      <c r="I827" s="65" t="s">
        <v>4</v>
      </c>
      <c r="J827" s="65" t="s">
        <v>4</v>
      </c>
      <c r="K827" s="71" t="s">
        <v>4</v>
      </c>
      <c r="L827" s="67"/>
      <c r="M827" s="69" t="str">
        <f>IF(Main[[#This Row],[Tech Start Date]]&lt;1/1/1990,"",IF(Main[[#This Row],[Class]]="C",WORKDAY(Main[[#This Row],[Tech Start Date]],9),IF(Main[[#This Row],[Class]]="B", WORKDAY(Main[[#This Row],[Tech Start Date]],6),IF(Main[[#This Row],[Class]]="A",WORKDAY(Main[[#This Row],[Tech Start Date]],2),""))))</f>
        <v/>
      </c>
      <c r="N827" s="69" t="str">
        <f>IF(Main[[#This Row],[Tech Start Date]]&lt;1/1/1990,"",IF(Main[[#This Row],[Class]]="C",WORKDAY(Main[[#This Row],[Tech Start Date]],19),IF(Main[[#This Row],[Class]]="B", WORKDAY(Main[[#This Row],[Tech Start Date]],12),IF(Main[[#This Row],[Class]]="A",WORKDAY(Main[[#This Row],[Tech Start Date]],4),""))))</f>
        <v/>
      </c>
      <c r="O827" s="69" t="str">
        <f>IF(Main[[#This Row],[Tech Start Date]]&lt;1/1/1990,"",IF(Main[[#This Row],[Class]]="C",WORKDAY(Main[[#This Row],[Tech Start Date]],23),IF(Main[[#This Row],[Class]]="B", WORKDAY(Main[[#This Row],[Tech Start Date]],15),IF(Main[[#This Row],[Class]]="A",WORKDAY(Main[[#This Row],[Tech Start Date]],5),""))))</f>
        <v/>
      </c>
      <c r="P827" s="69" t="str">
        <f>IF(Main[[#This Row],[Tech Start Date]]&lt;1/1/1990,"",IF(Main[[#This Row],[Class]]="C",WORKDAY(Main[[#This Row],[Tech Start Date]],28),IF(Main[[#This Row],[Class]]="B", WORKDAY(Main[[#This Row],[Tech Start Date]],19),IF(Main[[#This Row],[Class]]="A",WORKDAY(Main[[#This Row],[Tech Start Date]],9),""))))</f>
        <v/>
      </c>
      <c r="Q827" s="67">
        <v>40753</v>
      </c>
      <c r="R827" s="67"/>
      <c r="S827" s="65" t="s">
        <v>6</v>
      </c>
      <c r="T827" s="70" t="s">
        <v>4</v>
      </c>
      <c r="U827" s="65" t="s">
        <v>7</v>
      </c>
      <c r="V827" s="65" t="s">
        <v>1917</v>
      </c>
      <c r="W827" s="65" t="s">
        <v>1925</v>
      </c>
      <c r="X827" s="65" t="s">
        <v>2827</v>
      </c>
      <c r="Y827" s="65" t="s">
        <v>2942</v>
      </c>
      <c r="Z827" s="65" t="s">
        <v>4</v>
      </c>
      <c r="AA827" s="65" t="s">
        <v>2827</v>
      </c>
    </row>
    <row r="828" spans="1:27" ht="17.45" customHeight="1">
      <c r="A828" s="131" t="str">
        <f>IF(priority(Main[[#This Row],[Comments]])&lt;&gt;0, priority(Main[[#This Row],[Comments]]),"")</f>
        <v/>
      </c>
      <c r="B828" s="99" t="s">
        <v>1635</v>
      </c>
      <c r="C828" s="65" t="s">
        <v>47</v>
      </c>
      <c r="D828" s="66" t="s">
        <v>707</v>
      </c>
      <c r="E828" s="67"/>
      <c r="F828" s="67"/>
      <c r="G828" s="64" t="str">
        <f>IF(stdProdLT(Main[[#This Row],[Comments]])=0.1,"N/A",IF(stdProdLT(Main[[#This Row],[Comments]])=0,"",stdProdLT(Main[[#This Row],[Comments]])))</f>
        <v/>
      </c>
      <c r="H828" s="68" t="str">
        <f>IF(AND(Main[[#This Row],[In Stock Date]]&lt;&gt;"",Main[[#This Row],[Revised Due Date]]&lt;&gt;""),Main[[#This Row],[In Stock Date]]-Main[[#This Row],[Revised Due Date]],"")</f>
        <v/>
      </c>
      <c r="I828" s="65" t="s">
        <v>4</v>
      </c>
      <c r="J828" s="65" t="s">
        <v>4</v>
      </c>
      <c r="K828" s="65" t="s">
        <v>4</v>
      </c>
      <c r="L828" s="67"/>
      <c r="M828" s="69" t="str">
        <f>IF(Main[[#This Row],[Tech Start Date]]&lt;1/1/1990,"",IF(Main[[#This Row],[Class]]="C",WORKDAY(Main[[#This Row],[Tech Start Date]],9),IF(Main[[#This Row],[Class]]="B", WORKDAY(Main[[#This Row],[Tech Start Date]],6),IF(Main[[#This Row],[Class]]="A",WORKDAY(Main[[#This Row],[Tech Start Date]],2),""))))</f>
        <v/>
      </c>
      <c r="N828" s="69" t="str">
        <f>IF(Main[[#This Row],[Tech Start Date]]&lt;1/1/1990,"",IF(Main[[#This Row],[Class]]="C",WORKDAY(Main[[#This Row],[Tech Start Date]],19),IF(Main[[#This Row],[Class]]="B", WORKDAY(Main[[#This Row],[Tech Start Date]],12),IF(Main[[#This Row],[Class]]="A",WORKDAY(Main[[#This Row],[Tech Start Date]],4),""))))</f>
        <v/>
      </c>
      <c r="O828" s="69" t="str">
        <f>IF(Main[[#This Row],[Tech Start Date]]&lt;1/1/1990,"",IF(Main[[#This Row],[Class]]="C",WORKDAY(Main[[#This Row],[Tech Start Date]],23),IF(Main[[#This Row],[Class]]="B", WORKDAY(Main[[#This Row],[Tech Start Date]],15),IF(Main[[#This Row],[Class]]="A",WORKDAY(Main[[#This Row],[Tech Start Date]],5),""))))</f>
        <v/>
      </c>
      <c r="P828" s="69" t="str">
        <f>IF(Main[[#This Row],[Tech Start Date]]&lt;1/1/1990,"",IF(Main[[#This Row],[Class]]="C",WORKDAY(Main[[#This Row],[Tech Start Date]],28),IF(Main[[#This Row],[Class]]="B", WORKDAY(Main[[#This Row],[Tech Start Date]],19),IF(Main[[#This Row],[Class]]="A",WORKDAY(Main[[#This Row],[Tech Start Date]],9),""))))</f>
        <v/>
      </c>
      <c r="Q828" s="67"/>
      <c r="R828" s="67"/>
      <c r="S828" s="65" t="s">
        <v>49</v>
      </c>
      <c r="T828" s="70" t="s">
        <v>4</v>
      </c>
      <c r="U828" s="65" t="s">
        <v>14</v>
      </c>
      <c r="V828" s="65" t="s">
        <v>1920</v>
      </c>
      <c r="W828" s="65" t="s">
        <v>1921</v>
      </c>
      <c r="X828" s="65" t="s">
        <v>306</v>
      </c>
      <c r="Y828" s="65" t="s">
        <v>2947</v>
      </c>
      <c r="Z828" s="65" t="s">
        <v>4</v>
      </c>
      <c r="AA828" s="65" t="s">
        <v>3388</v>
      </c>
    </row>
    <row r="829" spans="1:27" ht="17.45" customHeight="1">
      <c r="A829" s="131" t="str">
        <f>IF(priority(Main[[#This Row],[Comments]])&lt;&gt;0, priority(Main[[#This Row],[Comments]]),"")</f>
        <v/>
      </c>
      <c r="B829" s="99" t="s">
        <v>1459</v>
      </c>
      <c r="C829" s="65" t="s">
        <v>4</v>
      </c>
      <c r="D829" s="66" t="s">
        <v>524</v>
      </c>
      <c r="E829" s="67">
        <v>40926.590763888889</v>
      </c>
      <c r="F829" s="67"/>
      <c r="G829" s="64" t="str">
        <f>IF(stdProdLT(Main[[#This Row],[Comments]])=0.1,"N/A",IF(stdProdLT(Main[[#This Row],[Comments]])=0,"",stdProdLT(Main[[#This Row],[Comments]])))</f>
        <v/>
      </c>
      <c r="H829" s="68" t="str">
        <f>IF(AND(Main[[#This Row],[In Stock Date]]&lt;&gt;"",Main[[#This Row],[Revised Due Date]]&lt;&gt;""),Main[[#This Row],[In Stock Date]]-Main[[#This Row],[Revised Due Date]],"")</f>
        <v/>
      </c>
      <c r="I829" s="65" t="s">
        <v>530</v>
      </c>
      <c r="J829" s="65" t="s">
        <v>28</v>
      </c>
      <c r="K829" s="65" t="s">
        <v>1926</v>
      </c>
      <c r="L829" s="67"/>
      <c r="M829" s="69" t="str">
        <f>IF(Main[[#This Row],[Tech Start Date]]&lt;1/1/1990,"",IF(Main[[#This Row],[Class]]="C",WORKDAY(Main[[#This Row],[Tech Start Date]],9),IF(Main[[#This Row],[Class]]="B", WORKDAY(Main[[#This Row],[Tech Start Date]],6),IF(Main[[#This Row],[Class]]="A",WORKDAY(Main[[#This Row],[Tech Start Date]],2),""))))</f>
        <v/>
      </c>
      <c r="N829" s="69" t="str">
        <f>IF(Main[[#This Row],[Tech Start Date]]&lt;1/1/1990,"",IF(Main[[#This Row],[Class]]="C",WORKDAY(Main[[#This Row],[Tech Start Date]],19),IF(Main[[#This Row],[Class]]="B", WORKDAY(Main[[#This Row],[Tech Start Date]],12),IF(Main[[#This Row],[Class]]="A",WORKDAY(Main[[#This Row],[Tech Start Date]],4),""))))</f>
        <v/>
      </c>
      <c r="O829" s="69" t="str">
        <f>IF(Main[[#This Row],[Tech Start Date]]&lt;1/1/1990,"",IF(Main[[#This Row],[Class]]="C",WORKDAY(Main[[#This Row],[Tech Start Date]],23),IF(Main[[#This Row],[Class]]="B", WORKDAY(Main[[#This Row],[Tech Start Date]],15),IF(Main[[#This Row],[Class]]="A",WORKDAY(Main[[#This Row],[Tech Start Date]],5),""))))</f>
        <v/>
      </c>
      <c r="P829" s="69" t="str">
        <f>IF(Main[[#This Row],[Tech Start Date]]&lt;1/1/1990,"",IF(Main[[#This Row],[Class]]="C",WORKDAY(Main[[#This Row],[Tech Start Date]],28),IF(Main[[#This Row],[Class]]="B", WORKDAY(Main[[#This Row],[Tech Start Date]],19),IF(Main[[#This Row],[Class]]="A",WORKDAY(Main[[#This Row],[Tech Start Date]],9),""))))</f>
        <v/>
      </c>
      <c r="Q829" s="67"/>
      <c r="R829" s="67"/>
      <c r="S829" s="65" t="s">
        <v>6</v>
      </c>
      <c r="T829" s="70" t="s">
        <v>4</v>
      </c>
      <c r="U829" s="65" t="s">
        <v>29</v>
      </c>
      <c r="V829" s="65" t="s">
        <v>1920</v>
      </c>
      <c r="W829" s="65" t="s">
        <v>1921</v>
      </c>
      <c r="X829" s="65" t="s">
        <v>2825</v>
      </c>
      <c r="Y829" s="65" t="s">
        <v>2938</v>
      </c>
      <c r="Z829" s="65" t="s">
        <v>30</v>
      </c>
      <c r="AA829" s="65" t="s">
        <v>2825</v>
      </c>
    </row>
    <row r="830" spans="1:27" ht="17.45" customHeight="1">
      <c r="A830" s="131" t="str">
        <f>IF(priority(Main[[#This Row],[Comments]])&lt;&gt;0, priority(Main[[#This Row],[Comments]]),"")</f>
        <v/>
      </c>
      <c r="B830" s="99" t="s">
        <v>2050</v>
      </c>
      <c r="C830" s="65" t="s">
        <v>4</v>
      </c>
      <c r="D830" s="66" t="s">
        <v>2051</v>
      </c>
      <c r="E830" s="67">
        <v>40753.114606481482</v>
      </c>
      <c r="F830" s="67"/>
      <c r="G830" s="64" t="str">
        <f>IF(stdProdLT(Main[[#This Row],[Comments]])=0.1,"N/A",IF(stdProdLT(Main[[#This Row],[Comments]])=0,"",stdProdLT(Main[[#This Row],[Comments]])))</f>
        <v/>
      </c>
      <c r="H830" s="68" t="str">
        <f>IF(AND(Main[[#This Row],[In Stock Date]]&lt;&gt;"",Main[[#This Row],[Revised Due Date]]&lt;&gt;""),Main[[#This Row],[In Stock Date]]-Main[[#This Row],[Revised Due Date]],"")</f>
        <v/>
      </c>
      <c r="I830" s="65" t="s">
        <v>4</v>
      </c>
      <c r="J830" s="65" t="s">
        <v>4</v>
      </c>
      <c r="K830" s="65" t="s">
        <v>4</v>
      </c>
      <c r="L830" s="67"/>
      <c r="M830" s="69" t="str">
        <f>IF(Main[[#This Row],[Tech Start Date]]&lt;1/1/1990,"",IF(Main[[#This Row],[Class]]="C",WORKDAY(Main[[#This Row],[Tech Start Date]],9),IF(Main[[#This Row],[Class]]="B", WORKDAY(Main[[#This Row],[Tech Start Date]],6),IF(Main[[#This Row],[Class]]="A",WORKDAY(Main[[#This Row],[Tech Start Date]],2),""))))</f>
        <v/>
      </c>
      <c r="N830" s="69" t="str">
        <f>IF(Main[[#This Row],[Tech Start Date]]&lt;1/1/1990,"",IF(Main[[#This Row],[Class]]="C",WORKDAY(Main[[#This Row],[Tech Start Date]],19),IF(Main[[#This Row],[Class]]="B", WORKDAY(Main[[#This Row],[Tech Start Date]],12),IF(Main[[#This Row],[Class]]="A",WORKDAY(Main[[#This Row],[Tech Start Date]],4),""))))</f>
        <v/>
      </c>
      <c r="O830" s="69" t="str">
        <f>IF(Main[[#This Row],[Tech Start Date]]&lt;1/1/1990,"",IF(Main[[#This Row],[Class]]="C",WORKDAY(Main[[#This Row],[Tech Start Date]],23),IF(Main[[#This Row],[Class]]="B", WORKDAY(Main[[#This Row],[Tech Start Date]],15),IF(Main[[#This Row],[Class]]="A",WORKDAY(Main[[#This Row],[Tech Start Date]],5),""))))</f>
        <v/>
      </c>
      <c r="P830" s="69" t="str">
        <f>IF(Main[[#This Row],[Tech Start Date]]&lt;1/1/1990,"",IF(Main[[#This Row],[Class]]="C",WORKDAY(Main[[#This Row],[Tech Start Date]],28),IF(Main[[#This Row],[Class]]="B", WORKDAY(Main[[#This Row],[Tech Start Date]],19),IF(Main[[#This Row],[Class]]="A",WORKDAY(Main[[#This Row],[Tech Start Date]],9),""))))</f>
        <v/>
      </c>
      <c r="Q830" s="67">
        <v>40786</v>
      </c>
      <c r="R830" s="67"/>
      <c r="S830" s="65" t="s">
        <v>6</v>
      </c>
      <c r="T830" s="70" t="s">
        <v>4</v>
      </c>
      <c r="U830" s="65" t="s">
        <v>7</v>
      </c>
      <c r="V830" s="65" t="s">
        <v>1917</v>
      </c>
      <c r="W830" s="65" t="s">
        <v>4</v>
      </c>
      <c r="X830" s="65" t="s">
        <v>2828</v>
      </c>
      <c r="Y830" s="65" t="s">
        <v>2944</v>
      </c>
      <c r="Z830" s="65" t="s">
        <v>4</v>
      </c>
      <c r="AA830" s="65" t="s">
        <v>2828</v>
      </c>
    </row>
    <row r="831" spans="1:27" ht="17.45" customHeight="1">
      <c r="A831" s="131" t="str">
        <f>IF(priority(Main[[#This Row],[Comments]])&lt;&gt;0, priority(Main[[#This Row],[Comments]]),"")</f>
        <v/>
      </c>
      <c r="B831" s="99" t="s">
        <v>1643</v>
      </c>
      <c r="C831" s="65" t="s">
        <v>4</v>
      </c>
      <c r="D831" s="66" t="s">
        <v>39</v>
      </c>
      <c r="E831" s="67"/>
      <c r="F831" s="67"/>
      <c r="G831" s="64" t="str">
        <f>IF(stdProdLT(Main[[#This Row],[Comments]])=0.1,"N/A",IF(stdProdLT(Main[[#This Row],[Comments]])=0,"",stdProdLT(Main[[#This Row],[Comments]])))</f>
        <v/>
      </c>
      <c r="H831" s="68" t="str">
        <f>IF(AND(Main[[#This Row],[In Stock Date]]&lt;&gt;"",Main[[#This Row],[Revised Due Date]]&lt;&gt;""),Main[[#This Row],[In Stock Date]]-Main[[#This Row],[Revised Due Date]],"")</f>
        <v/>
      </c>
      <c r="I831" s="65" t="s">
        <v>4</v>
      </c>
      <c r="J831" s="65" t="s">
        <v>4</v>
      </c>
      <c r="K831" s="65" t="s">
        <v>4</v>
      </c>
      <c r="L831" s="67"/>
      <c r="M831" s="69" t="str">
        <f>IF(Main[[#This Row],[Tech Start Date]]&lt;1/1/1990,"",IF(Main[[#This Row],[Class]]="C",WORKDAY(Main[[#This Row],[Tech Start Date]],9),IF(Main[[#This Row],[Class]]="B", WORKDAY(Main[[#This Row],[Tech Start Date]],6),IF(Main[[#This Row],[Class]]="A",WORKDAY(Main[[#This Row],[Tech Start Date]],2),""))))</f>
        <v/>
      </c>
      <c r="N831" s="69" t="str">
        <f>IF(Main[[#This Row],[Tech Start Date]]&lt;1/1/1990,"",IF(Main[[#This Row],[Class]]="C",WORKDAY(Main[[#This Row],[Tech Start Date]],19),IF(Main[[#This Row],[Class]]="B", WORKDAY(Main[[#This Row],[Tech Start Date]],12),IF(Main[[#This Row],[Class]]="A",WORKDAY(Main[[#This Row],[Tech Start Date]],4),""))))</f>
        <v/>
      </c>
      <c r="O831" s="69" t="str">
        <f>IF(Main[[#This Row],[Tech Start Date]]&lt;1/1/1990,"",IF(Main[[#This Row],[Class]]="C",WORKDAY(Main[[#This Row],[Tech Start Date]],23),IF(Main[[#This Row],[Class]]="B", WORKDAY(Main[[#This Row],[Tech Start Date]],15),IF(Main[[#This Row],[Class]]="A",WORKDAY(Main[[#This Row],[Tech Start Date]],5),""))))</f>
        <v/>
      </c>
      <c r="P831" s="69" t="str">
        <f>IF(Main[[#This Row],[Tech Start Date]]&lt;1/1/1990,"",IF(Main[[#This Row],[Class]]="C",WORKDAY(Main[[#This Row],[Tech Start Date]],28),IF(Main[[#This Row],[Class]]="B", WORKDAY(Main[[#This Row],[Tech Start Date]],19),IF(Main[[#This Row],[Class]]="A",WORKDAY(Main[[#This Row],[Tech Start Date]],9),""))))</f>
        <v/>
      </c>
      <c r="Q831" s="67">
        <v>40669</v>
      </c>
      <c r="R831" s="67"/>
      <c r="S831" s="65" t="s">
        <v>6</v>
      </c>
      <c r="T831" s="70" t="s">
        <v>4</v>
      </c>
      <c r="U831" s="65" t="s">
        <v>14</v>
      </c>
      <c r="V831" s="65" t="s">
        <v>1920</v>
      </c>
      <c r="W831" s="65" t="s">
        <v>4</v>
      </c>
      <c r="X831" s="65" t="s">
        <v>2824</v>
      </c>
      <c r="Y831" s="65" t="s">
        <v>2935</v>
      </c>
      <c r="Z831" s="65" t="s">
        <v>4</v>
      </c>
      <c r="AA831" s="65" t="s">
        <v>2824</v>
      </c>
    </row>
    <row r="832" spans="1:27" ht="17.45" customHeight="1">
      <c r="A832" s="131" t="str">
        <f>IF(priority(Main[[#This Row],[Comments]])&lt;&gt;0, priority(Main[[#This Row],[Comments]]),"")</f>
        <v/>
      </c>
      <c r="B832" s="99" t="s">
        <v>1641</v>
      </c>
      <c r="C832" s="65" t="s">
        <v>67</v>
      </c>
      <c r="D832" s="66" t="s">
        <v>711</v>
      </c>
      <c r="E832" s="67"/>
      <c r="F832" s="67">
        <v>40751</v>
      </c>
      <c r="G832" s="64" t="str">
        <f>IF(stdProdLT(Main[[#This Row],[Comments]])=0.1,"N/A",IF(stdProdLT(Main[[#This Row],[Comments]])=0,"",stdProdLT(Main[[#This Row],[Comments]])))</f>
        <v/>
      </c>
      <c r="H832" s="68" t="str">
        <f>IF(AND(Main[[#This Row],[In Stock Date]]&lt;&gt;"",Main[[#This Row],[Revised Due Date]]&lt;&gt;""),Main[[#This Row],[In Stock Date]]-Main[[#This Row],[Revised Due Date]],"")</f>
        <v/>
      </c>
      <c r="I832" s="65" t="s">
        <v>4</v>
      </c>
      <c r="J832" s="65" t="s">
        <v>28</v>
      </c>
      <c r="K832" s="65" t="s">
        <v>1929</v>
      </c>
      <c r="L832" s="67"/>
      <c r="M832" s="69" t="str">
        <f>IF(Main[[#This Row],[Tech Start Date]]&lt;1/1/1990,"",IF(Main[[#This Row],[Class]]="C",WORKDAY(Main[[#This Row],[Tech Start Date]],9),IF(Main[[#This Row],[Class]]="B", WORKDAY(Main[[#This Row],[Tech Start Date]],6),IF(Main[[#This Row],[Class]]="A",WORKDAY(Main[[#This Row],[Tech Start Date]],2),""))))</f>
        <v/>
      </c>
      <c r="N832" s="69" t="str">
        <f>IF(Main[[#This Row],[Tech Start Date]]&lt;1/1/1990,"",IF(Main[[#This Row],[Class]]="C",WORKDAY(Main[[#This Row],[Tech Start Date]],19),IF(Main[[#This Row],[Class]]="B", WORKDAY(Main[[#This Row],[Tech Start Date]],12),IF(Main[[#This Row],[Class]]="A",WORKDAY(Main[[#This Row],[Tech Start Date]],4),""))))</f>
        <v/>
      </c>
      <c r="O832" s="69" t="str">
        <f>IF(Main[[#This Row],[Tech Start Date]]&lt;1/1/1990,"",IF(Main[[#This Row],[Class]]="C",WORKDAY(Main[[#This Row],[Tech Start Date]],23),IF(Main[[#This Row],[Class]]="B", WORKDAY(Main[[#This Row],[Tech Start Date]],15),IF(Main[[#This Row],[Class]]="A",WORKDAY(Main[[#This Row],[Tech Start Date]],5),""))))</f>
        <v/>
      </c>
      <c r="P832" s="69" t="str">
        <f>IF(Main[[#This Row],[Tech Start Date]]&lt;1/1/1990,"",IF(Main[[#This Row],[Class]]="C",WORKDAY(Main[[#This Row],[Tech Start Date]],28),IF(Main[[#This Row],[Class]]="B", WORKDAY(Main[[#This Row],[Tech Start Date]],19),IF(Main[[#This Row],[Class]]="A",WORKDAY(Main[[#This Row],[Tech Start Date]],9),""))))</f>
        <v/>
      </c>
      <c r="Q832" s="67">
        <v>40581</v>
      </c>
      <c r="R832" s="67"/>
      <c r="S832" s="65" t="s">
        <v>17</v>
      </c>
      <c r="T832" s="70" t="s">
        <v>4</v>
      </c>
      <c r="U832" s="65" t="s">
        <v>14</v>
      </c>
      <c r="V832" s="65" t="s">
        <v>1920</v>
      </c>
      <c r="W832" s="65" t="s">
        <v>1923</v>
      </c>
      <c r="X832" s="65" t="s">
        <v>2835</v>
      </c>
      <c r="Y832" s="65" t="s">
        <v>2957</v>
      </c>
      <c r="Z832" s="65" t="s">
        <v>970</v>
      </c>
      <c r="AA832" s="65" t="s">
        <v>2835</v>
      </c>
    </row>
    <row r="833" spans="1:27" ht="17.45" customHeight="1">
      <c r="A833" s="131" t="str">
        <f>IF(priority(Main[[#This Row],[Comments]])&lt;&gt;0, priority(Main[[#This Row],[Comments]]),"")</f>
        <v/>
      </c>
      <c r="B833" s="99" t="s">
        <v>1512</v>
      </c>
      <c r="C833" s="65" t="s">
        <v>93</v>
      </c>
      <c r="D833" s="66" t="s">
        <v>587</v>
      </c>
      <c r="E833" s="67"/>
      <c r="F833" s="67">
        <v>40302</v>
      </c>
      <c r="G833" s="64" t="str">
        <f>IF(stdProdLT(Main[[#This Row],[Comments]])=0.1,"N/A",IF(stdProdLT(Main[[#This Row],[Comments]])=0,"",stdProdLT(Main[[#This Row],[Comments]])))</f>
        <v/>
      </c>
      <c r="H833" s="68" t="str">
        <f>IF(AND(Main[[#This Row],[In Stock Date]]&lt;&gt;"",Main[[#This Row],[Revised Due Date]]&lt;&gt;""),Main[[#This Row],[In Stock Date]]-Main[[#This Row],[Revised Due Date]],"")</f>
        <v/>
      </c>
      <c r="I833" s="65" t="s">
        <v>4</v>
      </c>
      <c r="J833" s="65" t="s">
        <v>4</v>
      </c>
      <c r="K833" s="65" t="s">
        <v>4</v>
      </c>
      <c r="L833" s="67"/>
      <c r="M833" s="69" t="str">
        <f>IF(Main[[#This Row],[Tech Start Date]]&lt;1/1/1990,"",IF(Main[[#This Row],[Class]]="C",WORKDAY(Main[[#This Row],[Tech Start Date]],9),IF(Main[[#This Row],[Class]]="B", WORKDAY(Main[[#This Row],[Tech Start Date]],6),IF(Main[[#This Row],[Class]]="A",WORKDAY(Main[[#This Row],[Tech Start Date]],2),""))))</f>
        <v/>
      </c>
      <c r="N833" s="69" t="str">
        <f>IF(Main[[#This Row],[Tech Start Date]]&lt;1/1/1990,"",IF(Main[[#This Row],[Class]]="C",WORKDAY(Main[[#This Row],[Tech Start Date]],19),IF(Main[[#This Row],[Class]]="B", WORKDAY(Main[[#This Row],[Tech Start Date]],12),IF(Main[[#This Row],[Class]]="A",WORKDAY(Main[[#This Row],[Tech Start Date]],4),""))))</f>
        <v/>
      </c>
      <c r="O833" s="69" t="str">
        <f>IF(Main[[#This Row],[Tech Start Date]]&lt;1/1/1990,"",IF(Main[[#This Row],[Class]]="C",WORKDAY(Main[[#This Row],[Tech Start Date]],23),IF(Main[[#This Row],[Class]]="B", WORKDAY(Main[[#This Row],[Tech Start Date]],15),IF(Main[[#This Row],[Class]]="A",WORKDAY(Main[[#This Row],[Tech Start Date]],5),""))))</f>
        <v/>
      </c>
      <c r="P833" s="69" t="str">
        <f>IF(Main[[#This Row],[Tech Start Date]]&lt;1/1/1990,"",IF(Main[[#This Row],[Class]]="C",WORKDAY(Main[[#This Row],[Tech Start Date]],28),IF(Main[[#This Row],[Class]]="B", WORKDAY(Main[[#This Row],[Tech Start Date]],19),IF(Main[[#This Row],[Class]]="A",WORKDAY(Main[[#This Row],[Tech Start Date]],9),""))))</f>
        <v/>
      </c>
      <c r="Q833" s="67">
        <v>40190</v>
      </c>
      <c r="R833" s="67"/>
      <c r="S833" s="65" t="s">
        <v>11</v>
      </c>
      <c r="T833" s="70" t="s">
        <v>4</v>
      </c>
      <c r="U833" s="65" t="s">
        <v>12</v>
      </c>
      <c r="V833" s="65" t="s">
        <v>1927</v>
      </c>
      <c r="W833" s="65" t="s">
        <v>1923</v>
      </c>
      <c r="X833" s="65" t="s">
        <v>2904</v>
      </c>
      <c r="Y833" s="65" t="s">
        <v>4</v>
      </c>
      <c r="Z833" s="65" t="s">
        <v>4</v>
      </c>
      <c r="AA833" s="65" t="s">
        <v>2904</v>
      </c>
    </row>
    <row r="834" spans="1:27" ht="17.45" customHeight="1">
      <c r="A834" s="131" t="str">
        <f>IF(priority(Main[[#This Row],[Comments]])&lt;&gt;0, priority(Main[[#This Row],[Comments]]),"")</f>
        <v/>
      </c>
      <c r="B834" s="99" t="s">
        <v>1513</v>
      </c>
      <c r="C834" s="65" t="s">
        <v>4</v>
      </c>
      <c r="D834" s="66" t="s">
        <v>588</v>
      </c>
      <c r="E834" s="67"/>
      <c r="F834" s="67">
        <v>40330</v>
      </c>
      <c r="G834" s="64" t="str">
        <f>IF(stdProdLT(Main[[#This Row],[Comments]])=0.1,"N/A",IF(stdProdLT(Main[[#This Row],[Comments]])=0,"",stdProdLT(Main[[#This Row],[Comments]])))</f>
        <v/>
      </c>
      <c r="H834" s="68" t="str">
        <f>IF(AND(Main[[#This Row],[In Stock Date]]&lt;&gt;"",Main[[#This Row],[Revised Due Date]]&lt;&gt;""),Main[[#This Row],[In Stock Date]]-Main[[#This Row],[Revised Due Date]],"")</f>
        <v/>
      </c>
      <c r="I834" s="65" t="s">
        <v>4</v>
      </c>
      <c r="J834" s="65" t="s">
        <v>4</v>
      </c>
      <c r="K834" s="65" t="s">
        <v>4</v>
      </c>
      <c r="L834" s="67"/>
      <c r="M834" s="69" t="str">
        <f>IF(Main[[#This Row],[Tech Start Date]]&lt;1/1/1990,"",IF(Main[[#This Row],[Class]]="C",WORKDAY(Main[[#This Row],[Tech Start Date]],9),IF(Main[[#This Row],[Class]]="B", WORKDAY(Main[[#This Row],[Tech Start Date]],6),IF(Main[[#This Row],[Class]]="A",WORKDAY(Main[[#This Row],[Tech Start Date]],2),""))))</f>
        <v/>
      </c>
      <c r="N834" s="69" t="str">
        <f>IF(Main[[#This Row],[Tech Start Date]]&lt;1/1/1990,"",IF(Main[[#This Row],[Class]]="C",WORKDAY(Main[[#This Row],[Tech Start Date]],19),IF(Main[[#This Row],[Class]]="B", WORKDAY(Main[[#This Row],[Tech Start Date]],12),IF(Main[[#This Row],[Class]]="A",WORKDAY(Main[[#This Row],[Tech Start Date]],4),""))))</f>
        <v/>
      </c>
      <c r="O834" s="69" t="str">
        <f>IF(Main[[#This Row],[Tech Start Date]]&lt;1/1/1990,"",IF(Main[[#This Row],[Class]]="C",WORKDAY(Main[[#This Row],[Tech Start Date]],23),IF(Main[[#This Row],[Class]]="B", WORKDAY(Main[[#This Row],[Tech Start Date]],15),IF(Main[[#This Row],[Class]]="A",WORKDAY(Main[[#This Row],[Tech Start Date]],5),""))))</f>
        <v/>
      </c>
      <c r="P834" s="69" t="str">
        <f>IF(Main[[#This Row],[Tech Start Date]]&lt;1/1/1990,"",IF(Main[[#This Row],[Class]]="C",WORKDAY(Main[[#This Row],[Tech Start Date]],28),IF(Main[[#This Row],[Class]]="B", WORKDAY(Main[[#This Row],[Tech Start Date]],19),IF(Main[[#This Row],[Class]]="A",WORKDAY(Main[[#This Row],[Tech Start Date]],9),""))))</f>
        <v/>
      </c>
      <c r="Q834" s="67">
        <v>40210</v>
      </c>
      <c r="R834" s="67"/>
      <c r="S834" s="65" t="s">
        <v>11</v>
      </c>
      <c r="T834" s="70" t="s">
        <v>4</v>
      </c>
      <c r="U834" s="65" t="s">
        <v>12</v>
      </c>
      <c r="V834" s="65" t="s">
        <v>1918</v>
      </c>
      <c r="W834" s="65" t="s">
        <v>1923</v>
      </c>
      <c r="X834" s="65" t="s">
        <v>2830</v>
      </c>
      <c r="Y834" s="65" t="s">
        <v>2949</v>
      </c>
      <c r="Z834" s="65" t="s">
        <v>4</v>
      </c>
      <c r="AA834" s="65" t="s">
        <v>2830</v>
      </c>
    </row>
    <row r="835" spans="1:27" ht="17.45" customHeight="1">
      <c r="A835" s="131" t="str">
        <f>IF(priority(Main[[#This Row],[Comments]])&lt;&gt;0, priority(Main[[#This Row],[Comments]]),"")</f>
        <v/>
      </c>
      <c r="B835" s="99" t="s">
        <v>1514</v>
      </c>
      <c r="C835" s="65" t="s">
        <v>4</v>
      </c>
      <c r="D835" s="66" t="s">
        <v>589</v>
      </c>
      <c r="E835" s="67">
        <v>40217.626817129632</v>
      </c>
      <c r="F835" s="67"/>
      <c r="G835" s="64" t="str">
        <f>IF(stdProdLT(Main[[#This Row],[Comments]])=0.1,"N/A",IF(stdProdLT(Main[[#This Row],[Comments]])=0,"",stdProdLT(Main[[#This Row],[Comments]])))</f>
        <v/>
      </c>
      <c r="H835" s="68" t="str">
        <f>IF(AND(Main[[#This Row],[In Stock Date]]&lt;&gt;"",Main[[#This Row],[Revised Due Date]]&lt;&gt;""),Main[[#This Row],[In Stock Date]]-Main[[#This Row],[Revised Due Date]],"")</f>
        <v/>
      </c>
      <c r="I835" s="65" t="s">
        <v>4</v>
      </c>
      <c r="J835" s="65" t="s">
        <v>4</v>
      </c>
      <c r="K835" s="65" t="s">
        <v>4</v>
      </c>
      <c r="L835" s="67"/>
      <c r="M835" s="69" t="str">
        <f>IF(Main[[#This Row],[Tech Start Date]]&lt;1/1/1990,"",IF(Main[[#This Row],[Class]]="C",WORKDAY(Main[[#This Row],[Tech Start Date]],9),IF(Main[[#This Row],[Class]]="B", WORKDAY(Main[[#This Row],[Tech Start Date]],6),IF(Main[[#This Row],[Class]]="A",WORKDAY(Main[[#This Row],[Tech Start Date]],2),""))))</f>
        <v/>
      </c>
      <c r="N835" s="69" t="str">
        <f>IF(Main[[#This Row],[Tech Start Date]]&lt;1/1/1990,"",IF(Main[[#This Row],[Class]]="C",WORKDAY(Main[[#This Row],[Tech Start Date]],19),IF(Main[[#This Row],[Class]]="B", WORKDAY(Main[[#This Row],[Tech Start Date]],12),IF(Main[[#This Row],[Class]]="A",WORKDAY(Main[[#This Row],[Tech Start Date]],4),""))))</f>
        <v/>
      </c>
      <c r="O835" s="69" t="str">
        <f>IF(Main[[#This Row],[Tech Start Date]]&lt;1/1/1990,"",IF(Main[[#This Row],[Class]]="C",WORKDAY(Main[[#This Row],[Tech Start Date]],23),IF(Main[[#This Row],[Class]]="B", WORKDAY(Main[[#This Row],[Tech Start Date]],15),IF(Main[[#This Row],[Class]]="A",WORKDAY(Main[[#This Row],[Tech Start Date]],5),""))))</f>
        <v/>
      </c>
      <c r="P835" s="69" t="str">
        <f>IF(Main[[#This Row],[Tech Start Date]]&lt;1/1/1990,"",IF(Main[[#This Row],[Class]]="C",WORKDAY(Main[[#This Row],[Tech Start Date]],28),IF(Main[[#This Row],[Class]]="B", WORKDAY(Main[[#This Row],[Tech Start Date]],19),IF(Main[[#This Row],[Class]]="A",WORKDAY(Main[[#This Row],[Tech Start Date]],9),""))))</f>
        <v/>
      </c>
      <c r="Q835" s="67">
        <v>40229</v>
      </c>
      <c r="R835" s="67"/>
      <c r="S835" s="65" t="s">
        <v>6</v>
      </c>
      <c r="T835" s="70" t="s">
        <v>4</v>
      </c>
      <c r="U835" s="65" t="s">
        <v>7</v>
      </c>
      <c r="V835" s="65" t="s">
        <v>1917</v>
      </c>
      <c r="W835" s="65" t="s">
        <v>1921</v>
      </c>
      <c r="X835" s="65" t="s">
        <v>2827</v>
      </c>
      <c r="Y835" s="65" t="s">
        <v>2942</v>
      </c>
      <c r="Z835" s="65" t="s">
        <v>4</v>
      </c>
      <c r="AA835" s="65" t="s">
        <v>2827</v>
      </c>
    </row>
    <row r="836" spans="1:27" ht="17.45" customHeight="1">
      <c r="A836" s="131" t="str">
        <f>IF(priority(Main[[#This Row],[Comments]])&lt;&gt;0, priority(Main[[#This Row],[Comments]]),"")</f>
        <v/>
      </c>
      <c r="B836" s="99" t="s">
        <v>1644</v>
      </c>
      <c r="C836" s="65" t="s">
        <v>4</v>
      </c>
      <c r="D836" s="66" t="s">
        <v>712</v>
      </c>
      <c r="E836" s="67"/>
      <c r="F836" s="67"/>
      <c r="G836" s="64" t="str">
        <f>IF(stdProdLT(Main[[#This Row],[Comments]])=0.1,"N/A",IF(stdProdLT(Main[[#This Row],[Comments]])=0,"",stdProdLT(Main[[#This Row],[Comments]])))</f>
        <v/>
      </c>
      <c r="H836" s="68" t="str">
        <f>IF(AND(Main[[#This Row],[In Stock Date]]&lt;&gt;"",Main[[#This Row],[Revised Due Date]]&lt;&gt;""),Main[[#This Row],[In Stock Date]]-Main[[#This Row],[Revised Due Date]],"")</f>
        <v/>
      </c>
      <c r="I836" s="65" t="s">
        <v>4</v>
      </c>
      <c r="J836" s="65" t="s">
        <v>28</v>
      </c>
      <c r="K836" s="65" t="s">
        <v>1926</v>
      </c>
      <c r="L836" s="67"/>
      <c r="M836" s="69" t="str">
        <f>IF(Main[[#This Row],[Tech Start Date]]&lt;1/1/1990,"",IF(Main[[#This Row],[Class]]="C",WORKDAY(Main[[#This Row],[Tech Start Date]],9),IF(Main[[#This Row],[Class]]="B", WORKDAY(Main[[#This Row],[Tech Start Date]],6),IF(Main[[#This Row],[Class]]="A",WORKDAY(Main[[#This Row],[Tech Start Date]],2),""))))</f>
        <v/>
      </c>
      <c r="N836" s="69" t="str">
        <f>IF(Main[[#This Row],[Tech Start Date]]&lt;1/1/1990,"",IF(Main[[#This Row],[Class]]="C",WORKDAY(Main[[#This Row],[Tech Start Date]],19),IF(Main[[#This Row],[Class]]="B", WORKDAY(Main[[#This Row],[Tech Start Date]],12),IF(Main[[#This Row],[Class]]="A",WORKDAY(Main[[#This Row],[Tech Start Date]],4),""))))</f>
        <v/>
      </c>
      <c r="O836" s="69" t="str">
        <f>IF(Main[[#This Row],[Tech Start Date]]&lt;1/1/1990,"",IF(Main[[#This Row],[Class]]="C",WORKDAY(Main[[#This Row],[Tech Start Date]],23),IF(Main[[#This Row],[Class]]="B", WORKDAY(Main[[#This Row],[Tech Start Date]],15),IF(Main[[#This Row],[Class]]="A",WORKDAY(Main[[#This Row],[Tech Start Date]],5),""))))</f>
        <v/>
      </c>
      <c r="P836" s="69" t="str">
        <f>IF(Main[[#This Row],[Tech Start Date]]&lt;1/1/1990,"",IF(Main[[#This Row],[Class]]="C",WORKDAY(Main[[#This Row],[Tech Start Date]],28),IF(Main[[#This Row],[Class]]="B", WORKDAY(Main[[#This Row],[Tech Start Date]],19),IF(Main[[#This Row],[Class]]="A",WORKDAY(Main[[#This Row],[Tech Start Date]],9),""))))</f>
        <v/>
      </c>
      <c r="Q836" s="67">
        <v>40647</v>
      </c>
      <c r="R836" s="67"/>
      <c r="S836" s="65" t="s">
        <v>6</v>
      </c>
      <c r="T836" s="70" t="s">
        <v>4</v>
      </c>
      <c r="U836" s="65" t="s">
        <v>14</v>
      </c>
      <c r="V836" s="65" t="s">
        <v>1917</v>
      </c>
      <c r="W836" s="65" t="s">
        <v>1921</v>
      </c>
      <c r="X836" s="65" t="s">
        <v>2827</v>
      </c>
      <c r="Y836" s="65" t="s">
        <v>2942</v>
      </c>
      <c r="Z836" s="65" t="s">
        <v>129</v>
      </c>
      <c r="AA836" s="65" t="s">
        <v>2827</v>
      </c>
    </row>
    <row r="837" spans="1:27" ht="17.45" customHeight="1">
      <c r="A837" s="131" t="str">
        <f>IF(priority(Main[[#This Row],[Comments]])&lt;&gt;0, priority(Main[[#This Row],[Comments]]),"")</f>
        <v/>
      </c>
      <c r="B837" s="99" t="s">
        <v>3266</v>
      </c>
      <c r="C837" s="65" t="s">
        <v>4</v>
      </c>
      <c r="D837" s="66" t="s">
        <v>3343</v>
      </c>
      <c r="E837" s="67">
        <v>40931.598935185182</v>
      </c>
      <c r="F837" s="67"/>
      <c r="G837" s="64" t="str">
        <f>IF(stdProdLT(Main[[#This Row],[Comments]])=0.1,"N/A",IF(stdProdLT(Main[[#This Row],[Comments]])=0,"",stdProdLT(Main[[#This Row],[Comments]])))</f>
        <v/>
      </c>
      <c r="H837" s="68" t="str">
        <f>IF(AND(Main[[#This Row],[In Stock Date]]&lt;&gt;"",Main[[#This Row],[Revised Due Date]]&lt;&gt;""),Main[[#This Row],[In Stock Date]]-Main[[#This Row],[Revised Due Date]],"")</f>
        <v/>
      </c>
      <c r="I837" s="65" t="s">
        <v>4</v>
      </c>
      <c r="J837" s="65" t="s">
        <v>4</v>
      </c>
      <c r="K837" s="65" t="s">
        <v>4</v>
      </c>
      <c r="L837" s="67"/>
      <c r="M837" s="69" t="str">
        <f>IF(Main[[#This Row],[Tech Start Date]]&lt;1/1/1990,"",IF(Main[[#This Row],[Class]]="C",WORKDAY(Main[[#This Row],[Tech Start Date]],9),IF(Main[[#This Row],[Class]]="B", WORKDAY(Main[[#This Row],[Tech Start Date]],6),IF(Main[[#This Row],[Class]]="A",WORKDAY(Main[[#This Row],[Tech Start Date]],2),""))))</f>
        <v/>
      </c>
      <c r="N837" s="69" t="str">
        <f>IF(Main[[#This Row],[Tech Start Date]]&lt;1/1/1990,"",IF(Main[[#This Row],[Class]]="C",WORKDAY(Main[[#This Row],[Tech Start Date]],19),IF(Main[[#This Row],[Class]]="B", WORKDAY(Main[[#This Row],[Tech Start Date]],12),IF(Main[[#This Row],[Class]]="A",WORKDAY(Main[[#This Row],[Tech Start Date]],4),""))))</f>
        <v/>
      </c>
      <c r="O837" s="69" t="str">
        <f>IF(Main[[#This Row],[Tech Start Date]]&lt;1/1/1990,"",IF(Main[[#This Row],[Class]]="C",WORKDAY(Main[[#This Row],[Tech Start Date]],23),IF(Main[[#This Row],[Class]]="B", WORKDAY(Main[[#This Row],[Tech Start Date]],15),IF(Main[[#This Row],[Class]]="A",WORKDAY(Main[[#This Row],[Tech Start Date]],5),""))))</f>
        <v/>
      </c>
      <c r="P837" s="69" t="str">
        <f>IF(Main[[#This Row],[Tech Start Date]]&lt;1/1/1990,"",IF(Main[[#This Row],[Class]]="C",WORKDAY(Main[[#This Row],[Tech Start Date]],28),IF(Main[[#This Row],[Class]]="B", WORKDAY(Main[[#This Row],[Tech Start Date]],19),IF(Main[[#This Row],[Class]]="A",WORKDAY(Main[[#This Row],[Tech Start Date]],9),""))))</f>
        <v/>
      </c>
      <c r="Q837" s="67"/>
      <c r="R837" s="67"/>
      <c r="S837" s="65" t="s">
        <v>17</v>
      </c>
      <c r="T837" s="70" t="s">
        <v>4</v>
      </c>
      <c r="U837" s="65" t="s">
        <v>29</v>
      </c>
      <c r="V837" s="65" t="s">
        <v>1920</v>
      </c>
      <c r="W837" s="65" t="s">
        <v>1922</v>
      </c>
      <c r="X837" s="65" t="s">
        <v>1979</v>
      </c>
      <c r="Y837" s="65" t="s">
        <v>4</v>
      </c>
      <c r="Z837" s="65" t="s">
        <v>4</v>
      </c>
      <c r="AA837" s="65" t="s">
        <v>1979</v>
      </c>
    </row>
    <row r="838" spans="1:27" ht="17.45" customHeight="1">
      <c r="A838" s="131" t="str">
        <f>IF(priority(Main[[#This Row],[Comments]])&lt;&gt;0, priority(Main[[#This Row],[Comments]]),"")</f>
        <v/>
      </c>
      <c r="B838" s="99" t="s">
        <v>1645</v>
      </c>
      <c r="C838" s="65" t="s">
        <v>4</v>
      </c>
      <c r="D838" s="66" t="s">
        <v>713</v>
      </c>
      <c r="E838" s="67"/>
      <c r="F838" s="67"/>
      <c r="G838" s="64" t="str">
        <f>IF(stdProdLT(Main[[#This Row],[Comments]])=0.1,"N/A",IF(stdProdLT(Main[[#This Row],[Comments]])=0,"",stdProdLT(Main[[#This Row],[Comments]])))</f>
        <v/>
      </c>
      <c r="H838" s="68" t="str">
        <f>IF(AND(Main[[#This Row],[In Stock Date]]&lt;&gt;"",Main[[#This Row],[Revised Due Date]]&lt;&gt;""),Main[[#This Row],[In Stock Date]]-Main[[#This Row],[Revised Due Date]],"")</f>
        <v/>
      </c>
      <c r="I838" s="65" t="s">
        <v>4</v>
      </c>
      <c r="J838" s="65" t="s">
        <v>4</v>
      </c>
      <c r="K838" s="65" t="s">
        <v>4</v>
      </c>
      <c r="L838" s="67"/>
      <c r="M838" s="69" t="str">
        <f>IF(Main[[#This Row],[Tech Start Date]]&lt;1/1/1990,"",IF(Main[[#This Row],[Class]]="C",WORKDAY(Main[[#This Row],[Tech Start Date]],9),IF(Main[[#This Row],[Class]]="B", WORKDAY(Main[[#This Row],[Tech Start Date]],6),IF(Main[[#This Row],[Class]]="A",WORKDAY(Main[[#This Row],[Tech Start Date]],2),""))))</f>
        <v/>
      </c>
      <c r="N838" s="69" t="str">
        <f>IF(Main[[#This Row],[Tech Start Date]]&lt;1/1/1990,"",IF(Main[[#This Row],[Class]]="C",WORKDAY(Main[[#This Row],[Tech Start Date]],19),IF(Main[[#This Row],[Class]]="B", WORKDAY(Main[[#This Row],[Tech Start Date]],12),IF(Main[[#This Row],[Class]]="A",WORKDAY(Main[[#This Row],[Tech Start Date]],4),""))))</f>
        <v/>
      </c>
      <c r="O838" s="69" t="str">
        <f>IF(Main[[#This Row],[Tech Start Date]]&lt;1/1/1990,"",IF(Main[[#This Row],[Class]]="C",WORKDAY(Main[[#This Row],[Tech Start Date]],23),IF(Main[[#This Row],[Class]]="B", WORKDAY(Main[[#This Row],[Tech Start Date]],15),IF(Main[[#This Row],[Class]]="A",WORKDAY(Main[[#This Row],[Tech Start Date]],5),""))))</f>
        <v/>
      </c>
      <c r="P838" s="69" t="str">
        <f>IF(Main[[#This Row],[Tech Start Date]]&lt;1/1/1990,"",IF(Main[[#This Row],[Class]]="C",WORKDAY(Main[[#This Row],[Tech Start Date]],28),IF(Main[[#This Row],[Class]]="B", WORKDAY(Main[[#This Row],[Tech Start Date]],19),IF(Main[[#This Row],[Class]]="A",WORKDAY(Main[[#This Row],[Tech Start Date]],9),""))))</f>
        <v/>
      </c>
      <c r="Q838" s="67">
        <v>40672</v>
      </c>
      <c r="R838" s="67"/>
      <c r="S838" s="65" t="s">
        <v>6</v>
      </c>
      <c r="T838" s="70" t="s">
        <v>4</v>
      </c>
      <c r="U838" s="65" t="s">
        <v>14</v>
      </c>
      <c r="V838" s="65" t="s">
        <v>1920</v>
      </c>
      <c r="W838" s="65" t="s">
        <v>4</v>
      </c>
      <c r="X838" s="65" t="s">
        <v>2828</v>
      </c>
      <c r="Y838" s="65" t="s">
        <v>2944</v>
      </c>
      <c r="Z838" s="65" t="s">
        <v>4</v>
      </c>
      <c r="AA838" s="65" t="s">
        <v>2828</v>
      </c>
    </row>
    <row r="839" spans="1:27" ht="17.45" customHeight="1">
      <c r="A839" s="131" t="str">
        <f>IF(priority(Main[[#This Row],[Comments]])&lt;&gt;0, priority(Main[[#This Row],[Comments]]),"")</f>
        <v/>
      </c>
      <c r="B839" s="99" t="s">
        <v>1646</v>
      </c>
      <c r="C839" s="65" t="s">
        <v>4</v>
      </c>
      <c r="D839" s="66" t="s">
        <v>714</v>
      </c>
      <c r="E839" s="67"/>
      <c r="F839" s="67"/>
      <c r="G839" s="64" t="str">
        <f>IF(stdProdLT(Main[[#This Row],[Comments]])=0.1,"N/A",IF(stdProdLT(Main[[#This Row],[Comments]])=0,"",stdProdLT(Main[[#This Row],[Comments]])))</f>
        <v/>
      </c>
      <c r="H839" s="68" t="str">
        <f>IF(AND(Main[[#This Row],[In Stock Date]]&lt;&gt;"",Main[[#This Row],[Revised Due Date]]&lt;&gt;""),Main[[#This Row],[In Stock Date]]-Main[[#This Row],[Revised Due Date]],"")</f>
        <v/>
      </c>
      <c r="I839" s="65" t="s">
        <v>4</v>
      </c>
      <c r="J839" s="65" t="s">
        <v>4</v>
      </c>
      <c r="K839" s="65" t="s">
        <v>4</v>
      </c>
      <c r="L839" s="67"/>
      <c r="M839" s="69" t="str">
        <f>IF(Main[[#This Row],[Tech Start Date]]&lt;1/1/1990,"",IF(Main[[#This Row],[Class]]="C",WORKDAY(Main[[#This Row],[Tech Start Date]],9),IF(Main[[#This Row],[Class]]="B", WORKDAY(Main[[#This Row],[Tech Start Date]],6),IF(Main[[#This Row],[Class]]="A",WORKDAY(Main[[#This Row],[Tech Start Date]],2),""))))</f>
        <v/>
      </c>
      <c r="N839" s="69" t="str">
        <f>IF(Main[[#This Row],[Tech Start Date]]&lt;1/1/1990,"",IF(Main[[#This Row],[Class]]="C",WORKDAY(Main[[#This Row],[Tech Start Date]],19),IF(Main[[#This Row],[Class]]="B", WORKDAY(Main[[#This Row],[Tech Start Date]],12),IF(Main[[#This Row],[Class]]="A",WORKDAY(Main[[#This Row],[Tech Start Date]],4),""))))</f>
        <v/>
      </c>
      <c r="O839" s="69" t="str">
        <f>IF(Main[[#This Row],[Tech Start Date]]&lt;1/1/1990,"",IF(Main[[#This Row],[Class]]="C",WORKDAY(Main[[#This Row],[Tech Start Date]],23),IF(Main[[#This Row],[Class]]="B", WORKDAY(Main[[#This Row],[Tech Start Date]],15),IF(Main[[#This Row],[Class]]="A",WORKDAY(Main[[#This Row],[Tech Start Date]],5),""))))</f>
        <v/>
      </c>
      <c r="P839" s="69" t="str">
        <f>IF(Main[[#This Row],[Tech Start Date]]&lt;1/1/1990,"",IF(Main[[#This Row],[Class]]="C",WORKDAY(Main[[#This Row],[Tech Start Date]],28),IF(Main[[#This Row],[Class]]="B", WORKDAY(Main[[#This Row],[Tech Start Date]],19),IF(Main[[#This Row],[Class]]="A",WORKDAY(Main[[#This Row],[Tech Start Date]],9),""))))</f>
        <v/>
      </c>
      <c r="Q839" s="67"/>
      <c r="R839" s="67"/>
      <c r="S839" s="65" t="s">
        <v>23</v>
      </c>
      <c r="T839" s="70" t="s">
        <v>4</v>
      </c>
      <c r="U839" s="65" t="s">
        <v>14</v>
      </c>
      <c r="V839" s="65" t="s">
        <v>1920</v>
      </c>
      <c r="W839" s="65" t="s">
        <v>1921</v>
      </c>
      <c r="X839" s="65" t="s">
        <v>399</v>
      </c>
      <c r="Y839" s="65" t="s">
        <v>4</v>
      </c>
      <c r="Z839" s="65" t="s">
        <v>4</v>
      </c>
      <c r="AA839" s="65" t="s">
        <v>3445</v>
      </c>
    </row>
    <row r="840" spans="1:27" ht="17.45" customHeight="1">
      <c r="A840" s="131" t="str">
        <f>IF(priority(Main[[#This Row],[Comments]])&lt;&gt;0, priority(Main[[#This Row],[Comments]]),"")</f>
        <v/>
      </c>
      <c r="B840" s="99" t="s">
        <v>1856</v>
      </c>
      <c r="C840" s="65" t="s">
        <v>4</v>
      </c>
      <c r="D840" s="66" t="s">
        <v>911</v>
      </c>
      <c r="E840" s="67"/>
      <c r="F840" s="67"/>
      <c r="G840" s="64" t="str">
        <f>IF(stdProdLT(Main[[#This Row],[Comments]])=0.1,"N/A",IF(stdProdLT(Main[[#This Row],[Comments]])=0,"",stdProdLT(Main[[#This Row],[Comments]])))</f>
        <v/>
      </c>
      <c r="H840" s="68" t="str">
        <f>IF(AND(Main[[#This Row],[In Stock Date]]&lt;&gt;"",Main[[#This Row],[Revised Due Date]]&lt;&gt;""),Main[[#This Row],[In Stock Date]]-Main[[#This Row],[Revised Due Date]],"")</f>
        <v/>
      </c>
      <c r="I840" s="65" t="s">
        <v>854</v>
      </c>
      <c r="J840" s="65" t="s">
        <v>4</v>
      </c>
      <c r="K840" s="71" t="s">
        <v>1929</v>
      </c>
      <c r="L840" s="67"/>
      <c r="M840" s="69" t="str">
        <f>IF(Main[[#This Row],[Tech Start Date]]&lt;1/1/1990,"",IF(Main[[#This Row],[Class]]="C",WORKDAY(Main[[#This Row],[Tech Start Date]],9),IF(Main[[#This Row],[Class]]="B", WORKDAY(Main[[#This Row],[Tech Start Date]],6),IF(Main[[#This Row],[Class]]="A",WORKDAY(Main[[#This Row],[Tech Start Date]],2),""))))</f>
        <v/>
      </c>
      <c r="N840" s="69" t="str">
        <f>IF(Main[[#This Row],[Tech Start Date]]&lt;1/1/1990,"",IF(Main[[#This Row],[Class]]="C",WORKDAY(Main[[#This Row],[Tech Start Date]],19),IF(Main[[#This Row],[Class]]="B", WORKDAY(Main[[#This Row],[Tech Start Date]],12),IF(Main[[#This Row],[Class]]="A",WORKDAY(Main[[#This Row],[Tech Start Date]],4),""))))</f>
        <v/>
      </c>
      <c r="O840" s="69" t="str">
        <f>IF(Main[[#This Row],[Tech Start Date]]&lt;1/1/1990,"",IF(Main[[#This Row],[Class]]="C",WORKDAY(Main[[#This Row],[Tech Start Date]],23),IF(Main[[#This Row],[Class]]="B", WORKDAY(Main[[#This Row],[Tech Start Date]],15),IF(Main[[#This Row],[Class]]="A",WORKDAY(Main[[#This Row],[Tech Start Date]],5),""))))</f>
        <v/>
      </c>
      <c r="P840" s="69" t="str">
        <f>IF(Main[[#This Row],[Tech Start Date]]&lt;1/1/1990,"",IF(Main[[#This Row],[Class]]="C",WORKDAY(Main[[#This Row],[Tech Start Date]],28),IF(Main[[#This Row],[Class]]="B", WORKDAY(Main[[#This Row],[Tech Start Date]],19),IF(Main[[#This Row],[Class]]="A",WORKDAY(Main[[#This Row],[Tech Start Date]],9),""))))</f>
        <v/>
      </c>
      <c r="Q840" s="67"/>
      <c r="R840" s="67">
        <v>40543</v>
      </c>
      <c r="S840" s="65" t="s">
        <v>17</v>
      </c>
      <c r="T840" s="70" t="s">
        <v>4</v>
      </c>
      <c r="U840" s="65" t="s">
        <v>14</v>
      </c>
      <c r="V840" s="65" t="s">
        <v>1920</v>
      </c>
      <c r="W840" s="65" t="s">
        <v>1925</v>
      </c>
      <c r="X840" s="65" t="s">
        <v>306</v>
      </c>
      <c r="Y840" s="65" t="s">
        <v>4</v>
      </c>
      <c r="Z840" s="65" t="s">
        <v>415</v>
      </c>
      <c r="AA840" s="65" t="s">
        <v>3446</v>
      </c>
    </row>
    <row r="841" spans="1:27" ht="17.45" customHeight="1">
      <c r="A841" s="131" t="str">
        <f>IF(priority(Main[[#This Row],[Comments]])&lt;&gt;0, priority(Main[[#This Row],[Comments]]),"")</f>
        <v/>
      </c>
      <c r="B841" s="99" t="s">
        <v>1647</v>
      </c>
      <c r="C841" s="65" t="s">
        <v>113</v>
      </c>
      <c r="D841" s="66" t="s">
        <v>715</v>
      </c>
      <c r="E841" s="67"/>
      <c r="F841" s="67">
        <v>40817</v>
      </c>
      <c r="G841" s="64" t="str">
        <f>IF(stdProdLT(Main[[#This Row],[Comments]])=0.1,"N/A",IF(stdProdLT(Main[[#This Row],[Comments]])=0,"",stdProdLT(Main[[#This Row],[Comments]])))</f>
        <v/>
      </c>
      <c r="H841" s="68" t="str">
        <f>IF(AND(Main[[#This Row],[In Stock Date]]&lt;&gt;"",Main[[#This Row],[Revised Due Date]]&lt;&gt;""),Main[[#This Row],[In Stock Date]]-Main[[#This Row],[Revised Due Date]],"")</f>
        <v/>
      </c>
      <c r="I841" s="65" t="s">
        <v>4</v>
      </c>
      <c r="J841" s="65" t="s">
        <v>28</v>
      </c>
      <c r="K841" s="71" t="s">
        <v>1930</v>
      </c>
      <c r="L841" s="67"/>
      <c r="M841" s="69" t="str">
        <f>IF(Main[[#This Row],[Tech Start Date]]&lt;1/1/1990,"",IF(Main[[#This Row],[Class]]="C",WORKDAY(Main[[#This Row],[Tech Start Date]],9),IF(Main[[#This Row],[Class]]="B", WORKDAY(Main[[#This Row],[Tech Start Date]],6),IF(Main[[#This Row],[Class]]="A",WORKDAY(Main[[#This Row],[Tech Start Date]],2),""))))</f>
        <v/>
      </c>
      <c r="N841" s="69" t="str">
        <f>IF(Main[[#This Row],[Tech Start Date]]&lt;1/1/1990,"",IF(Main[[#This Row],[Class]]="C",WORKDAY(Main[[#This Row],[Tech Start Date]],19),IF(Main[[#This Row],[Class]]="B", WORKDAY(Main[[#This Row],[Tech Start Date]],12),IF(Main[[#This Row],[Class]]="A",WORKDAY(Main[[#This Row],[Tech Start Date]],4),""))))</f>
        <v/>
      </c>
      <c r="O841" s="69" t="str">
        <f>IF(Main[[#This Row],[Tech Start Date]]&lt;1/1/1990,"",IF(Main[[#This Row],[Class]]="C",WORKDAY(Main[[#This Row],[Tech Start Date]],23),IF(Main[[#This Row],[Class]]="B", WORKDAY(Main[[#This Row],[Tech Start Date]],15),IF(Main[[#This Row],[Class]]="A",WORKDAY(Main[[#This Row],[Tech Start Date]],5),""))))</f>
        <v/>
      </c>
      <c r="P841" s="69" t="str">
        <f>IF(Main[[#This Row],[Tech Start Date]]&lt;1/1/1990,"",IF(Main[[#This Row],[Class]]="C",WORKDAY(Main[[#This Row],[Tech Start Date]],28),IF(Main[[#This Row],[Class]]="B", WORKDAY(Main[[#This Row],[Tech Start Date]],19),IF(Main[[#This Row],[Class]]="A",WORKDAY(Main[[#This Row],[Tech Start Date]],9),""))))</f>
        <v/>
      </c>
      <c r="Q841" s="67">
        <v>40634</v>
      </c>
      <c r="R841" s="67"/>
      <c r="S841" s="65" t="s">
        <v>11</v>
      </c>
      <c r="T841" s="70" t="s">
        <v>4</v>
      </c>
      <c r="U841" s="65" t="s">
        <v>14</v>
      </c>
      <c r="V841" s="65" t="s">
        <v>1917</v>
      </c>
      <c r="W841" s="65" t="s">
        <v>1923</v>
      </c>
      <c r="X841" s="65" t="s">
        <v>2839</v>
      </c>
      <c r="Y841" s="65" t="s">
        <v>2945</v>
      </c>
      <c r="Z841" s="65" t="s">
        <v>129</v>
      </c>
      <c r="AA841" s="65" t="s">
        <v>2839</v>
      </c>
    </row>
    <row r="842" spans="1:27" ht="17.45" customHeight="1">
      <c r="A842" s="131" t="str">
        <f>IF(priority(Main[[#This Row],[Comments]])&lt;&gt;0, priority(Main[[#This Row],[Comments]]),"")</f>
        <v/>
      </c>
      <c r="B842" s="99" t="s">
        <v>1648</v>
      </c>
      <c r="C842" s="65" t="s">
        <v>4</v>
      </c>
      <c r="D842" s="66" t="s">
        <v>39</v>
      </c>
      <c r="E842" s="67"/>
      <c r="F842" s="67"/>
      <c r="G842" s="64" t="str">
        <f>IF(stdProdLT(Main[[#This Row],[Comments]])=0.1,"N/A",IF(stdProdLT(Main[[#This Row],[Comments]])=0,"",stdProdLT(Main[[#This Row],[Comments]])))</f>
        <v/>
      </c>
      <c r="H842" s="68" t="str">
        <f>IF(AND(Main[[#This Row],[In Stock Date]]&lt;&gt;"",Main[[#This Row],[Revised Due Date]]&lt;&gt;""),Main[[#This Row],[In Stock Date]]-Main[[#This Row],[Revised Due Date]],"")</f>
        <v/>
      </c>
      <c r="I842" s="65" t="s">
        <v>4</v>
      </c>
      <c r="J842" s="65" t="s">
        <v>4</v>
      </c>
      <c r="K842" s="65" t="s">
        <v>4</v>
      </c>
      <c r="L842" s="67"/>
      <c r="M842" s="69" t="str">
        <f>IF(Main[[#This Row],[Tech Start Date]]&lt;1/1/1990,"",IF(Main[[#This Row],[Class]]="C",WORKDAY(Main[[#This Row],[Tech Start Date]],9),IF(Main[[#This Row],[Class]]="B", WORKDAY(Main[[#This Row],[Tech Start Date]],6),IF(Main[[#This Row],[Class]]="A",WORKDAY(Main[[#This Row],[Tech Start Date]],2),""))))</f>
        <v/>
      </c>
      <c r="N842" s="69" t="str">
        <f>IF(Main[[#This Row],[Tech Start Date]]&lt;1/1/1990,"",IF(Main[[#This Row],[Class]]="C",WORKDAY(Main[[#This Row],[Tech Start Date]],19),IF(Main[[#This Row],[Class]]="B", WORKDAY(Main[[#This Row],[Tech Start Date]],12),IF(Main[[#This Row],[Class]]="A",WORKDAY(Main[[#This Row],[Tech Start Date]],4),""))))</f>
        <v/>
      </c>
      <c r="O842" s="69" t="str">
        <f>IF(Main[[#This Row],[Tech Start Date]]&lt;1/1/1990,"",IF(Main[[#This Row],[Class]]="C",WORKDAY(Main[[#This Row],[Tech Start Date]],23),IF(Main[[#This Row],[Class]]="B", WORKDAY(Main[[#This Row],[Tech Start Date]],15),IF(Main[[#This Row],[Class]]="A",WORKDAY(Main[[#This Row],[Tech Start Date]],5),""))))</f>
        <v/>
      </c>
      <c r="P842" s="69" t="str">
        <f>IF(Main[[#This Row],[Tech Start Date]]&lt;1/1/1990,"",IF(Main[[#This Row],[Class]]="C",WORKDAY(Main[[#This Row],[Tech Start Date]],28),IF(Main[[#This Row],[Class]]="B", WORKDAY(Main[[#This Row],[Tech Start Date]],19),IF(Main[[#This Row],[Class]]="A",WORKDAY(Main[[#This Row],[Tech Start Date]],9),""))))</f>
        <v/>
      </c>
      <c r="Q842" s="67">
        <v>40669</v>
      </c>
      <c r="R842" s="67"/>
      <c r="S842" s="65" t="s">
        <v>6</v>
      </c>
      <c r="T842" s="70" t="s">
        <v>4</v>
      </c>
      <c r="U842" s="65" t="s">
        <v>14</v>
      </c>
      <c r="V842" s="65" t="s">
        <v>1920</v>
      </c>
      <c r="W842" s="65" t="s">
        <v>4</v>
      </c>
      <c r="X842" s="65" t="s">
        <v>2824</v>
      </c>
      <c r="Y842" s="65" t="s">
        <v>2935</v>
      </c>
      <c r="Z842" s="65" t="s">
        <v>4</v>
      </c>
      <c r="AA842" s="65" t="s">
        <v>2824</v>
      </c>
    </row>
    <row r="843" spans="1:27" ht="17.45" customHeight="1">
      <c r="A843" s="131" t="str">
        <f>IF(priority(Main[[#This Row],[Comments]])&lt;&gt;0, priority(Main[[#This Row],[Comments]]),"")</f>
        <v/>
      </c>
      <c r="B843" s="99" t="s">
        <v>1649</v>
      </c>
      <c r="C843" s="65" t="s">
        <v>4</v>
      </c>
      <c r="D843" s="66" t="s">
        <v>716</v>
      </c>
      <c r="E843" s="67"/>
      <c r="F843" s="67"/>
      <c r="G843" s="64" t="str">
        <f>IF(stdProdLT(Main[[#This Row],[Comments]])=0.1,"N/A",IF(stdProdLT(Main[[#This Row],[Comments]])=0,"",stdProdLT(Main[[#This Row],[Comments]])))</f>
        <v/>
      </c>
      <c r="H843" s="68" t="str">
        <f>IF(AND(Main[[#This Row],[In Stock Date]]&lt;&gt;"",Main[[#This Row],[Revised Due Date]]&lt;&gt;""),Main[[#This Row],[In Stock Date]]-Main[[#This Row],[Revised Due Date]],"")</f>
        <v/>
      </c>
      <c r="I843" s="65" t="s">
        <v>4</v>
      </c>
      <c r="J843" s="65" t="s">
        <v>4</v>
      </c>
      <c r="K843" s="65" t="s">
        <v>4</v>
      </c>
      <c r="L843" s="67"/>
      <c r="M843" s="69" t="str">
        <f>IF(Main[[#This Row],[Tech Start Date]]&lt;1/1/1990,"",IF(Main[[#This Row],[Class]]="C",WORKDAY(Main[[#This Row],[Tech Start Date]],9),IF(Main[[#This Row],[Class]]="B", WORKDAY(Main[[#This Row],[Tech Start Date]],6),IF(Main[[#This Row],[Class]]="A",WORKDAY(Main[[#This Row],[Tech Start Date]],2),""))))</f>
        <v/>
      </c>
      <c r="N843" s="69" t="str">
        <f>IF(Main[[#This Row],[Tech Start Date]]&lt;1/1/1990,"",IF(Main[[#This Row],[Class]]="C",WORKDAY(Main[[#This Row],[Tech Start Date]],19),IF(Main[[#This Row],[Class]]="B", WORKDAY(Main[[#This Row],[Tech Start Date]],12),IF(Main[[#This Row],[Class]]="A",WORKDAY(Main[[#This Row],[Tech Start Date]],4),""))))</f>
        <v/>
      </c>
      <c r="O843" s="69" t="str">
        <f>IF(Main[[#This Row],[Tech Start Date]]&lt;1/1/1990,"",IF(Main[[#This Row],[Class]]="C",WORKDAY(Main[[#This Row],[Tech Start Date]],23),IF(Main[[#This Row],[Class]]="B", WORKDAY(Main[[#This Row],[Tech Start Date]],15),IF(Main[[#This Row],[Class]]="A",WORKDAY(Main[[#This Row],[Tech Start Date]],5),""))))</f>
        <v/>
      </c>
      <c r="P843" s="69" t="str">
        <f>IF(Main[[#This Row],[Tech Start Date]]&lt;1/1/1990,"",IF(Main[[#This Row],[Class]]="C",WORKDAY(Main[[#This Row],[Tech Start Date]],28),IF(Main[[#This Row],[Class]]="B", WORKDAY(Main[[#This Row],[Tech Start Date]],19),IF(Main[[#This Row],[Class]]="A",WORKDAY(Main[[#This Row],[Tech Start Date]],9),""))))</f>
        <v/>
      </c>
      <c r="Q843" s="67"/>
      <c r="R843" s="67"/>
      <c r="S843" s="65" t="s">
        <v>11</v>
      </c>
      <c r="T843" s="70" t="s">
        <v>4</v>
      </c>
      <c r="U843" s="65" t="s">
        <v>12</v>
      </c>
      <c r="V843" s="65" t="s">
        <v>1918</v>
      </c>
      <c r="W843" s="65" t="s">
        <v>4</v>
      </c>
      <c r="X843" s="65" t="s">
        <v>2868</v>
      </c>
      <c r="Y843" s="65" t="s">
        <v>4</v>
      </c>
      <c r="Z843" s="65" t="s">
        <v>4</v>
      </c>
      <c r="AA843" s="65" t="s">
        <v>4</v>
      </c>
    </row>
    <row r="844" spans="1:27" ht="17.45" customHeight="1">
      <c r="A844" s="131" t="str">
        <f>IF(priority(Main[[#This Row],[Comments]])&lt;&gt;0, priority(Main[[#This Row],[Comments]]),"")</f>
        <v/>
      </c>
      <c r="B844" s="99" t="s">
        <v>1651</v>
      </c>
      <c r="C844" s="65" t="s">
        <v>4</v>
      </c>
      <c r="D844" s="66" t="s">
        <v>717</v>
      </c>
      <c r="E844" s="67">
        <v>40715.129143518519</v>
      </c>
      <c r="F844" s="67"/>
      <c r="G844" s="64" t="str">
        <f>IF(stdProdLT(Main[[#This Row],[Comments]])=0.1,"N/A",IF(stdProdLT(Main[[#This Row],[Comments]])=0,"",stdProdLT(Main[[#This Row],[Comments]])))</f>
        <v/>
      </c>
      <c r="H844" s="68" t="str">
        <f>IF(AND(Main[[#This Row],[In Stock Date]]&lt;&gt;"",Main[[#This Row],[Revised Due Date]]&lt;&gt;""),Main[[#This Row],[In Stock Date]]-Main[[#This Row],[Revised Due Date]],"")</f>
        <v/>
      </c>
      <c r="I844" s="65" t="s">
        <v>4</v>
      </c>
      <c r="J844" s="65" t="s">
        <v>4</v>
      </c>
      <c r="K844" s="65" t="s">
        <v>4</v>
      </c>
      <c r="L844" s="67"/>
      <c r="M844" s="69" t="str">
        <f>IF(Main[[#This Row],[Tech Start Date]]&lt;1/1/1990,"",IF(Main[[#This Row],[Class]]="C",WORKDAY(Main[[#This Row],[Tech Start Date]],9),IF(Main[[#This Row],[Class]]="B", WORKDAY(Main[[#This Row],[Tech Start Date]],6),IF(Main[[#This Row],[Class]]="A",WORKDAY(Main[[#This Row],[Tech Start Date]],2),""))))</f>
        <v/>
      </c>
      <c r="N844" s="69" t="str">
        <f>IF(Main[[#This Row],[Tech Start Date]]&lt;1/1/1990,"",IF(Main[[#This Row],[Class]]="C",WORKDAY(Main[[#This Row],[Tech Start Date]],19),IF(Main[[#This Row],[Class]]="B", WORKDAY(Main[[#This Row],[Tech Start Date]],12),IF(Main[[#This Row],[Class]]="A",WORKDAY(Main[[#This Row],[Tech Start Date]],4),""))))</f>
        <v/>
      </c>
      <c r="O844" s="69" t="str">
        <f>IF(Main[[#This Row],[Tech Start Date]]&lt;1/1/1990,"",IF(Main[[#This Row],[Class]]="C",WORKDAY(Main[[#This Row],[Tech Start Date]],23),IF(Main[[#This Row],[Class]]="B", WORKDAY(Main[[#This Row],[Tech Start Date]],15),IF(Main[[#This Row],[Class]]="A",WORKDAY(Main[[#This Row],[Tech Start Date]],5),""))))</f>
        <v/>
      </c>
      <c r="P844" s="69" t="str">
        <f>IF(Main[[#This Row],[Tech Start Date]]&lt;1/1/1990,"",IF(Main[[#This Row],[Class]]="C",WORKDAY(Main[[#This Row],[Tech Start Date]],28),IF(Main[[#This Row],[Class]]="B", WORKDAY(Main[[#This Row],[Tech Start Date]],19),IF(Main[[#This Row],[Class]]="A",WORKDAY(Main[[#This Row],[Tech Start Date]],9),""))))</f>
        <v/>
      </c>
      <c r="Q844" s="67">
        <v>40717</v>
      </c>
      <c r="R844" s="67"/>
      <c r="S844" s="65" t="s">
        <v>49</v>
      </c>
      <c r="T844" s="70" t="s">
        <v>4</v>
      </c>
      <c r="U844" s="65" t="s">
        <v>7</v>
      </c>
      <c r="V844" s="65" t="s">
        <v>1918</v>
      </c>
      <c r="W844" s="65" t="s">
        <v>1921</v>
      </c>
      <c r="X844" s="65" t="s">
        <v>2863</v>
      </c>
      <c r="Y844" s="65" t="s">
        <v>3004</v>
      </c>
      <c r="Z844" s="65" t="s">
        <v>4</v>
      </c>
      <c r="AA844" s="65" t="s">
        <v>2863</v>
      </c>
    </row>
    <row r="845" spans="1:27" ht="17.45" customHeight="1">
      <c r="A845" s="131" t="str">
        <f>IF(priority(Main[[#This Row],[Comments]])&lt;&gt;0, priority(Main[[#This Row],[Comments]]),"")</f>
        <v/>
      </c>
      <c r="B845" s="99" t="s">
        <v>2107</v>
      </c>
      <c r="C845" s="65" t="s">
        <v>4</v>
      </c>
      <c r="D845" s="66" t="s">
        <v>2108</v>
      </c>
      <c r="E845" s="67">
        <v>40770.430092592593</v>
      </c>
      <c r="F845" s="67"/>
      <c r="G845" s="64" t="str">
        <f>IF(stdProdLT(Main[[#This Row],[Comments]])=0.1,"N/A",IF(stdProdLT(Main[[#This Row],[Comments]])=0,"",stdProdLT(Main[[#This Row],[Comments]])))</f>
        <v/>
      </c>
      <c r="H845" s="68" t="str">
        <f>IF(AND(Main[[#This Row],[In Stock Date]]&lt;&gt;"",Main[[#This Row],[Revised Due Date]]&lt;&gt;""),Main[[#This Row],[In Stock Date]]-Main[[#This Row],[Revised Due Date]],"")</f>
        <v/>
      </c>
      <c r="I845" s="65" t="s">
        <v>4</v>
      </c>
      <c r="J845" s="65" t="s">
        <v>4</v>
      </c>
      <c r="K845" s="65" t="s">
        <v>4</v>
      </c>
      <c r="L845" s="67"/>
      <c r="M845" s="69" t="str">
        <f>IF(Main[[#This Row],[Tech Start Date]]&lt;1/1/1990,"",IF(Main[[#This Row],[Class]]="C",WORKDAY(Main[[#This Row],[Tech Start Date]],9),IF(Main[[#This Row],[Class]]="B", WORKDAY(Main[[#This Row],[Tech Start Date]],6),IF(Main[[#This Row],[Class]]="A",WORKDAY(Main[[#This Row],[Tech Start Date]],2),""))))</f>
        <v/>
      </c>
      <c r="N845" s="69" t="str">
        <f>IF(Main[[#This Row],[Tech Start Date]]&lt;1/1/1990,"",IF(Main[[#This Row],[Class]]="C",WORKDAY(Main[[#This Row],[Tech Start Date]],19),IF(Main[[#This Row],[Class]]="B", WORKDAY(Main[[#This Row],[Tech Start Date]],12),IF(Main[[#This Row],[Class]]="A",WORKDAY(Main[[#This Row],[Tech Start Date]],4),""))))</f>
        <v/>
      </c>
      <c r="O845" s="69" t="str">
        <f>IF(Main[[#This Row],[Tech Start Date]]&lt;1/1/1990,"",IF(Main[[#This Row],[Class]]="C",WORKDAY(Main[[#This Row],[Tech Start Date]],23),IF(Main[[#This Row],[Class]]="B", WORKDAY(Main[[#This Row],[Tech Start Date]],15),IF(Main[[#This Row],[Class]]="A",WORKDAY(Main[[#This Row],[Tech Start Date]],5),""))))</f>
        <v/>
      </c>
      <c r="P845" s="69" t="str">
        <f>IF(Main[[#This Row],[Tech Start Date]]&lt;1/1/1990,"",IF(Main[[#This Row],[Class]]="C",WORKDAY(Main[[#This Row],[Tech Start Date]],28),IF(Main[[#This Row],[Class]]="B", WORKDAY(Main[[#This Row],[Tech Start Date]],19),IF(Main[[#This Row],[Class]]="A",WORKDAY(Main[[#This Row],[Tech Start Date]],9),""))))</f>
        <v/>
      </c>
      <c r="Q845" s="67">
        <v>40791</v>
      </c>
      <c r="R845" s="67"/>
      <c r="S845" s="65" t="s">
        <v>6</v>
      </c>
      <c r="T845" s="70" t="s">
        <v>4</v>
      </c>
      <c r="U845" s="65" t="s">
        <v>7</v>
      </c>
      <c r="V845" s="65" t="s">
        <v>1917</v>
      </c>
      <c r="W845" s="65" t="s">
        <v>4</v>
      </c>
      <c r="X845" s="65" t="s">
        <v>2828</v>
      </c>
      <c r="Y845" s="65" t="s">
        <v>2944</v>
      </c>
      <c r="Z845" s="65" t="s">
        <v>4</v>
      </c>
      <c r="AA845" s="65" t="s">
        <v>2828</v>
      </c>
    </row>
    <row r="846" spans="1:27" ht="17.45" customHeight="1">
      <c r="A846" s="131" t="str">
        <f>IF(priority(Main[[#This Row],[Comments]])&lt;&gt;0, priority(Main[[#This Row],[Comments]]),"")</f>
        <v/>
      </c>
      <c r="B846" s="99" t="s">
        <v>3622</v>
      </c>
      <c r="C846" s="65" t="s">
        <v>2755</v>
      </c>
      <c r="D846" s="66" t="s">
        <v>3623</v>
      </c>
      <c r="E846" s="67">
        <v>40967.720405092594</v>
      </c>
      <c r="F846" s="67">
        <v>41030</v>
      </c>
      <c r="G846" s="64" t="str">
        <f>IF(stdProdLT(Main[[#This Row],[Comments]])=0.1,"N/A",IF(stdProdLT(Main[[#This Row],[Comments]])=0,"",stdProdLT(Main[[#This Row],[Comments]])))</f>
        <v/>
      </c>
      <c r="H846" s="68" t="str">
        <f>IF(AND(Main[[#This Row],[In Stock Date]]&lt;&gt;"",Main[[#This Row],[Revised Due Date]]&lt;&gt;""),Main[[#This Row],[In Stock Date]]-Main[[#This Row],[Revised Due Date]],"")</f>
        <v/>
      </c>
      <c r="I846" s="65" t="s">
        <v>4</v>
      </c>
      <c r="J846" s="65" t="s">
        <v>4</v>
      </c>
      <c r="K846" s="65" t="s">
        <v>4</v>
      </c>
      <c r="L846" s="67"/>
      <c r="M846" s="69" t="str">
        <f>IF(Main[[#This Row],[Tech Start Date]]&lt;1/1/1990,"",IF(Main[[#This Row],[Class]]="C",WORKDAY(Main[[#This Row],[Tech Start Date]],9),IF(Main[[#This Row],[Class]]="B", WORKDAY(Main[[#This Row],[Tech Start Date]],6),IF(Main[[#This Row],[Class]]="A",WORKDAY(Main[[#This Row],[Tech Start Date]],2),""))))</f>
        <v/>
      </c>
      <c r="N846" s="69" t="str">
        <f>IF(Main[[#This Row],[Tech Start Date]]&lt;1/1/1990,"",IF(Main[[#This Row],[Class]]="C",WORKDAY(Main[[#This Row],[Tech Start Date]],19),IF(Main[[#This Row],[Class]]="B", WORKDAY(Main[[#This Row],[Tech Start Date]],12),IF(Main[[#This Row],[Class]]="A",WORKDAY(Main[[#This Row],[Tech Start Date]],4),""))))</f>
        <v/>
      </c>
      <c r="O846" s="69" t="str">
        <f>IF(Main[[#This Row],[Tech Start Date]]&lt;1/1/1990,"",IF(Main[[#This Row],[Class]]="C",WORKDAY(Main[[#This Row],[Tech Start Date]],23),IF(Main[[#This Row],[Class]]="B", WORKDAY(Main[[#This Row],[Tech Start Date]],15),IF(Main[[#This Row],[Class]]="A",WORKDAY(Main[[#This Row],[Tech Start Date]],5),""))))</f>
        <v/>
      </c>
      <c r="P846" s="69" t="str">
        <f>IF(Main[[#This Row],[Tech Start Date]]&lt;1/1/1990,"",IF(Main[[#This Row],[Class]]="C",WORKDAY(Main[[#This Row],[Tech Start Date]],28),IF(Main[[#This Row],[Class]]="B", WORKDAY(Main[[#This Row],[Tech Start Date]],19),IF(Main[[#This Row],[Class]]="A",WORKDAY(Main[[#This Row],[Tech Start Date]],9),""))))</f>
        <v/>
      </c>
      <c r="Q846" s="67"/>
      <c r="R846" s="67"/>
      <c r="S846" s="65" t="s">
        <v>11</v>
      </c>
      <c r="T846" s="70" t="s">
        <v>4</v>
      </c>
      <c r="U846" s="65" t="s">
        <v>7</v>
      </c>
      <c r="V846" s="65" t="s">
        <v>1920</v>
      </c>
      <c r="W846" s="65" t="s">
        <v>1925</v>
      </c>
      <c r="X846" s="65" t="s">
        <v>50</v>
      </c>
      <c r="Y846" s="65" t="s">
        <v>3624</v>
      </c>
      <c r="Z846" s="65" t="s">
        <v>4</v>
      </c>
      <c r="AA846" s="65" t="s">
        <v>3461</v>
      </c>
    </row>
    <row r="847" spans="1:27" ht="17.45" customHeight="1">
      <c r="A847" s="131" t="str">
        <f>IF(priority(Main[[#This Row],[Comments]])&lt;&gt;0, priority(Main[[#This Row],[Comments]]),"")</f>
        <v/>
      </c>
      <c r="B847" s="99" t="s">
        <v>1652</v>
      </c>
      <c r="C847" s="65" t="s">
        <v>4</v>
      </c>
      <c r="D847" s="66" t="s">
        <v>718</v>
      </c>
      <c r="E847" s="67">
        <v>40651.462372685186</v>
      </c>
      <c r="F847" s="67"/>
      <c r="G847" s="64" t="str">
        <f>IF(stdProdLT(Main[[#This Row],[Comments]])=0.1,"N/A",IF(stdProdLT(Main[[#This Row],[Comments]])=0,"",stdProdLT(Main[[#This Row],[Comments]])))</f>
        <v/>
      </c>
      <c r="H847" s="68" t="str">
        <f>IF(AND(Main[[#This Row],[In Stock Date]]&lt;&gt;"",Main[[#This Row],[Revised Due Date]]&lt;&gt;""),Main[[#This Row],[In Stock Date]]-Main[[#This Row],[Revised Due Date]],"")</f>
        <v/>
      </c>
      <c r="I847" s="65" t="s">
        <v>30</v>
      </c>
      <c r="J847" s="65" t="s">
        <v>28</v>
      </c>
      <c r="K847" s="65" t="s">
        <v>1926</v>
      </c>
      <c r="L847" s="67"/>
      <c r="M847" s="69" t="str">
        <f>IF(Main[[#This Row],[Tech Start Date]]&lt;1/1/1990,"",IF(Main[[#This Row],[Class]]="C",WORKDAY(Main[[#This Row],[Tech Start Date]],9),IF(Main[[#This Row],[Class]]="B", WORKDAY(Main[[#This Row],[Tech Start Date]],6),IF(Main[[#This Row],[Class]]="A",WORKDAY(Main[[#This Row],[Tech Start Date]],2),""))))</f>
        <v/>
      </c>
      <c r="N847" s="69" t="str">
        <f>IF(Main[[#This Row],[Tech Start Date]]&lt;1/1/1990,"",IF(Main[[#This Row],[Class]]="C",WORKDAY(Main[[#This Row],[Tech Start Date]],19),IF(Main[[#This Row],[Class]]="B", WORKDAY(Main[[#This Row],[Tech Start Date]],12),IF(Main[[#This Row],[Class]]="A",WORKDAY(Main[[#This Row],[Tech Start Date]],4),""))))</f>
        <v/>
      </c>
      <c r="O847" s="69" t="str">
        <f>IF(Main[[#This Row],[Tech Start Date]]&lt;1/1/1990,"",IF(Main[[#This Row],[Class]]="C",WORKDAY(Main[[#This Row],[Tech Start Date]],23),IF(Main[[#This Row],[Class]]="B", WORKDAY(Main[[#This Row],[Tech Start Date]],15),IF(Main[[#This Row],[Class]]="A",WORKDAY(Main[[#This Row],[Tech Start Date]],5),""))))</f>
        <v/>
      </c>
      <c r="P847" s="69" t="str">
        <f>IF(Main[[#This Row],[Tech Start Date]]&lt;1/1/1990,"",IF(Main[[#This Row],[Class]]="C",WORKDAY(Main[[#This Row],[Tech Start Date]],28),IF(Main[[#This Row],[Class]]="B", WORKDAY(Main[[#This Row],[Tech Start Date]],19),IF(Main[[#This Row],[Class]]="A",WORKDAY(Main[[#This Row],[Tech Start Date]],9),""))))</f>
        <v/>
      </c>
      <c r="Q847" s="67">
        <v>40694</v>
      </c>
      <c r="R847" s="67"/>
      <c r="S847" s="65" t="s">
        <v>6</v>
      </c>
      <c r="T847" s="70" t="s">
        <v>4</v>
      </c>
      <c r="U847" s="65" t="s">
        <v>29</v>
      </c>
      <c r="V847" s="65" t="s">
        <v>1920</v>
      </c>
      <c r="W847" s="65" t="s">
        <v>1921</v>
      </c>
      <c r="X847" s="65" t="s">
        <v>30</v>
      </c>
      <c r="Y847" s="65" t="s">
        <v>2963</v>
      </c>
      <c r="Z847" s="65" t="s">
        <v>30</v>
      </c>
      <c r="AA847" s="65" t="s">
        <v>30</v>
      </c>
    </row>
    <row r="848" spans="1:27" ht="17.45" customHeight="1">
      <c r="A848" s="131" t="str">
        <f>IF(priority(Main[[#This Row],[Comments]])&lt;&gt;0, priority(Main[[#This Row],[Comments]]),"")</f>
        <v/>
      </c>
      <c r="B848" s="99" t="s">
        <v>2726</v>
      </c>
      <c r="C848" s="65" t="s">
        <v>2727</v>
      </c>
      <c r="D848" s="66" t="s">
        <v>3625</v>
      </c>
      <c r="E848" s="67">
        <v>40939.438969907409</v>
      </c>
      <c r="F848" s="67">
        <v>41061</v>
      </c>
      <c r="G848" s="64">
        <f>IF(stdProdLT(Main[[#This Row],[Comments]])=0.1,"N/A",IF(stdProdLT(Main[[#This Row],[Comments]])=0,"",stdProdLT(Main[[#This Row],[Comments]])))</f>
        <v>168</v>
      </c>
      <c r="H848" s="68" t="str">
        <f>IF(AND(Main[[#This Row],[In Stock Date]]&lt;&gt;"",Main[[#This Row],[Revised Due Date]]&lt;&gt;""),Main[[#This Row],[In Stock Date]]-Main[[#This Row],[Revised Due Date]],"")</f>
        <v/>
      </c>
      <c r="I848" s="65" t="s">
        <v>4</v>
      </c>
      <c r="J848" s="65" t="s">
        <v>4</v>
      </c>
      <c r="K848" s="65" t="s">
        <v>4</v>
      </c>
      <c r="L848" s="67"/>
      <c r="M848" s="69" t="str">
        <f>IF(Main[[#This Row],[Tech Start Date]]&lt;1/1/1990,"",IF(Main[[#This Row],[Class]]="C",WORKDAY(Main[[#This Row],[Tech Start Date]],9),IF(Main[[#This Row],[Class]]="B", WORKDAY(Main[[#This Row],[Tech Start Date]],6),IF(Main[[#This Row],[Class]]="A",WORKDAY(Main[[#This Row],[Tech Start Date]],2),""))))</f>
        <v/>
      </c>
      <c r="N848" s="69" t="str">
        <f>IF(Main[[#This Row],[Tech Start Date]]&lt;1/1/1990,"",IF(Main[[#This Row],[Class]]="C",WORKDAY(Main[[#This Row],[Tech Start Date]],19),IF(Main[[#This Row],[Class]]="B", WORKDAY(Main[[#This Row],[Tech Start Date]],12),IF(Main[[#This Row],[Class]]="A",WORKDAY(Main[[#This Row],[Tech Start Date]],4),""))))</f>
        <v/>
      </c>
      <c r="O848" s="69" t="str">
        <f>IF(Main[[#This Row],[Tech Start Date]]&lt;1/1/1990,"",IF(Main[[#This Row],[Class]]="C",WORKDAY(Main[[#This Row],[Tech Start Date]],23),IF(Main[[#This Row],[Class]]="B", WORKDAY(Main[[#This Row],[Tech Start Date]],15),IF(Main[[#This Row],[Class]]="A",WORKDAY(Main[[#This Row],[Tech Start Date]],5),""))))</f>
        <v/>
      </c>
      <c r="P848" s="69" t="str">
        <f>IF(Main[[#This Row],[Tech Start Date]]&lt;1/1/1990,"",IF(Main[[#This Row],[Class]]="C",WORKDAY(Main[[#This Row],[Tech Start Date]],28),IF(Main[[#This Row],[Class]]="B", WORKDAY(Main[[#This Row],[Tech Start Date]],19),IF(Main[[#This Row],[Class]]="A",WORKDAY(Main[[#This Row],[Tech Start Date]],9),""))))</f>
        <v/>
      </c>
      <c r="Q848" s="67"/>
      <c r="R848" s="67"/>
      <c r="S848" s="65" t="s">
        <v>11</v>
      </c>
      <c r="T848" s="70" t="s">
        <v>3626</v>
      </c>
      <c r="U848" s="65" t="s">
        <v>696</v>
      </c>
      <c r="V848" s="65" t="s">
        <v>1920</v>
      </c>
      <c r="W848" s="65" t="s">
        <v>1922</v>
      </c>
      <c r="X848" s="65" t="s">
        <v>2899</v>
      </c>
      <c r="Y848" s="65" t="s">
        <v>3061</v>
      </c>
      <c r="Z848" s="65" t="s">
        <v>4</v>
      </c>
      <c r="AA848" s="65" t="s">
        <v>2899</v>
      </c>
    </row>
    <row r="849" spans="1:27" ht="17.45" customHeight="1">
      <c r="A849" s="131" t="str">
        <f>IF(priority(Main[[#This Row],[Comments]])&lt;&gt;0, priority(Main[[#This Row],[Comments]]),"")</f>
        <v/>
      </c>
      <c r="B849" s="99" t="s">
        <v>2065</v>
      </c>
      <c r="C849" s="65" t="s">
        <v>4</v>
      </c>
      <c r="D849" s="66" t="s">
        <v>2066</v>
      </c>
      <c r="E849" s="67">
        <v>40759.465995370374</v>
      </c>
      <c r="F849" s="67"/>
      <c r="G849" s="64" t="str">
        <f>IF(stdProdLT(Main[[#This Row],[Comments]])=0.1,"N/A",IF(stdProdLT(Main[[#This Row],[Comments]])=0,"",stdProdLT(Main[[#This Row],[Comments]])))</f>
        <v/>
      </c>
      <c r="H849" s="68" t="str">
        <f>IF(AND(Main[[#This Row],[In Stock Date]]&lt;&gt;"",Main[[#This Row],[Revised Due Date]]&lt;&gt;""),Main[[#This Row],[In Stock Date]]-Main[[#This Row],[Revised Due Date]],"")</f>
        <v/>
      </c>
      <c r="I849" s="65" t="s">
        <v>914</v>
      </c>
      <c r="J849" s="65" t="s">
        <v>52</v>
      </c>
      <c r="K849" s="65" t="s">
        <v>4</v>
      </c>
      <c r="L849" s="67"/>
      <c r="M849" s="69" t="str">
        <f>IF(Main[[#This Row],[Tech Start Date]]&lt;1/1/1990,"",IF(Main[[#This Row],[Class]]="C",WORKDAY(Main[[#This Row],[Tech Start Date]],9),IF(Main[[#This Row],[Class]]="B", WORKDAY(Main[[#This Row],[Tech Start Date]],6),IF(Main[[#This Row],[Class]]="A",WORKDAY(Main[[#This Row],[Tech Start Date]],2),""))))</f>
        <v/>
      </c>
      <c r="N849" s="69" t="str">
        <f>IF(Main[[#This Row],[Tech Start Date]]&lt;1/1/1990,"",IF(Main[[#This Row],[Class]]="C",WORKDAY(Main[[#This Row],[Tech Start Date]],19),IF(Main[[#This Row],[Class]]="B", WORKDAY(Main[[#This Row],[Tech Start Date]],12),IF(Main[[#This Row],[Class]]="A",WORKDAY(Main[[#This Row],[Tech Start Date]],4),""))))</f>
        <v/>
      </c>
      <c r="O849" s="69" t="str">
        <f>IF(Main[[#This Row],[Tech Start Date]]&lt;1/1/1990,"",IF(Main[[#This Row],[Class]]="C",WORKDAY(Main[[#This Row],[Tech Start Date]],23),IF(Main[[#This Row],[Class]]="B", WORKDAY(Main[[#This Row],[Tech Start Date]],15),IF(Main[[#This Row],[Class]]="A",WORKDAY(Main[[#This Row],[Tech Start Date]],5),""))))</f>
        <v/>
      </c>
      <c r="P849" s="69" t="str">
        <f>IF(Main[[#This Row],[Tech Start Date]]&lt;1/1/1990,"",IF(Main[[#This Row],[Class]]="C",WORKDAY(Main[[#This Row],[Tech Start Date]],28),IF(Main[[#This Row],[Class]]="B", WORKDAY(Main[[#This Row],[Tech Start Date]],19),IF(Main[[#This Row],[Class]]="A",WORKDAY(Main[[#This Row],[Tech Start Date]],9),""))))</f>
        <v/>
      </c>
      <c r="Q849" s="67"/>
      <c r="R849" s="67"/>
      <c r="S849" s="65" t="s">
        <v>6</v>
      </c>
      <c r="T849" s="70" t="s">
        <v>4</v>
      </c>
      <c r="U849" s="65" t="s">
        <v>29</v>
      </c>
      <c r="V849" s="65" t="s">
        <v>1917</v>
      </c>
      <c r="W849" s="65" t="s">
        <v>1921</v>
      </c>
      <c r="X849" s="65" t="s">
        <v>914</v>
      </c>
      <c r="Y849" s="65" t="s">
        <v>3063</v>
      </c>
      <c r="Z849" s="65" t="s">
        <v>4</v>
      </c>
      <c r="AA849" s="65" t="s">
        <v>914</v>
      </c>
    </row>
    <row r="850" spans="1:27" ht="17.45" customHeight="1">
      <c r="A850" s="131" t="str">
        <f>IF(priority(Main[[#This Row],[Comments]])&lt;&gt;0, priority(Main[[#This Row],[Comments]]),"")</f>
        <v/>
      </c>
      <c r="B850" s="99" t="s">
        <v>1653</v>
      </c>
      <c r="C850" s="65" t="s">
        <v>33</v>
      </c>
      <c r="D850" s="66" t="s">
        <v>719</v>
      </c>
      <c r="E850" s="67"/>
      <c r="F850" s="67">
        <v>40530</v>
      </c>
      <c r="G850" s="64" t="str">
        <f>IF(stdProdLT(Main[[#This Row],[Comments]])=0.1,"N/A",IF(stdProdLT(Main[[#This Row],[Comments]])=0,"",stdProdLT(Main[[#This Row],[Comments]])))</f>
        <v/>
      </c>
      <c r="H850" s="68" t="str">
        <f>IF(AND(Main[[#This Row],[In Stock Date]]&lt;&gt;"",Main[[#This Row],[Revised Due Date]]&lt;&gt;""),Main[[#This Row],[In Stock Date]]-Main[[#This Row],[Revised Due Date]],"")</f>
        <v/>
      </c>
      <c r="I850" s="65" t="s">
        <v>74</v>
      </c>
      <c r="J850" s="65" t="s">
        <v>28</v>
      </c>
      <c r="K850" s="65" t="s">
        <v>1929</v>
      </c>
      <c r="L850" s="67"/>
      <c r="M850" s="69" t="str">
        <f>IF(Main[[#This Row],[Tech Start Date]]&lt;1/1/1990,"",IF(Main[[#This Row],[Class]]="C",WORKDAY(Main[[#This Row],[Tech Start Date]],9),IF(Main[[#This Row],[Class]]="B", WORKDAY(Main[[#This Row],[Tech Start Date]],6),IF(Main[[#This Row],[Class]]="A",WORKDAY(Main[[#This Row],[Tech Start Date]],2),""))))</f>
        <v/>
      </c>
      <c r="N850" s="69" t="str">
        <f>IF(Main[[#This Row],[Tech Start Date]]&lt;1/1/1990,"",IF(Main[[#This Row],[Class]]="C",WORKDAY(Main[[#This Row],[Tech Start Date]],19),IF(Main[[#This Row],[Class]]="B", WORKDAY(Main[[#This Row],[Tech Start Date]],12),IF(Main[[#This Row],[Class]]="A",WORKDAY(Main[[#This Row],[Tech Start Date]],4),""))))</f>
        <v/>
      </c>
      <c r="O850" s="69" t="str">
        <f>IF(Main[[#This Row],[Tech Start Date]]&lt;1/1/1990,"",IF(Main[[#This Row],[Class]]="C",WORKDAY(Main[[#This Row],[Tech Start Date]],23),IF(Main[[#This Row],[Class]]="B", WORKDAY(Main[[#This Row],[Tech Start Date]],15),IF(Main[[#This Row],[Class]]="A",WORKDAY(Main[[#This Row],[Tech Start Date]],5),""))))</f>
        <v/>
      </c>
      <c r="P850" s="69" t="str">
        <f>IF(Main[[#This Row],[Tech Start Date]]&lt;1/1/1990,"",IF(Main[[#This Row],[Class]]="C",WORKDAY(Main[[#This Row],[Tech Start Date]],28),IF(Main[[#This Row],[Class]]="B", WORKDAY(Main[[#This Row],[Tech Start Date]],19),IF(Main[[#This Row],[Class]]="A",WORKDAY(Main[[#This Row],[Tech Start Date]],9),""))))</f>
        <v/>
      </c>
      <c r="Q850" s="67">
        <v>40390</v>
      </c>
      <c r="R850" s="67"/>
      <c r="S850" s="65" t="s">
        <v>17</v>
      </c>
      <c r="T850" s="70" t="s">
        <v>4</v>
      </c>
      <c r="U850" s="65" t="s">
        <v>14</v>
      </c>
      <c r="V850" s="65" t="s">
        <v>1920</v>
      </c>
      <c r="W850" s="65" t="s">
        <v>1922</v>
      </c>
      <c r="X850" s="65" t="s">
        <v>2832</v>
      </c>
      <c r="Y850" s="65" t="s">
        <v>4</v>
      </c>
      <c r="Z850" s="65" t="s">
        <v>74</v>
      </c>
      <c r="AA850" s="65" t="s">
        <v>2832</v>
      </c>
    </row>
    <row r="851" spans="1:27" ht="17.45" customHeight="1">
      <c r="A851" s="131" t="str">
        <f>IF(priority(Main[[#This Row],[Comments]])&lt;&gt;0, priority(Main[[#This Row],[Comments]]),"")</f>
        <v/>
      </c>
      <c r="B851" s="99" t="s">
        <v>1654</v>
      </c>
      <c r="C851" s="65" t="s">
        <v>4</v>
      </c>
      <c r="D851" s="66" t="s">
        <v>537</v>
      </c>
      <c r="E851" s="67"/>
      <c r="F851" s="67"/>
      <c r="G851" s="64" t="str">
        <f>IF(stdProdLT(Main[[#This Row],[Comments]])=0.1,"N/A",IF(stdProdLT(Main[[#This Row],[Comments]])=0,"",stdProdLT(Main[[#This Row],[Comments]])))</f>
        <v/>
      </c>
      <c r="H851" s="68" t="str">
        <f>IF(AND(Main[[#This Row],[In Stock Date]]&lt;&gt;"",Main[[#This Row],[Revised Due Date]]&lt;&gt;""),Main[[#This Row],[In Stock Date]]-Main[[#This Row],[Revised Due Date]],"")</f>
        <v/>
      </c>
      <c r="I851" s="65" t="s">
        <v>4</v>
      </c>
      <c r="J851" s="65" t="s">
        <v>4</v>
      </c>
      <c r="K851" s="65" t="s">
        <v>4</v>
      </c>
      <c r="L851" s="67"/>
      <c r="M851" s="69" t="str">
        <f>IF(Main[[#This Row],[Tech Start Date]]&lt;1/1/1990,"",IF(Main[[#This Row],[Class]]="C",WORKDAY(Main[[#This Row],[Tech Start Date]],9),IF(Main[[#This Row],[Class]]="B", WORKDAY(Main[[#This Row],[Tech Start Date]],6),IF(Main[[#This Row],[Class]]="A",WORKDAY(Main[[#This Row],[Tech Start Date]],2),""))))</f>
        <v/>
      </c>
      <c r="N851" s="69" t="str">
        <f>IF(Main[[#This Row],[Tech Start Date]]&lt;1/1/1990,"",IF(Main[[#This Row],[Class]]="C",WORKDAY(Main[[#This Row],[Tech Start Date]],19),IF(Main[[#This Row],[Class]]="B", WORKDAY(Main[[#This Row],[Tech Start Date]],12),IF(Main[[#This Row],[Class]]="A",WORKDAY(Main[[#This Row],[Tech Start Date]],4),""))))</f>
        <v/>
      </c>
      <c r="O851" s="69" t="str">
        <f>IF(Main[[#This Row],[Tech Start Date]]&lt;1/1/1990,"",IF(Main[[#This Row],[Class]]="C",WORKDAY(Main[[#This Row],[Tech Start Date]],23),IF(Main[[#This Row],[Class]]="B", WORKDAY(Main[[#This Row],[Tech Start Date]],15),IF(Main[[#This Row],[Class]]="A",WORKDAY(Main[[#This Row],[Tech Start Date]],5),""))))</f>
        <v/>
      </c>
      <c r="P851" s="69" t="str">
        <f>IF(Main[[#This Row],[Tech Start Date]]&lt;1/1/1990,"",IF(Main[[#This Row],[Class]]="C",WORKDAY(Main[[#This Row],[Tech Start Date]],28),IF(Main[[#This Row],[Class]]="B", WORKDAY(Main[[#This Row],[Tech Start Date]],19),IF(Main[[#This Row],[Class]]="A",WORKDAY(Main[[#This Row],[Tech Start Date]],9),""))))</f>
        <v/>
      </c>
      <c r="Q851" s="67">
        <v>40606</v>
      </c>
      <c r="R851" s="67"/>
      <c r="S851" s="65" t="s">
        <v>6</v>
      </c>
      <c r="T851" s="70" t="s">
        <v>4</v>
      </c>
      <c r="U851" s="65" t="s">
        <v>14</v>
      </c>
      <c r="V851" s="65" t="s">
        <v>1920</v>
      </c>
      <c r="W851" s="65" t="s">
        <v>1921</v>
      </c>
      <c r="X851" s="65" t="s">
        <v>2842</v>
      </c>
      <c r="Y851" s="65" t="s">
        <v>2971</v>
      </c>
      <c r="Z851" s="65" t="s">
        <v>4</v>
      </c>
      <c r="AA851" s="65" t="s">
        <v>2842</v>
      </c>
    </row>
    <row r="852" spans="1:27" ht="17.45" customHeight="1">
      <c r="A852" s="131" t="str">
        <f>IF(priority(Main[[#This Row],[Comments]])&lt;&gt;0, priority(Main[[#This Row],[Comments]]),"")</f>
        <v/>
      </c>
      <c r="B852" s="99" t="s">
        <v>1409</v>
      </c>
      <c r="C852" s="65" t="s">
        <v>4</v>
      </c>
      <c r="D852" s="66" t="s">
        <v>1953</v>
      </c>
      <c r="E852" s="67"/>
      <c r="F852" s="67"/>
      <c r="G852" s="64" t="str">
        <f>IF(stdProdLT(Main[[#This Row],[Comments]])=0.1,"N/A",IF(stdProdLT(Main[[#This Row],[Comments]])=0,"",stdProdLT(Main[[#This Row],[Comments]])))</f>
        <v/>
      </c>
      <c r="H852" s="68" t="str">
        <f>IF(AND(Main[[#This Row],[In Stock Date]]&lt;&gt;"",Main[[#This Row],[Revised Due Date]]&lt;&gt;""),Main[[#This Row],[In Stock Date]]-Main[[#This Row],[Revised Due Date]],"")</f>
        <v/>
      </c>
      <c r="I852" s="65" t="s">
        <v>4</v>
      </c>
      <c r="J852" s="65" t="s">
        <v>4</v>
      </c>
      <c r="K852" s="65" t="s">
        <v>4</v>
      </c>
      <c r="L852" s="67"/>
      <c r="M852" s="69" t="str">
        <f>IF(Main[[#This Row],[Tech Start Date]]&lt;1/1/1990,"",IF(Main[[#This Row],[Class]]="C",WORKDAY(Main[[#This Row],[Tech Start Date]],9),IF(Main[[#This Row],[Class]]="B", WORKDAY(Main[[#This Row],[Tech Start Date]],6),IF(Main[[#This Row],[Class]]="A",WORKDAY(Main[[#This Row],[Tech Start Date]],2),""))))</f>
        <v/>
      </c>
      <c r="N852" s="69" t="str">
        <f>IF(Main[[#This Row],[Tech Start Date]]&lt;1/1/1990,"",IF(Main[[#This Row],[Class]]="C",WORKDAY(Main[[#This Row],[Tech Start Date]],19),IF(Main[[#This Row],[Class]]="B", WORKDAY(Main[[#This Row],[Tech Start Date]],12),IF(Main[[#This Row],[Class]]="A",WORKDAY(Main[[#This Row],[Tech Start Date]],4),""))))</f>
        <v/>
      </c>
      <c r="O852" s="69" t="str">
        <f>IF(Main[[#This Row],[Tech Start Date]]&lt;1/1/1990,"",IF(Main[[#This Row],[Class]]="C",WORKDAY(Main[[#This Row],[Tech Start Date]],23),IF(Main[[#This Row],[Class]]="B", WORKDAY(Main[[#This Row],[Tech Start Date]],15),IF(Main[[#This Row],[Class]]="A",WORKDAY(Main[[#This Row],[Tech Start Date]],5),""))))</f>
        <v/>
      </c>
      <c r="P852" s="69" t="str">
        <f>IF(Main[[#This Row],[Tech Start Date]]&lt;1/1/1990,"",IF(Main[[#This Row],[Class]]="C",WORKDAY(Main[[#This Row],[Tech Start Date]],28),IF(Main[[#This Row],[Class]]="B", WORKDAY(Main[[#This Row],[Tech Start Date]],19),IF(Main[[#This Row],[Class]]="A",WORKDAY(Main[[#This Row],[Tech Start Date]],9),""))))</f>
        <v/>
      </c>
      <c r="Q852" s="67"/>
      <c r="R852" s="67"/>
      <c r="S852" s="65" t="s">
        <v>6</v>
      </c>
      <c r="T852" s="70" t="s">
        <v>4</v>
      </c>
      <c r="U852" s="65" t="s">
        <v>14</v>
      </c>
      <c r="V852" s="65" t="s">
        <v>1918</v>
      </c>
      <c r="W852" s="65" t="s">
        <v>1919</v>
      </c>
      <c r="X852" s="65" t="s">
        <v>924</v>
      </c>
      <c r="Y852" s="65" t="s">
        <v>3026</v>
      </c>
      <c r="Z852" s="65" t="s">
        <v>4</v>
      </c>
      <c r="AA852" s="65" t="s">
        <v>3415</v>
      </c>
    </row>
    <row r="853" spans="1:27" ht="17.45" customHeight="1">
      <c r="A853" s="131" t="str">
        <f>IF(priority(Main[[#This Row],[Comments]])&lt;&gt;0, priority(Main[[#This Row],[Comments]]),"")</f>
        <v/>
      </c>
      <c r="B853" s="99" t="s">
        <v>1655</v>
      </c>
      <c r="C853" s="65" t="s">
        <v>4</v>
      </c>
      <c r="D853" s="66" t="s">
        <v>720</v>
      </c>
      <c r="E853" s="67"/>
      <c r="F853" s="67">
        <v>40598</v>
      </c>
      <c r="G853" s="64" t="str">
        <f>IF(stdProdLT(Main[[#This Row],[Comments]])=0.1,"N/A",IF(stdProdLT(Main[[#This Row],[Comments]])=0,"",stdProdLT(Main[[#This Row],[Comments]])))</f>
        <v/>
      </c>
      <c r="H853" s="68" t="str">
        <f>IF(AND(Main[[#This Row],[In Stock Date]]&lt;&gt;"",Main[[#This Row],[Revised Due Date]]&lt;&gt;""),Main[[#This Row],[In Stock Date]]-Main[[#This Row],[Revised Due Date]],"")</f>
        <v/>
      </c>
      <c r="I853" s="65" t="s">
        <v>306</v>
      </c>
      <c r="J853" s="65" t="s">
        <v>75</v>
      </c>
      <c r="K853" s="65" t="s">
        <v>4</v>
      </c>
      <c r="L853" s="67"/>
      <c r="M853" s="69" t="str">
        <f>IF(Main[[#This Row],[Tech Start Date]]&lt;1/1/1990,"",IF(Main[[#This Row],[Class]]="C",WORKDAY(Main[[#This Row],[Tech Start Date]],9),IF(Main[[#This Row],[Class]]="B", WORKDAY(Main[[#This Row],[Tech Start Date]],6),IF(Main[[#This Row],[Class]]="A",WORKDAY(Main[[#This Row],[Tech Start Date]],2),""))))</f>
        <v/>
      </c>
      <c r="N853" s="69" t="str">
        <f>IF(Main[[#This Row],[Tech Start Date]]&lt;1/1/1990,"",IF(Main[[#This Row],[Class]]="C",WORKDAY(Main[[#This Row],[Tech Start Date]],19),IF(Main[[#This Row],[Class]]="B", WORKDAY(Main[[#This Row],[Tech Start Date]],12),IF(Main[[#This Row],[Class]]="A",WORKDAY(Main[[#This Row],[Tech Start Date]],4),""))))</f>
        <v/>
      </c>
      <c r="O853" s="69" t="str">
        <f>IF(Main[[#This Row],[Tech Start Date]]&lt;1/1/1990,"",IF(Main[[#This Row],[Class]]="C",WORKDAY(Main[[#This Row],[Tech Start Date]],23),IF(Main[[#This Row],[Class]]="B", WORKDAY(Main[[#This Row],[Tech Start Date]],15),IF(Main[[#This Row],[Class]]="A",WORKDAY(Main[[#This Row],[Tech Start Date]],5),""))))</f>
        <v/>
      </c>
      <c r="P853" s="69" t="str">
        <f>IF(Main[[#This Row],[Tech Start Date]]&lt;1/1/1990,"",IF(Main[[#This Row],[Class]]="C",WORKDAY(Main[[#This Row],[Tech Start Date]],28),IF(Main[[#This Row],[Class]]="B", WORKDAY(Main[[#This Row],[Tech Start Date]],19),IF(Main[[#This Row],[Class]]="A",WORKDAY(Main[[#This Row],[Tech Start Date]],9),""))))</f>
        <v/>
      </c>
      <c r="Q853" s="67">
        <v>40598</v>
      </c>
      <c r="R853" s="67"/>
      <c r="S853" s="65" t="s">
        <v>6</v>
      </c>
      <c r="T853" s="70" t="s">
        <v>4</v>
      </c>
      <c r="U853" s="65" t="s">
        <v>14</v>
      </c>
      <c r="V853" s="65" t="s">
        <v>1927</v>
      </c>
      <c r="W853" s="65" t="s">
        <v>1923</v>
      </c>
      <c r="X853" s="65" t="s">
        <v>2854</v>
      </c>
      <c r="Y853" s="65" t="s">
        <v>2985</v>
      </c>
      <c r="Z853" s="65" t="s">
        <v>306</v>
      </c>
      <c r="AA853" s="65" t="s">
        <v>2854</v>
      </c>
    </row>
    <row r="854" spans="1:27" ht="17.45" customHeight="1">
      <c r="A854" s="131" t="str">
        <f>IF(priority(Main[[#This Row],[Comments]])&lt;&gt;0, priority(Main[[#This Row],[Comments]]),"")</f>
        <v/>
      </c>
      <c r="B854" s="99" t="s">
        <v>1656</v>
      </c>
      <c r="C854" s="65" t="s">
        <v>347</v>
      </c>
      <c r="D854" s="66" t="s">
        <v>721</v>
      </c>
      <c r="E854" s="67"/>
      <c r="F854" s="67"/>
      <c r="G854" s="64" t="str">
        <f>IF(stdProdLT(Main[[#This Row],[Comments]])=0.1,"N/A",IF(stdProdLT(Main[[#This Row],[Comments]])=0,"",stdProdLT(Main[[#This Row],[Comments]])))</f>
        <v/>
      </c>
      <c r="H854" s="68" t="str">
        <f>IF(AND(Main[[#This Row],[In Stock Date]]&lt;&gt;"",Main[[#This Row],[Revised Due Date]]&lt;&gt;""),Main[[#This Row],[In Stock Date]]-Main[[#This Row],[Revised Due Date]],"")</f>
        <v/>
      </c>
      <c r="I854" s="65" t="s">
        <v>4</v>
      </c>
      <c r="J854" s="65" t="s">
        <v>28</v>
      </c>
      <c r="K854" s="65" t="s">
        <v>1929</v>
      </c>
      <c r="L854" s="67"/>
      <c r="M854" s="69" t="str">
        <f>IF(Main[[#This Row],[Tech Start Date]]&lt;1/1/1990,"",IF(Main[[#This Row],[Class]]="C",WORKDAY(Main[[#This Row],[Tech Start Date]],9),IF(Main[[#This Row],[Class]]="B", WORKDAY(Main[[#This Row],[Tech Start Date]],6),IF(Main[[#This Row],[Class]]="A",WORKDAY(Main[[#This Row],[Tech Start Date]],2),""))))</f>
        <v/>
      </c>
      <c r="N854" s="69" t="str">
        <f>IF(Main[[#This Row],[Tech Start Date]]&lt;1/1/1990,"",IF(Main[[#This Row],[Class]]="C",WORKDAY(Main[[#This Row],[Tech Start Date]],19),IF(Main[[#This Row],[Class]]="B", WORKDAY(Main[[#This Row],[Tech Start Date]],12),IF(Main[[#This Row],[Class]]="A",WORKDAY(Main[[#This Row],[Tech Start Date]],4),""))))</f>
        <v/>
      </c>
      <c r="O854" s="69" t="str">
        <f>IF(Main[[#This Row],[Tech Start Date]]&lt;1/1/1990,"",IF(Main[[#This Row],[Class]]="C",WORKDAY(Main[[#This Row],[Tech Start Date]],23),IF(Main[[#This Row],[Class]]="B", WORKDAY(Main[[#This Row],[Tech Start Date]],15),IF(Main[[#This Row],[Class]]="A",WORKDAY(Main[[#This Row],[Tech Start Date]],5),""))))</f>
        <v/>
      </c>
      <c r="P854" s="69" t="str">
        <f>IF(Main[[#This Row],[Tech Start Date]]&lt;1/1/1990,"",IF(Main[[#This Row],[Class]]="C",WORKDAY(Main[[#This Row],[Tech Start Date]],28),IF(Main[[#This Row],[Class]]="B", WORKDAY(Main[[#This Row],[Tech Start Date]],19),IF(Main[[#This Row],[Class]]="A",WORKDAY(Main[[#This Row],[Tech Start Date]],9),""))))</f>
        <v/>
      </c>
      <c r="Q854" s="67"/>
      <c r="R854" s="67"/>
      <c r="S854" s="65" t="s">
        <v>17</v>
      </c>
      <c r="T854" s="70" t="s">
        <v>4</v>
      </c>
      <c r="U854" s="65" t="s">
        <v>14</v>
      </c>
      <c r="V854" s="65" t="s">
        <v>1920</v>
      </c>
      <c r="W854" s="65" t="s">
        <v>1922</v>
      </c>
      <c r="X854" s="65" t="s">
        <v>50</v>
      </c>
      <c r="Y854" s="65" t="s">
        <v>3099</v>
      </c>
      <c r="Z854" s="65" t="s">
        <v>415</v>
      </c>
      <c r="AA854" s="65" t="s">
        <v>2878</v>
      </c>
    </row>
    <row r="855" spans="1:27" ht="17.45" customHeight="1">
      <c r="A855" s="131" t="str">
        <f>IF(priority(Main[[#This Row],[Comments]])&lt;&gt;0, priority(Main[[#This Row],[Comments]]),"")</f>
        <v/>
      </c>
      <c r="B855" s="99" t="s">
        <v>1658</v>
      </c>
      <c r="C855" s="65" t="s">
        <v>31</v>
      </c>
      <c r="D855" s="66" t="s">
        <v>388</v>
      </c>
      <c r="E855" s="67"/>
      <c r="F855" s="67">
        <v>40288</v>
      </c>
      <c r="G855" s="64" t="str">
        <f>IF(stdProdLT(Main[[#This Row],[Comments]])=0.1,"N/A",IF(stdProdLT(Main[[#This Row],[Comments]])=0,"",stdProdLT(Main[[#This Row],[Comments]])))</f>
        <v/>
      </c>
      <c r="H855" s="68" t="str">
        <f>IF(AND(Main[[#This Row],[In Stock Date]]&lt;&gt;"",Main[[#This Row],[Revised Due Date]]&lt;&gt;""),Main[[#This Row],[In Stock Date]]-Main[[#This Row],[Revised Due Date]],"")</f>
        <v/>
      </c>
      <c r="I855" s="65" t="s">
        <v>4</v>
      </c>
      <c r="J855" s="65" t="s">
        <v>4</v>
      </c>
      <c r="K855" s="65" t="s">
        <v>4</v>
      </c>
      <c r="L855" s="67"/>
      <c r="M855" s="69" t="str">
        <f>IF(Main[[#This Row],[Tech Start Date]]&lt;1/1/1990,"",IF(Main[[#This Row],[Class]]="C",WORKDAY(Main[[#This Row],[Tech Start Date]],9),IF(Main[[#This Row],[Class]]="B", WORKDAY(Main[[#This Row],[Tech Start Date]],6),IF(Main[[#This Row],[Class]]="A",WORKDAY(Main[[#This Row],[Tech Start Date]],2),""))))</f>
        <v/>
      </c>
      <c r="N855" s="69" t="str">
        <f>IF(Main[[#This Row],[Tech Start Date]]&lt;1/1/1990,"",IF(Main[[#This Row],[Class]]="C",WORKDAY(Main[[#This Row],[Tech Start Date]],19),IF(Main[[#This Row],[Class]]="B", WORKDAY(Main[[#This Row],[Tech Start Date]],12),IF(Main[[#This Row],[Class]]="A",WORKDAY(Main[[#This Row],[Tech Start Date]],4),""))))</f>
        <v/>
      </c>
      <c r="O855" s="69" t="str">
        <f>IF(Main[[#This Row],[Tech Start Date]]&lt;1/1/1990,"",IF(Main[[#This Row],[Class]]="C",WORKDAY(Main[[#This Row],[Tech Start Date]],23),IF(Main[[#This Row],[Class]]="B", WORKDAY(Main[[#This Row],[Tech Start Date]],15),IF(Main[[#This Row],[Class]]="A",WORKDAY(Main[[#This Row],[Tech Start Date]],5),""))))</f>
        <v/>
      </c>
      <c r="P855" s="69" t="str">
        <f>IF(Main[[#This Row],[Tech Start Date]]&lt;1/1/1990,"",IF(Main[[#This Row],[Class]]="C",WORKDAY(Main[[#This Row],[Tech Start Date]],28),IF(Main[[#This Row],[Class]]="B", WORKDAY(Main[[#This Row],[Tech Start Date]],19),IF(Main[[#This Row],[Class]]="A",WORKDAY(Main[[#This Row],[Tech Start Date]],9),""))))</f>
        <v/>
      </c>
      <c r="Q855" s="67">
        <v>40106</v>
      </c>
      <c r="R855" s="67"/>
      <c r="S855" s="65" t="s">
        <v>11</v>
      </c>
      <c r="T855" s="70" t="s">
        <v>4</v>
      </c>
      <c r="U855" s="65" t="s">
        <v>14</v>
      </c>
      <c r="V855" s="65" t="s">
        <v>1920</v>
      </c>
      <c r="W855" s="65" t="s">
        <v>1928</v>
      </c>
      <c r="X855" s="65" t="s">
        <v>2836</v>
      </c>
      <c r="Y855" s="65" t="s">
        <v>4</v>
      </c>
      <c r="Z855" s="65" t="s">
        <v>4</v>
      </c>
      <c r="AA855" s="65" t="s">
        <v>2836</v>
      </c>
    </row>
    <row r="856" spans="1:27" ht="17.45" customHeight="1">
      <c r="A856" s="131" t="str">
        <f>IF(priority(Main[[#This Row],[Comments]])&lt;&gt;0, priority(Main[[#This Row],[Comments]]),"")</f>
        <v/>
      </c>
      <c r="B856" s="99" t="s">
        <v>1659</v>
      </c>
      <c r="C856" s="65" t="s">
        <v>4</v>
      </c>
      <c r="D856" s="66" t="s">
        <v>723</v>
      </c>
      <c r="E856" s="67"/>
      <c r="F856" s="67">
        <v>40640</v>
      </c>
      <c r="G856" s="64" t="str">
        <f>IF(stdProdLT(Main[[#This Row],[Comments]])=0.1,"N/A",IF(stdProdLT(Main[[#This Row],[Comments]])=0,"",stdProdLT(Main[[#This Row],[Comments]])))</f>
        <v/>
      </c>
      <c r="H856" s="68" t="str">
        <f>IF(AND(Main[[#This Row],[In Stock Date]]&lt;&gt;"",Main[[#This Row],[Revised Due Date]]&lt;&gt;""),Main[[#This Row],[In Stock Date]]-Main[[#This Row],[Revised Due Date]],"")</f>
        <v/>
      </c>
      <c r="I856" s="65" t="s">
        <v>4</v>
      </c>
      <c r="J856" s="65" t="s">
        <v>28</v>
      </c>
      <c r="K856" s="65" t="s">
        <v>1930</v>
      </c>
      <c r="L856" s="67"/>
      <c r="M856" s="69" t="str">
        <f>IF(Main[[#This Row],[Tech Start Date]]&lt;1/1/1990,"",IF(Main[[#This Row],[Class]]="C",WORKDAY(Main[[#This Row],[Tech Start Date]],9),IF(Main[[#This Row],[Class]]="B", WORKDAY(Main[[#This Row],[Tech Start Date]],6),IF(Main[[#This Row],[Class]]="A",WORKDAY(Main[[#This Row],[Tech Start Date]],2),""))))</f>
        <v/>
      </c>
      <c r="N856" s="69" t="str">
        <f>IF(Main[[#This Row],[Tech Start Date]]&lt;1/1/1990,"",IF(Main[[#This Row],[Class]]="C",WORKDAY(Main[[#This Row],[Tech Start Date]],19),IF(Main[[#This Row],[Class]]="B", WORKDAY(Main[[#This Row],[Tech Start Date]],12),IF(Main[[#This Row],[Class]]="A",WORKDAY(Main[[#This Row],[Tech Start Date]],4),""))))</f>
        <v/>
      </c>
      <c r="O856" s="69" t="str">
        <f>IF(Main[[#This Row],[Tech Start Date]]&lt;1/1/1990,"",IF(Main[[#This Row],[Class]]="C",WORKDAY(Main[[#This Row],[Tech Start Date]],23),IF(Main[[#This Row],[Class]]="B", WORKDAY(Main[[#This Row],[Tech Start Date]],15),IF(Main[[#This Row],[Class]]="A",WORKDAY(Main[[#This Row],[Tech Start Date]],5),""))))</f>
        <v/>
      </c>
      <c r="P856" s="69" t="str">
        <f>IF(Main[[#This Row],[Tech Start Date]]&lt;1/1/1990,"",IF(Main[[#This Row],[Class]]="C",WORKDAY(Main[[#This Row],[Tech Start Date]],28),IF(Main[[#This Row],[Class]]="B", WORKDAY(Main[[#This Row],[Tech Start Date]],19),IF(Main[[#This Row],[Class]]="A",WORKDAY(Main[[#This Row],[Tech Start Date]],9),""))))</f>
        <v/>
      </c>
      <c r="Q856" s="67">
        <v>40640</v>
      </c>
      <c r="R856" s="67"/>
      <c r="S856" s="65" t="s">
        <v>11</v>
      </c>
      <c r="T856" s="70" t="s">
        <v>4</v>
      </c>
      <c r="U856" s="65" t="s">
        <v>14</v>
      </c>
      <c r="V856" s="65" t="s">
        <v>1917</v>
      </c>
      <c r="W856" s="65" t="s">
        <v>1925</v>
      </c>
      <c r="X856" s="65" t="s">
        <v>2867</v>
      </c>
      <c r="Y856" s="65" t="s">
        <v>3011</v>
      </c>
      <c r="Z856" s="65" t="s">
        <v>129</v>
      </c>
      <c r="AA856" s="65" t="s">
        <v>2867</v>
      </c>
    </row>
    <row r="857" spans="1:27" ht="17.45" customHeight="1">
      <c r="A857" s="131" t="str">
        <f>IF(priority(Main[[#This Row],[Comments]])&lt;&gt;0, priority(Main[[#This Row],[Comments]]),"")</f>
        <v/>
      </c>
      <c r="B857" s="99" t="s">
        <v>1660</v>
      </c>
      <c r="C857" s="65" t="s">
        <v>4</v>
      </c>
      <c r="D857" s="66" t="s">
        <v>724</v>
      </c>
      <c r="E857" s="67"/>
      <c r="F857" s="67"/>
      <c r="G857" s="64" t="str">
        <f>IF(stdProdLT(Main[[#This Row],[Comments]])=0.1,"N/A",IF(stdProdLT(Main[[#This Row],[Comments]])=0,"",stdProdLT(Main[[#This Row],[Comments]])))</f>
        <v/>
      </c>
      <c r="H857" s="68" t="str">
        <f>IF(AND(Main[[#This Row],[In Stock Date]]&lt;&gt;"",Main[[#This Row],[Revised Due Date]]&lt;&gt;""),Main[[#This Row],[In Stock Date]]-Main[[#This Row],[Revised Due Date]],"")</f>
        <v/>
      </c>
      <c r="I857" s="65" t="s">
        <v>4</v>
      </c>
      <c r="J857" s="65" t="s">
        <v>4</v>
      </c>
      <c r="K857" s="65" t="s">
        <v>4</v>
      </c>
      <c r="L857" s="67"/>
      <c r="M857" s="69" t="str">
        <f>IF(Main[[#This Row],[Tech Start Date]]&lt;1/1/1990,"",IF(Main[[#This Row],[Class]]="C",WORKDAY(Main[[#This Row],[Tech Start Date]],9),IF(Main[[#This Row],[Class]]="B", WORKDAY(Main[[#This Row],[Tech Start Date]],6),IF(Main[[#This Row],[Class]]="A",WORKDAY(Main[[#This Row],[Tech Start Date]],2),""))))</f>
        <v/>
      </c>
      <c r="N857" s="69" t="str">
        <f>IF(Main[[#This Row],[Tech Start Date]]&lt;1/1/1990,"",IF(Main[[#This Row],[Class]]="C",WORKDAY(Main[[#This Row],[Tech Start Date]],19),IF(Main[[#This Row],[Class]]="B", WORKDAY(Main[[#This Row],[Tech Start Date]],12),IF(Main[[#This Row],[Class]]="A",WORKDAY(Main[[#This Row],[Tech Start Date]],4),""))))</f>
        <v/>
      </c>
      <c r="O857" s="69" t="str">
        <f>IF(Main[[#This Row],[Tech Start Date]]&lt;1/1/1990,"",IF(Main[[#This Row],[Class]]="C",WORKDAY(Main[[#This Row],[Tech Start Date]],23),IF(Main[[#This Row],[Class]]="B", WORKDAY(Main[[#This Row],[Tech Start Date]],15),IF(Main[[#This Row],[Class]]="A",WORKDAY(Main[[#This Row],[Tech Start Date]],5),""))))</f>
        <v/>
      </c>
      <c r="P857" s="69" t="str">
        <f>IF(Main[[#This Row],[Tech Start Date]]&lt;1/1/1990,"",IF(Main[[#This Row],[Class]]="C",WORKDAY(Main[[#This Row],[Tech Start Date]],28),IF(Main[[#This Row],[Class]]="B", WORKDAY(Main[[#This Row],[Tech Start Date]],19),IF(Main[[#This Row],[Class]]="A",WORKDAY(Main[[#This Row],[Tech Start Date]],9),""))))</f>
        <v/>
      </c>
      <c r="Q857" s="67">
        <v>40385</v>
      </c>
      <c r="R857" s="67"/>
      <c r="S857" s="65" t="s">
        <v>6</v>
      </c>
      <c r="T857" s="70" t="s">
        <v>4</v>
      </c>
      <c r="U857" s="65" t="s">
        <v>14</v>
      </c>
      <c r="V857" s="65" t="s">
        <v>1920</v>
      </c>
      <c r="W857" s="65" t="s">
        <v>1919</v>
      </c>
      <c r="X857" s="65" t="s">
        <v>102</v>
      </c>
      <c r="Y857" s="65" t="s">
        <v>3038</v>
      </c>
      <c r="Z857" s="65" t="s">
        <v>4</v>
      </c>
      <c r="AA857" s="65" t="s">
        <v>3408</v>
      </c>
    </row>
    <row r="858" spans="1:27" ht="17.45" customHeight="1">
      <c r="A858" s="131" t="str">
        <f>IF(priority(Main[[#This Row],[Comments]])&lt;&gt;0, priority(Main[[#This Row],[Comments]]),"")</f>
        <v/>
      </c>
      <c r="B858" s="99" t="s">
        <v>2111</v>
      </c>
      <c r="C858" s="65" t="s">
        <v>2112</v>
      </c>
      <c r="D858" s="66" t="s">
        <v>2113</v>
      </c>
      <c r="E858" s="67">
        <v>40766.692789351851</v>
      </c>
      <c r="F858" s="67"/>
      <c r="G858" s="64" t="str">
        <f>IF(stdProdLT(Main[[#This Row],[Comments]])=0.1,"N/A",IF(stdProdLT(Main[[#This Row],[Comments]])=0,"",stdProdLT(Main[[#This Row],[Comments]])))</f>
        <v/>
      </c>
      <c r="H858" s="68" t="str">
        <f>IF(AND(Main[[#This Row],[In Stock Date]]&lt;&gt;"",Main[[#This Row],[Revised Due Date]]&lt;&gt;""),Main[[#This Row],[In Stock Date]]-Main[[#This Row],[Revised Due Date]],"")</f>
        <v/>
      </c>
      <c r="I858" s="65" t="s">
        <v>4</v>
      </c>
      <c r="J858" s="65" t="s">
        <v>4</v>
      </c>
      <c r="K858" s="65" t="s">
        <v>4</v>
      </c>
      <c r="L858" s="67"/>
      <c r="M858" s="69" t="str">
        <f>IF(Main[[#This Row],[Tech Start Date]]&lt;1/1/1990,"",IF(Main[[#This Row],[Class]]="C",WORKDAY(Main[[#This Row],[Tech Start Date]],9),IF(Main[[#This Row],[Class]]="B", WORKDAY(Main[[#This Row],[Tech Start Date]],6),IF(Main[[#This Row],[Class]]="A",WORKDAY(Main[[#This Row],[Tech Start Date]],2),""))))</f>
        <v/>
      </c>
      <c r="N858" s="69" t="str">
        <f>IF(Main[[#This Row],[Tech Start Date]]&lt;1/1/1990,"",IF(Main[[#This Row],[Class]]="C",WORKDAY(Main[[#This Row],[Tech Start Date]],19),IF(Main[[#This Row],[Class]]="B", WORKDAY(Main[[#This Row],[Tech Start Date]],12),IF(Main[[#This Row],[Class]]="A",WORKDAY(Main[[#This Row],[Tech Start Date]],4),""))))</f>
        <v/>
      </c>
      <c r="O858" s="69" t="str">
        <f>IF(Main[[#This Row],[Tech Start Date]]&lt;1/1/1990,"",IF(Main[[#This Row],[Class]]="C",WORKDAY(Main[[#This Row],[Tech Start Date]],23),IF(Main[[#This Row],[Class]]="B", WORKDAY(Main[[#This Row],[Tech Start Date]],15),IF(Main[[#This Row],[Class]]="A",WORKDAY(Main[[#This Row],[Tech Start Date]],5),""))))</f>
        <v/>
      </c>
      <c r="P858" s="69" t="str">
        <f>IF(Main[[#This Row],[Tech Start Date]]&lt;1/1/1990,"",IF(Main[[#This Row],[Class]]="C",WORKDAY(Main[[#This Row],[Tech Start Date]],28),IF(Main[[#This Row],[Class]]="B", WORKDAY(Main[[#This Row],[Tech Start Date]],19),IF(Main[[#This Row],[Class]]="A",WORKDAY(Main[[#This Row],[Tech Start Date]],9),""))))</f>
        <v/>
      </c>
      <c r="Q858" s="67">
        <v>40879</v>
      </c>
      <c r="R858" s="67"/>
      <c r="S858" s="65" t="s">
        <v>17</v>
      </c>
      <c r="T858" s="70" t="s">
        <v>4</v>
      </c>
      <c r="U858" s="65" t="s">
        <v>7</v>
      </c>
      <c r="V858" s="65" t="s">
        <v>1932</v>
      </c>
      <c r="W858" s="65" t="s">
        <v>4</v>
      </c>
      <c r="X858" s="65" t="s">
        <v>958</v>
      </c>
      <c r="Y858" s="65" t="s">
        <v>3100</v>
      </c>
      <c r="Z858" s="65" t="s">
        <v>4</v>
      </c>
      <c r="AA858" s="65" t="s">
        <v>958</v>
      </c>
    </row>
    <row r="859" spans="1:27" ht="17.45" customHeight="1">
      <c r="A859" s="131" t="str">
        <f>IF(priority(Main[[#This Row],[Comments]])&lt;&gt;0, priority(Main[[#This Row],[Comments]]),"")</f>
        <v/>
      </c>
      <c r="B859" s="99" t="s">
        <v>2014</v>
      </c>
      <c r="C859" s="65" t="s">
        <v>4</v>
      </c>
      <c r="D859" s="66" t="s">
        <v>2093</v>
      </c>
      <c r="E859" s="67">
        <v>40745.696377314816</v>
      </c>
      <c r="F859" s="67"/>
      <c r="G859" s="64" t="str">
        <f>IF(stdProdLT(Main[[#This Row],[Comments]])=0.1,"N/A",IF(stdProdLT(Main[[#This Row],[Comments]])=0,"",stdProdLT(Main[[#This Row],[Comments]])))</f>
        <v/>
      </c>
      <c r="H859" s="68" t="str">
        <f>IF(AND(Main[[#This Row],[In Stock Date]]&lt;&gt;"",Main[[#This Row],[Revised Due Date]]&lt;&gt;""),Main[[#This Row],[In Stock Date]]-Main[[#This Row],[Revised Due Date]],"")</f>
        <v/>
      </c>
      <c r="I859" s="65" t="s">
        <v>431</v>
      </c>
      <c r="J859" s="65" t="s">
        <v>21</v>
      </c>
      <c r="K859" s="65" t="s">
        <v>1926</v>
      </c>
      <c r="L859" s="67"/>
      <c r="M859" s="69" t="str">
        <f>IF(Main[[#This Row],[Tech Start Date]]&lt;1/1/1990,"",IF(Main[[#This Row],[Class]]="C",WORKDAY(Main[[#This Row],[Tech Start Date]],9),IF(Main[[#This Row],[Class]]="B", WORKDAY(Main[[#This Row],[Tech Start Date]],6),IF(Main[[#This Row],[Class]]="A",WORKDAY(Main[[#This Row],[Tech Start Date]],2),""))))</f>
        <v/>
      </c>
      <c r="N859" s="69" t="str">
        <f>IF(Main[[#This Row],[Tech Start Date]]&lt;1/1/1990,"",IF(Main[[#This Row],[Class]]="C",WORKDAY(Main[[#This Row],[Tech Start Date]],19),IF(Main[[#This Row],[Class]]="B", WORKDAY(Main[[#This Row],[Tech Start Date]],12),IF(Main[[#This Row],[Class]]="A",WORKDAY(Main[[#This Row],[Tech Start Date]],4),""))))</f>
        <v/>
      </c>
      <c r="O859" s="69" t="str">
        <f>IF(Main[[#This Row],[Tech Start Date]]&lt;1/1/1990,"",IF(Main[[#This Row],[Class]]="C",WORKDAY(Main[[#This Row],[Tech Start Date]],23),IF(Main[[#This Row],[Class]]="B", WORKDAY(Main[[#This Row],[Tech Start Date]],15),IF(Main[[#This Row],[Class]]="A",WORKDAY(Main[[#This Row],[Tech Start Date]],5),""))))</f>
        <v/>
      </c>
      <c r="P859" s="69" t="str">
        <f>IF(Main[[#This Row],[Tech Start Date]]&lt;1/1/1990,"",IF(Main[[#This Row],[Class]]="C",WORKDAY(Main[[#This Row],[Tech Start Date]],28),IF(Main[[#This Row],[Class]]="B", WORKDAY(Main[[#This Row],[Tech Start Date]],19),IF(Main[[#This Row],[Class]]="A",WORKDAY(Main[[#This Row],[Tech Start Date]],9),""))))</f>
        <v/>
      </c>
      <c r="Q859" s="67">
        <v>40786</v>
      </c>
      <c r="R859" s="67"/>
      <c r="S859" s="65" t="s">
        <v>6</v>
      </c>
      <c r="T859" s="70" t="s">
        <v>4</v>
      </c>
      <c r="U859" s="65" t="s">
        <v>29</v>
      </c>
      <c r="V859" s="65" t="s">
        <v>1920</v>
      </c>
      <c r="W859" s="65" t="s">
        <v>1921</v>
      </c>
      <c r="X859" s="65" t="s">
        <v>30</v>
      </c>
      <c r="Y859" s="65" t="s">
        <v>3101</v>
      </c>
      <c r="Z859" s="65" t="s">
        <v>44</v>
      </c>
      <c r="AA859" s="65" t="s">
        <v>3450</v>
      </c>
    </row>
    <row r="860" spans="1:27" ht="17.45" customHeight="1">
      <c r="A860" s="131" t="str">
        <f>IF(priority(Main[[#This Row],[Comments]])&lt;&gt;0, priority(Main[[#This Row],[Comments]]),"")</f>
        <v/>
      </c>
      <c r="B860" s="99" t="s">
        <v>2191</v>
      </c>
      <c r="C860" s="65" t="s">
        <v>4</v>
      </c>
      <c r="D860" s="66" t="s">
        <v>2192</v>
      </c>
      <c r="E860" s="67"/>
      <c r="F860" s="67"/>
      <c r="G860" s="64" t="str">
        <f>IF(stdProdLT(Main[[#This Row],[Comments]])=0.1,"N/A",IF(stdProdLT(Main[[#This Row],[Comments]])=0,"",stdProdLT(Main[[#This Row],[Comments]])))</f>
        <v/>
      </c>
      <c r="H860" s="68" t="str">
        <f>IF(AND(Main[[#This Row],[In Stock Date]]&lt;&gt;"",Main[[#This Row],[Revised Due Date]]&lt;&gt;""),Main[[#This Row],[In Stock Date]]-Main[[#This Row],[Revised Due Date]],"")</f>
        <v/>
      </c>
      <c r="I860" s="65" t="s">
        <v>4</v>
      </c>
      <c r="J860" s="65" t="s">
        <v>4</v>
      </c>
      <c r="K860" s="71" t="s">
        <v>4</v>
      </c>
      <c r="L860" s="67"/>
      <c r="M860" s="69" t="str">
        <f>IF(Main[[#This Row],[Tech Start Date]]&lt;1/1/1990,"",IF(Main[[#This Row],[Class]]="C",WORKDAY(Main[[#This Row],[Tech Start Date]],9),IF(Main[[#This Row],[Class]]="B", WORKDAY(Main[[#This Row],[Tech Start Date]],6),IF(Main[[#This Row],[Class]]="A",WORKDAY(Main[[#This Row],[Tech Start Date]],2),""))))</f>
        <v/>
      </c>
      <c r="N860" s="69" t="str">
        <f>IF(Main[[#This Row],[Tech Start Date]]&lt;1/1/1990,"",IF(Main[[#This Row],[Class]]="C",WORKDAY(Main[[#This Row],[Tech Start Date]],19),IF(Main[[#This Row],[Class]]="B", WORKDAY(Main[[#This Row],[Tech Start Date]],12),IF(Main[[#This Row],[Class]]="A",WORKDAY(Main[[#This Row],[Tech Start Date]],4),""))))</f>
        <v/>
      </c>
      <c r="O860" s="69" t="str">
        <f>IF(Main[[#This Row],[Tech Start Date]]&lt;1/1/1990,"",IF(Main[[#This Row],[Class]]="C",WORKDAY(Main[[#This Row],[Tech Start Date]],23),IF(Main[[#This Row],[Class]]="B", WORKDAY(Main[[#This Row],[Tech Start Date]],15),IF(Main[[#This Row],[Class]]="A",WORKDAY(Main[[#This Row],[Tech Start Date]],5),""))))</f>
        <v/>
      </c>
      <c r="P860" s="69" t="str">
        <f>IF(Main[[#This Row],[Tech Start Date]]&lt;1/1/1990,"",IF(Main[[#This Row],[Class]]="C",WORKDAY(Main[[#This Row],[Tech Start Date]],28),IF(Main[[#This Row],[Class]]="B", WORKDAY(Main[[#This Row],[Tech Start Date]],19),IF(Main[[#This Row],[Class]]="A",WORKDAY(Main[[#This Row],[Tech Start Date]],9),""))))</f>
        <v/>
      </c>
      <c r="Q860" s="67">
        <v>40798</v>
      </c>
      <c r="R860" s="67"/>
      <c r="S860" s="65" t="s">
        <v>49</v>
      </c>
      <c r="T860" s="70" t="s">
        <v>4</v>
      </c>
      <c r="U860" s="65" t="s">
        <v>14</v>
      </c>
      <c r="V860" s="65" t="s">
        <v>1927</v>
      </c>
      <c r="W860" s="65" t="s">
        <v>1925</v>
      </c>
      <c r="X860" s="65" t="s">
        <v>2912</v>
      </c>
      <c r="Y860" s="65" t="s">
        <v>3102</v>
      </c>
      <c r="Z860" s="65" t="s">
        <v>4</v>
      </c>
      <c r="AA860" s="65" t="s">
        <v>2912</v>
      </c>
    </row>
    <row r="861" spans="1:27" ht="17.45" customHeight="1">
      <c r="A861" s="131" t="str">
        <f>IF(priority(Main[[#This Row],[Comments]])&lt;&gt;0, priority(Main[[#This Row],[Comments]]),"")</f>
        <v/>
      </c>
      <c r="B861" s="99" t="s">
        <v>1680</v>
      </c>
      <c r="C861" s="65" t="s">
        <v>72</v>
      </c>
      <c r="D861" s="66" t="s">
        <v>737</v>
      </c>
      <c r="E861" s="67"/>
      <c r="F861" s="67"/>
      <c r="G861" s="64" t="str">
        <f>IF(stdProdLT(Main[[#This Row],[Comments]])=0.1,"N/A",IF(stdProdLT(Main[[#This Row],[Comments]])=0,"",stdProdLT(Main[[#This Row],[Comments]])))</f>
        <v/>
      </c>
      <c r="H861" s="68" t="str">
        <f>IF(AND(Main[[#This Row],[In Stock Date]]&lt;&gt;"",Main[[#This Row],[Revised Due Date]]&lt;&gt;""),Main[[#This Row],[In Stock Date]]-Main[[#This Row],[Revised Due Date]],"")</f>
        <v/>
      </c>
      <c r="I861" s="65" t="s">
        <v>4</v>
      </c>
      <c r="J861" s="65" t="s">
        <v>28</v>
      </c>
      <c r="K861" s="65" t="s">
        <v>1926</v>
      </c>
      <c r="L861" s="67"/>
      <c r="M861" s="69" t="str">
        <f>IF(Main[[#This Row],[Tech Start Date]]&lt;1/1/1990,"",IF(Main[[#This Row],[Class]]="C",WORKDAY(Main[[#This Row],[Tech Start Date]],9),IF(Main[[#This Row],[Class]]="B", WORKDAY(Main[[#This Row],[Tech Start Date]],6),IF(Main[[#This Row],[Class]]="A",WORKDAY(Main[[#This Row],[Tech Start Date]],2),""))))</f>
        <v/>
      </c>
      <c r="N861" s="69" t="str">
        <f>IF(Main[[#This Row],[Tech Start Date]]&lt;1/1/1990,"",IF(Main[[#This Row],[Class]]="C",WORKDAY(Main[[#This Row],[Tech Start Date]],19),IF(Main[[#This Row],[Class]]="B", WORKDAY(Main[[#This Row],[Tech Start Date]],12),IF(Main[[#This Row],[Class]]="A",WORKDAY(Main[[#This Row],[Tech Start Date]],4),""))))</f>
        <v/>
      </c>
      <c r="O861" s="69" t="str">
        <f>IF(Main[[#This Row],[Tech Start Date]]&lt;1/1/1990,"",IF(Main[[#This Row],[Class]]="C",WORKDAY(Main[[#This Row],[Tech Start Date]],23),IF(Main[[#This Row],[Class]]="B", WORKDAY(Main[[#This Row],[Tech Start Date]],15),IF(Main[[#This Row],[Class]]="A",WORKDAY(Main[[#This Row],[Tech Start Date]],5),""))))</f>
        <v/>
      </c>
      <c r="P861" s="69" t="str">
        <f>IF(Main[[#This Row],[Tech Start Date]]&lt;1/1/1990,"",IF(Main[[#This Row],[Class]]="C",WORKDAY(Main[[#This Row],[Tech Start Date]],28),IF(Main[[#This Row],[Class]]="B", WORKDAY(Main[[#This Row],[Tech Start Date]],19),IF(Main[[#This Row],[Class]]="A",WORKDAY(Main[[#This Row],[Tech Start Date]],9),""))))</f>
        <v/>
      </c>
      <c r="Q861" s="67"/>
      <c r="R861" s="67"/>
      <c r="S861" s="65" t="s">
        <v>6</v>
      </c>
      <c r="T861" s="70" t="s">
        <v>4</v>
      </c>
      <c r="U861" s="65" t="s">
        <v>14</v>
      </c>
      <c r="V861" s="65" t="s">
        <v>1920</v>
      </c>
      <c r="W861" s="65" t="s">
        <v>1919</v>
      </c>
      <c r="X861" s="65" t="s">
        <v>2853</v>
      </c>
      <c r="Y861" s="65" t="s">
        <v>2984</v>
      </c>
      <c r="Z861" s="65" t="s">
        <v>530</v>
      </c>
      <c r="AA861" s="65" t="s">
        <v>2853</v>
      </c>
    </row>
    <row r="862" spans="1:27" ht="17.45" customHeight="1">
      <c r="A862" s="131" t="str">
        <f>IF(priority(Main[[#This Row],[Comments]])&lt;&gt;0, priority(Main[[#This Row],[Comments]]),"")</f>
        <v/>
      </c>
      <c r="B862" s="99" t="s">
        <v>1681</v>
      </c>
      <c r="C862" s="65" t="s">
        <v>4</v>
      </c>
      <c r="D862" s="66" t="s">
        <v>39</v>
      </c>
      <c r="E862" s="67"/>
      <c r="F862" s="67"/>
      <c r="G862" s="64" t="str">
        <f>IF(stdProdLT(Main[[#This Row],[Comments]])=0.1,"N/A",IF(stdProdLT(Main[[#This Row],[Comments]])=0,"",stdProdLT(Main[[#This Row],[Comments]])))</f>
        <v/>
      </c>
      <c r="H862" s="68" t="str">
        <f>IF(AND(Main[[#This Row],[In Stock Date]]&lt;&gt;"",Main[[#This Row],[Revised Due Date]]&lt;&gt;""),Main[[#This Row],[In Stock Date]]-Main[[#This Row],[Revised Due Date]],"")</f>
        <v/>
      </c>
      <c r="I862" s="65" t="s">
        <v>4</v>
      </c>
      <c r="J862" s="65" t="s">
        <v>4</v>
      </c>
      <c r="K862" s="65" t="s">
        <v>4</v>
      </c>
      <c r="L862" s="67"/>
      <c r="M862" s="69" t="str">
        <f>IF(Main[[#This Row],[Tech Start Date]]&lt;1/1/1990,"",IF(Main[[#This Row],[Class]]="C",WORKDAY(Main[[#This Row],[Tech Start Date]],9),IF(Main[[#This Row],[Class]]="B", WORKDAY(Main[[#This Row],[Tech Start Date]],6),IF(Main[[#This Row],[Class]]="A",WORKDAY(Main[[#This Row],[Tech Start Date]],2),""))))</f>
        <v/>
      </c>
      <c r="N862" s="69" t="str">
        <f>IF(Main[[#This Row],[Tech Start Date]]&lt;1/1/1990,"",IF(Main[[#This Row],[Class]]="C",WORKDAY(Main[[#This Row],[Tech Start Date]],19),IF(Main[[#This Row],[Class]]="B", WORKDAY(Main[[#This Row],[Tech Start Date]],12),IF(Main[[#This Row],[Class]]="A",WORKDAY(Main[[#This Row],[Tech Start Date]],4),""))))</f>
        <v/>
      </c>
      <c r="O862" s="69" t="str">
        <f>IF(Main[[#This Row],[Tech Start Date]]&lt;1/1/1990,"",IF(Main[[#This Row],[Class]]="C",WORKDAY(Main[[#This Row],[Tech Start Date]],23),IF(Main[[#This Row],[Class]]="B", WORKDAY(Main[[#This Row],[Tech Start Date]],15),IF(Main[[#This Row],[Class]]="A",WORKDAY(Main[[#This Row],[Tech Start Date]],5),""))))</f>
        <v/>
      </c>
      <c r="P862" s="69" t="str">
        <f>IF(Main[[#This Row],[Tech Start Date]]&lt;1/1/1990,"",IF(Main[[#This Row],[Class]]="C",WORKDAY(Main[[#This Row],[Tech Start Date]],28),IF(Main[[#This Row],[Class]]="B", WORKDAY(Main[[#This Row],[Tech Start Date]],19),IF(Main[[#This Row],[Class]]="A",WORKDAY(Main[[#This Row],[Tech Start Date]],9),""))))</f>
        <v/>
      </c>
      <c r="Q862" s="67">
        <v>40669</v>
      </c>
      <c r="R862" s="67"/>
      <c r="S862" s="65" t="s">
        <v>6</v>
      </c>
      <c r="T862" s="70" t="s">
        <v>4</v>
      </c>
      <c r="U862" s="65" t="s">
        <v>14</v>
      </c>
      <c r="V862" s="65" t="s">
        <v>1920</v>
      </c>
      <c r="W862" s="65" t="s">
        <v>4</v>
      </c>
      <c r="X862" s="65" t="s">
        <v>2824</v>
      </c>
      <c r="Y862" s="65" t="s">
        <v>2935</v>
      </c>
      <c r="Z862" s="65" t="s">
        <v>4</v>
      </c>
      <c r="AA862" s="65" t="s">
        <v>2824</v>
      </c>
    </row>
    <row r="863" spans="1:27" ht="17.45" customHeight="1">
      <c r="A863" s="131" t="str">
        <f>IF(priority(Main[[#This Row],[Comments]])&lt;&gt;0, priority(Main[[#This Row],[Comments]]),"")</f>
        <v/>
      </c>
      <c r="B863" s="99" t="s">
        <v>1662</v>
      </c>
      <c r="C863" s="65" t="s">
        <v>72</v>
      </c>
      <c r="D863" s="66" t="s">
        <v>725</v>
      </c>
      <c r="E863" s="67"/>
      <c r="F863" s="67"/>
      <c r="G863" s="64" t="str">
        <f>IF(stdProdLT(Main[[#This Row],[Comments]])=0.1,"N/A",IF(stdProdLT(Main[[#This Row],[Comments]])=0,"",stdProdLT(Main[[#This Row],[Comments]])))</f>
        <v/>
      </c>
      <c r="H863" s="68" t="str">
        <f>IF(AND(Main[[#This Row],[In Stock Date]]&lt;&gt;"",Main[[#This Row],[Revised Due Date]]&lt;&gt;""),Main[[#This Row],[In Stock Date]]-Main[[#This Row],[Revised Due Date]],"")</f>
        <v/>
      </c>
      <c r="I863" s="65" t="s">
        <v>4</v>
      </c>
      <c r="J863" s="65" t="s">
        <v>4</v>
      </c>
      <c r="K863" s="65" t="s">
        <v>4</v>
      </c>
      <c r="L863" s="67"/>
      <c r="M863" s="69" t="str">
        <f>IF(Main[[#This Row],[Tech Start Date]]&lt;1/1/1990,"",IF(Main[[#This Row],[Class]]="C",WORKDAY(Main[[#This Row],[Tech Start Date]],9),IF(Main[[#This Row],[Class]]="B", WORKDAY(Main[[#This Row],[Tech Start Date]],6),IF(Main[[#This Row],[Class]]="A",WORKDAY(Main[[#This Row],[Tech Start Date]],2),""))))</f>
        <v/>
      </c>
      <c r="N863" s="69" t="str">
        <f>IF(Main[[#This Row],[Tech Start Date]]&lt;1/1/1990,"",IF(Main[[#This Row],[Class]]="C",WORKDAY(Main[[#This Row],[Tech Start Date]],19),IF(Main[[#This Row],[Class]]="B", WORKDAY(Main[[#This Row],[Tech Start Date]],12),IF(Main[[#This Row],[Class]]="A",WORKDAY(Main[[#This Row],[Tech Start Date]],4),""))))</f>
        <v/>
      </c>
      <c r="O863" s="69" t="str">
        <f>IF(Main[[#This Row],[Tech Start Date]]&lt;1/1/1990,"",IF(Main[[#This Row],[Class]]="C",WORKDAY(Main[[#This Row],[Tech Start Date]],23),IF(Main[[#This Row],[Class]]="B", WORKDAY(Main[[#This Row],[Tech Start Date]],15),IF(Main[[#This Row],[Class]]="A",WORKDAY(Main[[#This Row],[Tech Start Date]],5),""))))</f>
        <v/>
      </c>
      <c r="P863" s="69" t="str">
        <f>IF(Main[[#This Row],[Tech Start Date]]&lt;1/1/1990,"",IF(Main[[#This Row],[Class]]="C",WORKDAY(Main[[#This Row],[Tech Start Date]],28),IF(Main[[#This Row],[Class]]="B", WORKDAY(Main[[#This Row],[Tech Start Date]],19),IF(Main[[#This Row],[Class]]="A",WORKDAY(Main[[#This Row],[Tech Start Date]],9),""))))</f>
        <v/>
      </c>
      <c r="Q863" s="67"/>
      <c r="R863" s="67"/>
      <c r="S863" s="65" t="s">
        <v>11</v>
      </c>
      <c r="T863" s="70" t="s">
        <v>4</v>
      </c>
      <c r="U863" s="65" t="s">
        <v>14</v>
      </c>
      <c r="V863" s="65" t="s">
        <v>1918</v>
      </c>
      <c r="W863" s="65" t="s">
        <v>1925</v>
      </c>
      <c r="X863" s="65" t="s">
        <v>2833</v>
      </c>
      <c r="Y863" s="65" t="s">
        <v>2954</v>
      </c>
      <c r="Z863" s="65" t="s">
        <v>4</v>
      </c>
      <c r="AA863" s="65" t="s">
        <v>2833</v>
      </c>
    </row>
    <row r="864" spans="1:27" ht="17.45" customHeight="1">
      <c r="A864" s="131" t="str">
        <f>IF(priority(Main[[#This Row],[Comments]])&lt;&gt;0, priority(Main[[#This Row],[Comments]]),"")</f>
        <v/>
      </c>
      <c r="B864" s="99" t="s">
        <v>2166</v>
      </c>
      <c r="C864" s="65" t="s">
        <v>4</v>
      </c>
      <c r="D864" s="66" t="s">
        <v>2393</v>
      </c>
      <c r="E864" s="67">
        <v>40780.672893518517</v>
      </c>
      <c r="F864" s="67"/>
      <c r="G864" s="64" t="str">
        <f>IF(stdProdLT(Main[[#This Row],[Comments]])=0.1,"N/A",IF(stdProdLT(Main[[#This Row],[Comments]])=0,"",stdProdLT(Main[[#This Row],[Comments]])))</f>
        <v/>
      </c>
      <c r="H864" s="68" t="str">
        <f>IF(AND(Main[[#This Row],[In Stock Date]]&lt;&gt;"",Main[[#This Row],[Revised Due Date]]&lt;&gt;""),Main[[#This Row],[In Stock Date]]-Main[[#This Row],[Revised Due Date]],"")</f>
        <v/>
      </c>
      <c r="I864" s="65" t="s">
        <v>914</v>
      </c>
      <c r="J864" s="65" t="s">
        <v>52</v>
      </c>
      <c r="K864" s="65" t="s">
        <v>4</v>
      </c>
      <c r="L864" s="67"/>
      <c r="M864" s="69" t="str">
        <f>IF(Main[[#This Row],[Tech Start Date]]&lt;1/1/1990,"",IF(Main[[#This Row],[Class]]="C",WORKDAY(Main[[#This Row],[Tech Start Date]],9),IF(Main[[#This Row],[Class]]="B", WORKDAY(Main[[#This Row],[Tech Start Date]],6),IF(Main[[#This Row],[Class]]="A",WORKDAY(Main[[#This Row],[Tech Start Date]],2),""))))</f>
        <v/>
      </c>
      <c r="N864" s="69" t="str">
        <f>IF(Main[[#This Row],[Tech Start Date]]&lt;1/1/1990,"",IF(Main[[#This Row],[Class]]="C",WORKDAY(Main[[#This Row],[Tech Start Date]],19),IF(Main[[#This Row],[Class]]="B", WORKDAY(Main[[#This Row],[Tech Start Date]],12),IF(Main[[#This Row],[Class]]="A",WORKDAY(Main[[#This Row],[Tech Start Date]],4),""))))</f>
        <v/>
      </c>
      <c r="O864" s="69" t="str">
        <f>IF(Main[[#This Row],[Tech Start Date]]&lt;1/1/1990,"",IF(Main[[#This Row],[Class]]="C",WORKDAY(Main[[#This Row],[Tech Start Date]],23),IF(Main[[#This Row],[Class]]="B", WORKDAY(Main[[#This Row],[Tech Start Date]],15),IF(Main[[#This Row],[Class]]="A",WORKDAY(Main[[#This Row],[Tech Start Date]],5),""))))</f>
        <v/>
      </c>
      <c r="P864" s="69" t="str">
        <f>IF(Main[[#This Row],[Tech Start Date]]&lt;1/1/1990,"",IF(Main[[#This Row],[Class]]="C",WORKDAY(Main[[#This Row],[Tech Start Date]],28),IF(Main[[#This Row],[Class]]="B", WORKDAY(Main[[#This Row],[Tech Start Date]],19),IF(Main[[#This Row],[Class]]="A",WORKDAY(Main[[#This Row],[Tech Start Date]],9),""))))</f>
        <v/>
      </c>
      <c r="Q864" s="67">
        <v>40794</v>
      </c>
      <c r="R864" s="67"/>
      <c r="S864" s="65" t="s">
        <v>6</v>
      </c>
      <c r="T864" s="70" t="s">
        <v>4</v>
      </c>
      <c r="U864" s="65" t="s">
        <v>29</v>
      </c>
      <c r="V864" s="65" t="s">
        <v>1917</v>
      </c>
      <c r="W864" s="65" t="s">
        <v>1925</v>
      </c>
      <c r="X864" s="65" t="s">
        <v>2827</v>
      </c>
      <c r="Y864" s="65" t="s">
        <v>2942</v>
      </c>
      <c r="Z864" s="65" t="s">
        <v>129</v>
      </c>
      <c r="AA864" s="65" t="s">
        <v>2827</v>
      </c>
    </row>
    <row r="865" spans="1:27" ht="17.45" customHeight="1">
      <c r="A865" s="131" t="str">
        <f>IF(priority(Main[[#This Row],[Comments]])&lt;&gt;0, priority(Main[[#This Row],[Comments]]),"")</f>
        <v/>
      </c>
      <c r="B865" s="99" t="s">
        <v>1663</v>
      </c>
      <c r="C865" s="65" t="s">
        <v>4</v>
      </c>
      <c r="D865" s="66" t="s">
        <v>726</v>
      </c>
      <c r="E865" s="67"/>
      <c r="F865" s="67"/>
      <c r="G865" s="64" t="str">
        <f>IF(stdProdLT(Main[[#This Row],[Comments]])=0.1,"N/A",IF(stdProdLT(Main[[#This Row],[Comments]])=0,"",stdProdLT(Main[[#This Row],[Comments]])))</f>
        <v/>
      </c>
      <c r="H865" s="68" t="str">
        <f>IF(AND(Main[[#This Row],[In Stock Date]]&lt;&gt;"",Main[[#This Row],[Revised Due Date]]&lt;&gt;""),Main[[#This Row],[In Stock Date]]-Main[[#This Row],[Revised Due Date]],"")</f>
        <v/>
      </c>
      <c r="I865" s="65" t="s">
        <v>4</v>
      </c>
      <c r="J865" s="65" t="s">
        <v>4</v>
      </c>
      <c r="K865" s="65" t="s">
        <v>4</v>
      </c>
      <c r="L865" s="67"/>
      <c r="M865" s="69" t="str">
        <f>IF(Main[[#This Row],[Tech Start Date]]&lt;1/1/1990,"",IF(Main[[#This Row],[Class]]="C",WORKDAY(Main[[#This Row],[Tech Start Date]],9),IF(Main[[#This Row],[Class]]="B", WORKDAY(Main[[#This Row],[Tech Start Date]],6),IF(Main[[#This Row],[Class]]="A",WORKDAY(Main[[#This Row],[Tech Start Date]],2),""))))</f>
        <v/>
      </c>
      <c r="N865" s="69" t="str">
        <f>IF(Main[[#This Row],[Tech Start Date]]&lt;1/1/1990,"",IF(Main[[#This Row],[Class]]="C",WORKDAY(Main[[#This Row],[Tech Start Date]],19),IF(Main[[#This Row],[Class]]="B", WORKDAY(Main[[#This Row],[Tech Start Date]],12),IF(Main[[#This Row],[Class]]="A",WORKDAY(Main[[#This Row],[Tech Start Date]],4),""))))</f>
        <v/>
      </c>
      <c r="O865" s="69" t="str">
        <f>IF(Main[[#This Row],[Tech Start Date]]&lt;1/1/1990,"",IF(Main[[#This Row],[Class]]="C",WORKDAY(Main[[#This Row],[Tech Start Date]],23),IF(Main[[#This Row],[Class]]="B", WORKDAY(Main[[#This Row],[Tech Start Date]],15),IF(Main[[#This Row],[Class]]="A",WORKDAY(Main[[#This Row],[Tech Start Date]],5),""))))</f>
        <v/>
      </c>
      <c r="P865" s="69" t="str">
        <f>IF(Main[[#This Row],[Tech Start Date]]&lt;1/1/1990,"",IF(Main[[#This Row],[Class]]="C",WORKDAY(Main[[#This Row],[Tech Start Date]],28),IF(Main[[#This Row],[Class]]="B", WORKDAY(Main[[#This Row],[Tech Start Date]],19),IF(Main[[#This Row],[Class]]="A",WORKDAY(Main[[#This Row],[Tech Start Date]],9),""))))</f>
        <v/>
      </c>
      <c r="Q865" s="67">
        <v>40403</v>
      </c>
      <c r="R865" s="67"/>
      <c r="S865" s="65" t="s">
        <v>17</v>
      </c>
      <c r="T865" s="70" t="s">
        <v>4</v>
      </c>
      <c r="U865" s="65" t="s">
        <v>14</v>
      </c>
      <c r="V865" s="65" t="s">
        <v>1917</v>
      </c>
      <c r="W865" s="65" t="s">
        <v>1925</v>
      </c>
      <c r="X865" s="65" t="s">
        <v>129</v>
      </c>
      <c r="Y865" s="65" t="s">
        <v>4</v>
      </c>
      <c r="Z865" s="65" t="s">
        <v>4</v>
      </c>
      <c r="AA865" s="65" t="s">
        <v>2834</v>
      </c>
    </row>
    <row r="866" spans="1:27" ht="17.45" customHeight="1">
      <c r="A866" s="131" t="str">
        <f>IF(priority(Main[[#This Row],[Comments]])&lt;&gt;0, priority(Main[[#This Row],[Comments]]),"")</f>
        <v/>
      </c>
      <c r="B866" s="99" t="s">
        <v>1664</v>
      </c>
      <c r="C866" s="65" t="s">
        <v>58</v>
      </c>
      <c r="D866" s="66" t="s">
        <v>202</v>
      </c>
      <c r="E866" s="67"/>
      <c r="F866" s="67">
        <v>40697</v>
      </c>
      <c r="G866" s="64" t="str">
        <f>IF(stdProdLT(Main[[#This Row],[Comments]])=0.1,"N/A",IF(stdProdLT(Main[[#This Row],[Comments]])=0,"",stdProdLT(Main[[#This Row],[Comments]])))</f>
        <v/>
      </c>
      <c r="H866" s="68" t="str">
        <f>IF(AND(Main[[#This Row],[In Stock Date]]&lt;&gt;"",Main[[#This Row],[Revised Due Date]]&lt;&gt;""),Main[[#This Row],[In Stock Date]]-Main[[#This Row],[Revised Due Date]],"")</f>
        <v/>
      </c>
      <c r="I866" s="65" t="s">
        <v>4</v>
      </c>
      <c r="J866" s="65" t="s">
        <v>4</v>
      </c>
      <c r="K866" s="65" t="s">
        <v>4</v>
      </c>
      <c r="L866" s="67"/>
      <c r="M866" s="69" t="str">
        <f>IF(Main[[#This Row],[Tech Start Date]]&lt;1/1/1990,"",IF(Main[[#This Row],[Class]]="C",WORKDAY(Main[[#This Row],[Tech Start Date]],9),IF(Main[[#This Row],[Class]]="B", WORKDAY(Main[[#This Row],[Tech Start Date]],6),IF(Main[[#This Row],[Class]]="A",WORKDAY(Main[[#This Row],[Tech Start Date]],2),""))))</f>
        <v/>
      </c>
      <c r="N866" s="69" t="str">
        <f>IF(Main[[#This Row],[Tech Start Date]]&lt;1/1/1990,"",IF(Main[[#This Row],[Class]]="C",WORKDAY(Main[[#This Row],[Tech Start Date]],19),IF(Main[[#This Row],[Class]]="B", WORKDAY(Main[[#This Row],[Tech Start Date]],12),IF(Main[[#This Row],[Class]]="A",WORKDAY(Main[[#This Row],[Tech Start Date]],4),""))))</f>
        <v/>
      </c>
      <c r="O866" s="69" t="str">
        <f>IF(Main[[#This Row],[Tech Start Date]]&lt;1/1/1990,"",IF(Main[[#This Row],[Class]]="C",WORKDAY(Main[[#This Row],[Tech Start Date]],23),IF(Main[[#This Row],[Class]]="B", WORKDAY(Main[[#This Row],[Tech Start Date]],15),IF(Main[[#This Row],[Class]]="A",WORKDAY(Main[[#This Row],[Tech Start Date]],5),""))))</f>
        <v/>
      </c>
      <c r="P866" s="69" t="str">
        <f>IF(Main[[#This Row],[Tech Start Date]]&lt;1/1/1990,"",IF(Main[[#This Row],[Class]]="C",WORKDAY(Main[[#This Row],[Tech Start Date]],28),IF(Main[[#This Row],[Class]]="B", WORKDAY(Main[[#This Row],[Tech Start Date]],19),IF(Main[[#This Row],[Class]]="A",WORKDAY(Main[[#This Row],[Tech Start Date]],9),""))))</f>
        <v/>
      </c>
      <c r="Q866" s="67">
        <v>40539</v>
      </c>
      <c r="R866" s="67"/>
      <c r="S866" s="65" t="s">
        <v>11</v>
      </c>
      <c r="T866" s="70" t="s">
        <v>4</v>
      </c>
      <c r="U866" s="65" t="s">
        <v>14</v>
      </c>
      <c r="V866" s="65" t="s">
        <v>1917</v>
      </c>
      <c r="W866" s="65" t="s">
        <v>1923</v>
      </c>
      <c r="X866" s="65" t="s">
        <v>2835</v>
      </c>
      <c r="Y866" s="65" t="s">
        <v>2957</v>
      </c>
      <c r="Z866" s="65" t="s">
        <v>4</v>
      </c>
      <c r="AA866" s="65" t="s">
        <v>2835</v>
      </c>
    </row>
    <row r="867" spans="1:27" ht="17.45" customHeight="1">
      <c r="A867" s="131" t="str">
        <f>IF(priority(Main[[#This Row],[Comments]])&lt;&gt;0, priority(Main[[#This Row],[Comments]]),"")</f>
        <v/>
      </c>
      <c r="B867" s="99" t="s">
        <v>1667</v>
      </c>
      <c r="C867" s="65" t="s">
        <v>728</v>
      </c>
      <c r="D867" s="66" t="s">
        <v>729</v>
      </c>
      <c r="E867" s="67"/>
      <c r="F867" s="67">
        <v>40633</v>
      </c>
      <c r="G867" s="64" t="str">
        <f>IF(stdProdLT(Main[[#This Row],[Comments]])=0.1,"N/A",IF(stdProdLT(Main[[#This Row],[Comments]])=0,"",stdProdLT(Main[[#This Row],[Comments]])))</f>
        <v/>
      </c>
      <c r="H867" s="68" t="str">
        <f>IF(AND(Main[[#This Row],[In Stock Date]]&lt;&gt;"",Main[[#This Row],[Revised Due Date]]&lt;&gt;""),Main[[#This Row],[In Stock Date]]-Main[[#This Row],[Revised Due Date]],"")</f>
        <v/>
      </c>
      <c r="I867" s="65" t="s">
        <v>4</v>
      </c>
      <c r="J867" s="65" t="s">
        <v>4</v>
      </c>
      <c r="K867" s="65" t="s">
        <v>4</v>
      </c>
      <c r="L867" s="67"/>
      <c r="M867" s="69" t="str">
        <f>IF(Main[[#This Row],[Tech Start Date]]&lt;1/1/1990,"",IF(Main[[#This Row],[Class]]="C",WORKDAY(Main[[#This Row],[Tech Start Date]],9),IF(Main[[#This Row],[Class]]="B", WORKDAY(Main[[#This Row],[Tech Start Date]],6),IF(Main[[#This Row],[Class]]="A",WORKDAY(Main[[#This Row],[Tech Start Date]],2),""))))</f>
        <v/>
      </c>
      <c r="N867" s="69" t="str">
        <f>IF(Main[[#This Row],[Tech Start Date]]&lt;1/1/1990,"",IF(Main[[#This Row],[Class]]="C",WORKDAY(Main[[#This Row],[Tech Start Date]],19),IF(Main[[#This Row],[Class]]="B", WORKDAY(Main[[#This Row],[Tech Start Date]],12),IF(Main[[#This Row],[Class]]="A",WORKDAY(Main[[#This Row],[Tech Start Date]],4),""))))</f>
        <v/>
      </c>
      <c r="O867" s="69" t="str">
        <f>IF(Main[[#This Row],[Tech Start Date]]&lt;1/1/1990,"",IF(Main[[#This Row],[Class]]="C",WORKDAY(Main[[#This Row],[Tech Start Date]],23),IF(Main[[#This Row],[Class]]="B", WORKDAY(Main[[#This Row],[Tech Start Date]],15),IF(Main[[#This Row],[Class]]="A",WORKDAY(Main[[#This Row],[Tech Start Date]],5),""))))</f>
        <v/>
      </c>
      <c r="P867" s="69" t="str">
        <f>IF(Main[[#This Row],[Tech Start Date]]&lt;1/1/1990,"",IF(Main[[#This Row],[Class]]="C",WORKDAY(Main[[#This Row],[Tech Start Date]],28),IF(Main[[#This Row],[Class]]="B", WORKDAY(Main[[#This Row],[Tech Start Date]],19),IF(Main[[#This Row],[Class]]="A",WORKDAY(Main[[#This Row],[Tech Start Date]],9),""))))</f>
        <v/>
      </c>
      <c r="Q867" s="67">
        <v>40623</v>
      </c>
      <c r="R867" s="67"/>
      <c r="S867" s="65" t="s">
        <v>11</v>
      </c>
      <c r="T867" s="70" t="s">
        <v>4</v>
      </c>
      <c r="U867" s="65" t="s">
        <v>14</v>
      </c>
      <c r="V867" s="65" t="s">
        <v>1918</v>
      </c>
      <c r="W867" s="65" t="s">
        <v>1925</v>
      </c>
      <c r="X867" s="65" t="s">
        <v>2869</v>
      </c>
      <c r="Y867" s="65" t="s">
        <v>4</v>
      </c>
      <c r="Z867" s="65" t="s">
        <v>4</v>
      </c>
      <c r="AA867" s="65" t="s">
        <v>2869</v>
      </c>
    </row>
    <row r="868" spans="1:27" ht="17.45" customHeight="1">
      <c r="A868" s="131" t="str">
        <f>IF(priority(Main[[#This Row],[Comments]])&lt;&gt;0, priority(Main[[#This Row],[Comments]]),"")</f>
        <v/>
      </c>
      <c r="B868" s="99" t="s">
        <v>1669</v>
      </c>
      <c r="C868" s="65" t="s">
        <v>4</v>
      </c>
      <c r="D868" s="66" t="s">
        <v>97</v>
      </c>
      <c r="E868" s="67"/>
      <c r="F868" s="67"/>
      <c r="G868" s="64" t="str">
        <f>IF(stdProdLT(Main[[#This Row],[Comments]])=0.1,"N/A",IF(stdProdLT(Main[[#This Row],[Comments]])=0,"",stdProdLT(Main[[#This Row],[Comments]])))</f>
        <v/>
      </c>
      <c r="H868" s="68" t="str">
        <f>IF(AND(Main[[#This Row],[In Stock Date]]&lt;&gt;"",Main[[#This Row],[Revised Due Date]]&lt;&gt;""),Main[[#This Row],[In Stock Date]]-Main[[#This Row],[Revised Due Date]],"")</f>
        <v/>
      </c>
      <c r="I868" s="65" t="s">
        <v>4</v>
      </c>
      <c r="J868" s="65" t="s">
        <v>4</v>
      </c>
      <c r="K868" s="65" t="s">
        <v>4</v>
      </c>
      <c r="L868" s="67"/>
      <c r="M868" s="69" t="str">
        <f>IF(Main[[#This Row],[Tech Start Date]]&lt;1/1/1990,"",IF(Main[[#This Row],[Class]]="C",WORKDAY(Main[[#This Row],[Tech Start Date]],9),IF(Main[[#This Row],[Class]]="B", WORKDAY(Main[[#This Row],[Tech Start Date]],6),IF(Main[[#This Row],[Class]]="A",WORKDAY(Main[[#This Row],[Tech Start Date]],2),""))))</f>
        <v/>
      </c>
      <c r="N868" s="69" t="str">
        <f>IF(Main[[#This Row],[Tech Start Date]]&lt;1/1/1990,"",IF(Main[[#This Row],[Class]]="C",WORKDAY(Main[[#This Row],[Tech Start Date]],19),IF(Main[[#This Row],[Class]]="B", WORKDAY(Main[[#This Row],[Tech Start Date]],12),IF(Main[[#This Row],[Class]]="A",WORKDAY(Main[[#This Row],[Tech Start Date]],4),""))))</f>
        <v/>
      </c>
      <c r="O868" s="69" t="str">
        <f>IF(Main[[#This Row],[Tech Start Date]]&lt;1/1/1990,"",IF(Main[[#This Row],[Class]]="C",WORKDAY(Main[[#This Row],[Tech Start Date]],23),IF(Main[[#This Row],[Class]]="B", WORKDAY(Main[[#This Row],[Tech Start Date]],15),IF(Main[[#This Row],[Class]]="A",WORKDAY(Main[[#This Row],[Tech Start Date]],5),""))))</f>
        <v/>
      </c>
      <c r="P868" s="69" t="str">
        <f>IF(Main[[#This Row],[Tech Start Date]]&lt;1/1/1990,"",IF(Main[[#This Row],[Class]]="C",WORKDAY(Main[[#This Row],[Tech Start Date]],28),IF(Main[[#This Row],[Class]]="B", WORKDAY(Main[[#This Row],[Tech Start Date]],19),IF(Main[[#This Row],[Class]]="A",WORKDAY(Main[[#This Row],[Tech Start Date]],9),""))))</f>
        <v/>
      </c>
      <c r="Q868" s="67">
        <v>40858</v>
      </c>
      <c r="R868" s="67"/>
      <c r="S868" s="65" t="s">
        <v>17</v>
      </c>
      <c r="T868" s="70" t="s">
        <v>4</v>
      </c>
      <c r="U868" s="65" t="s">
        <v>14</v>
      </c>
      <c r="V868" s="65" t="s">
        <v>1917</v>
      </c>
      <c r="W868" s="65" t="s">
        <v>1922</v>
      </c>
      <c r="X868" s="65" t="s">
        <v>50</v>
      </c>
      <c r="Y868" s="65" t="s">
        <v>2965</v>
      </c>
      <c r="Z868" s="65" t="s">
        <v>4</v>
      </c>
      <c r="AA868" s="65" t="s">
        <v>2834</v>
      </c>
    </row>
    <row r="869" spans="1:27" ht="17.45" customHeight="1">
      <c r="A869" s="131" t="str">
        <f>IF(priority(Main[[#This Row],[Comments]])&lt;&gt;0, priority(Main[[#This Row],[Comments]]),"")</f>
        <v/>
      </c>
      <c r="B869" s="99" t="s">
        <v>1670</v>
      </c>
      <c r="C869" s="65" t="s">
        <v>4</v>
      </c>
      <c r="D869" s="66" t="s">
        <v>97</v>
      </c>
      <c r="E869" s="67"/>
      <c r="F869" s="67"/>
      <c r="G869" s="64" t="str">
        <f>IF(stdProdLT(Main[[#This Row],[Comments]])=0.1,"N/A",IF(stdProdLT(Main[[#This Row],[Comments]])=0,"",stdProdLT(Main[[#This Row],[Comments]])))</f>
        <v/>
      </c>
      <c r="H869" s="68" t="str">
        <f>IF(AND(Main[[#This Row],[In Stock Date]]&lt;&gt;"",Main[[#This Row],[Revised Due Date]]&lt;&gt;""),Main[[#This Row],[In Stock Date]]-Main[[#This Row],[Revised Due Date]],"")</f>
        <v/>
      </c>
      <c r="I869" s="65" t="s">
        <v>4</v>
      </c>
      <c r="J869" s="65" t="s">
        <v>4</v>
      </c>
      <c r="K869" s="65" t="s">
        <v>4</v>
      </c>
      <c r="L869" s="67"/>
      <c r="M869" s="69" t="str">
        <f>IF(Main[[#This Row],[Tech Start Date]]&lt;1/1/1990,"",IF(Main[[#This Row],[Class]]="C",WORKDAY(Main[[#This Row],[Tech Start Date]],9),IF(Main[[#This Row],[Class]]="B", WORKDAY(Main[[#This Row],[Tech Start Date]],6),IF(Main[[#This Row],[Class]]="A",WORKDAY(Main[[#This Row],[Tech Start Date]],2),""))))</f>
        <v/>
      </c>
      <c r="N869" s="69" t="str">
        <f>IF(Main[[#This Row],[Tech Start Date]]&lt;1/1/1990,"",IF(Main[[#This Row],[Class]]="C",WORKDAY(Main[[#This Row],[Tech Start Date]],19),IF(Main[[#This Row],[Class]]="B", WORKDAY(Main[[#This Row],[Tech Start Date]],12),IF(Main[[#This Row],[Class]]="A",WORKDAY(Main[[#This Row],[Tech Start Date]],4),""))))</f>
        <v/>
      </c>
      <c r="O869" s="69" t="str">
        <f>IF(Main[[#This Row],[Tech Start Date]]&lt;1/1/1990,"",IF(Main[[#This Row],[Class]]="C",WORKDAY(Main[[#This Row],[Tech Start Date]],23),IF(Main[[#This Row],[Class]]="B", WORKDAY(Main[[#This Row],[Tech Start Date]],15),IF(Main[[#This Row],[Class]]="A",WORKDAY(Main[[#This Row],[Tech Start Date]],5),""))))</f>
        <v/>
      </c>
      <c r="P869" s="69" t="str">
        <f>IF(Main[[#This Row],[Tech Start Date]]&lt;1/1/1990,"",IF(Main[[#This Row],[Class]]="C",WORKDAY(Main[[#This Row],[Tech Start Date]],28),IF(Main[[#This Row],[Class]]="B", WORKDAY(Main[[#This Row],[Tech Start Date]],19),IF(Main[[#This Row],[Class]]="A",WORKDAY(Main[[#This Row],[Tech Start Date]],9),""))))</f>
        <v/>
      </c>
      <c r="Q869" s="67">
        <v>40858</v>
      </c>
      <c r="R869" s="67"/>
      <c r="S869" s="65" t="s">
        <v>17</v>
      </c>
      <c r="T869" s="70" t="s">
        <v>4</v>
      </c>
      <c r="U869" s="65" t="s">
        <v>14</v>
      </c>
      <c r="V869" s="65" t="s">
        <v>1917</v>
      </c>
      <c r="W869" s="65" t="s">
        <v>1922</v>
      </c>
      <c r="X869" s="65" t="s">
        <v>50</v>
      </c>
      <c r="Y869" s="65" t="s">
        <v>2965</v>
      </c>
      <c r="Z869" s="65" t="s">
        <v>4</v>
      </c>
      <c r="AA869" s="65" t="s">
        <v>2834</v>
      </c>
    </row>
    <row r="870" spans="1:27" ht="17.45" customHeight="1">
      <c r="A870" s="131" t="str">
        <f>IF(priority(Main[[#This Row],[Comments]])&lt;&gt;0, priority(Main[[#This Row],[Comments]]),"")</f>
        <v/>
      </c>
      <c r="B870" s="99" t="s">
        <v>1671</v>
      </c>
      <c r="C870" s="65" t="s">
        <v>4</v>
      </c>
      <c r="D870" s="66" t="s">
        <v>97</v>
      </c>
      <c r="E870" s="67"/>
      <c r="F870" s="67"/>
      <c r="G870" s="64" t="str">
        <f>IF(stdProdLT(Main[[#This Row],[Comments]])=0.1,"N/A",IF(stdProdLT(Main[[#This Row],[Comments]])=0,"",stdProdLT(Main[[#This Row],[Comments]])))</f>
        <v/>
      </c>
      <c r="H870" s="68" t="str">
        <f>IF(AND(Main[[#This Row],[In Stock Date]]&lt;&gt;"",Main[[#This Row],[Revised Due Date]]&lt;&gt;""),Main[[#This Row],[In Stock Date]]-Main[[#This Row],[Revised Due Date]],"")</f>
        <v/>
      </c>
      <c r="I870" s="65" t="s">
        <v>4</v>
      </c>
      <c r="J870" s="65" t="s">
        <v>4</v>
      </c>
      <c r="K870" s="65" t="s">
        <v>4</v>
      </c>
      <c r="L870" s="67"/>
      <c r="M870" s="69" t="str">
        <f>IF(Main[[#This Row],[Tech Start Date]]&lt;1/1/1990,"",IF(Main[[#This Row],[Class]]="C",WORKDAY(Main[[#This Row],[Tech Start Date]],9),IF(Main[[#This Row],[Class]]="B", WORKDAY(Main[[#This Row],[Tech Start Date]],6),IF(Main[[#This Row],[Class]]="A",WORKDAY(Main[[#This Row],[Tech Start Date]],2),""))))</f>
        <v/>
      </c>
      <c r="N870" s="69" t="str">
        <f>IF(Main[[#This Row],[Tech Start Date]]&lt;1/1/1990,"",IF(Main[[#This Row],[Class]]="C",WORKDAY(Main[[#This Row],[Tech Start Date]],19),IF(Main[[#This Row],[Class]]="B", WORKDAY(Main[[#This Row],[Tech Start Date]],12),IF(Main[[#This Row],[Class]]="A",WORKDAY(Main[[#This Row],[Tech Start Date]],4),""))))</f>
        <v/>
      </c>
      <c r="O870" s="69" t="str">
        <f>IF(Main[[#This Row],[Tech Start Date]]&lt;1/1/1990,"",IF(Main[[#This Row],[Class]]="C",WORKDAY(Main[[#This Row],[Tech Start Date]],23),IF(Main[[#This Row],[Class]]="B", WORKDAY(Main[[#This Row],[Tech Start Date]],15),IF(Main[[#This Row],[Class]]="A",WORKDAY(Main[[#This Row],[Tech Start Date]],5),""))))</f>
        <v/>
      </c>
      <c r="P870" s="69" t="str">
        <f>IF(Main[[#This Row],[Tech Start Date]]&lt;1/1/1990,"",IF(Main[[#This Row],[Class]]="C",WORKDAY(Main[[#This Row],[Tech Start Date]],28),IF(Main[[#This Row],[Class]]="B", WORKDAY(Main[[#This Row],[Tech Start Date]],19),IF(Main[[#This Row],[Class]]="A",WORKDAY(Main[[#This Row],[Tech Start Date]],9),""))))</f>
        <v/>
      </c>
      <c r="Q870" s="67">
        <v>40858</v>
      </c>
      <c r="R870" s="67"/>
      <c r="S870" s="65" t="s">
        <v>17</v>
      </c>
      <c r="T870" s="70" t="s">
        <v>4</v>
      </c>
      <c r="U870" s="65" t="s">
        <v>14</v>
      </c>
      <c r="V870" s="65" t="s">
        <v>1917</v>
      </c>
      <c r="W870" s="65" t="s">
        <v>1922</v>
      </c>
      <c r="X870" s="65" t="s">
        <v>50</v>
      </c>
      <c r="Y870" s="65" t="s">
        <v>2965</v>
      </c>
      <c r="Z870" s="65" t="s">
        <v>4</v>
      </c>
      <c r="AA870" s="65" t="s">
        <v>2834</v>
      </c>
    </row>
    <row r="871" spans="1:27" ht="17.45" customHeight="1">
      <c r="A871" s="131" t="str">
        <f>IF(priority(Main[[#This Row],[Comments]])&lt;&gt;0, priority(Main[[#This Row],[Comments]]),"")</f>
        <v/>
      </c>
      <c r="B871" s="99" t="s">
        <v>1253</v>
      </c>
      <c r="C871" s="65" t="s">
        <v>4</v>
      </c>
      <c r="D871" s="66" t="s">
        <v>316</v>
      </c>
      <c r="E871" s="67"/>
      <c r="F871" s="67"/>
      <c r="G871" s="64" t="str">
        <f>IF(stdProdLT(Main[[#This Row],[Comments]])=0.1,"N/A",IF(stdProdLT(Main[[#This Row],[Comments]])=0,"",stdProdLT(Main[[#This Row],[Comments]])))</f>
        <v/>
      </c>
      <c r="H871" s="68" t="str">
        <f>IF(AND(Main[[#This Row],[In Stock Date]]&lt;&gt;"",Main[[#This Row],[Revised Due Date]]&lt;&gt;""),Main[[#This Row],[In Stock Date]]-Main[[#This Row],[Revised Due Date]],"")</f>
        <v/>
      </c>
      <c r="I871" s="65" t="s">
        <v>4</v>
      </c>
      <c r="J871" s="65" t="s">
        <v>4</v>
      </c>
      <c r="K871" s="65" t="s">
        <v>4</v>
      </c>
      <c r="L871" s="67"/>
      <c r="M871" s="69" t="str">
        <f>IF(Main[[#This Row],[Tech Start Date]]&lt;1/1/1990,"",IF(Main[[#This Row],[Class]]="C",WORKDAY(Main[[#This Row],[Tech Start Date]],9),IF(Main[[#This Row],[Class]]="B", WORKDAY(Main[[#This Row],[Tech Start Date]],6),IF(Main[[#This Row],[Class]]="A",WORKDAY(Main[[#This Row],[Tech Start Date]],2),""))))</f>
        <v/>
      </c>
      <c r="N871" s="69" t="str">
        <f>IF(Main[[#This Row],[Tech Start Date]]&lt;1/1/1990,"",IF(Main[[#This Row],[Class]]="C",WORKDAY(Main[[#This Row],[Tech Start Date]],19),IF(Main[[#This Row],[Class]]="B", WORKDAY(Main[[#This Row],[Tech Start Date]],12),IF(Main[[#This Row],[Class]]="A",WORKDAY(Main[[#This Row],[Tech Start Date]],4),""))))</f>
        <v/>
      </c>
      <c r="O871" s="69" t="str">
        <f>IF(Main[[#This Row],[Tech Start Date]]&lt;1/1/1990,"",IF(Main[[#This Row],[Class]]="C",WORKDAY(Main[[#This Row],[Tech Start Date]],23),IF(Main[[#This Row],[Class]]="B", WORKDAY(Main[[#This Row],[Tech Start Date]],15),IF(Main[[#This Row],[Class]]="A",WORKDAY(Main[[#This Row],[Tech Start Date]],5),""))))</f>
        <v/>
      </c>
      <c r="P871" s="69" t="str">
        <f>IF(Main[[#This Row],[Tech Start Date]]&lt;1/1/1990,"",IF(Main[[#This Row],[Class]]="C",WORKDAY(Main[[#This Row],[Tech Start Date]],28),IF(Main[[#This Row],[Class]]="B", WORKDAY(Main[[#This Row],[Tech Start Date]],19),IF(Main[[#This Row],[Class]]="A",WORKDAY(Main[[#This Row],[Tech Start Date]],9),""))))</f>
        <v/>
      </c>
      <c r="Q871" s="67">
        <v>40229</v>
      </c>
      <c r="R871" s="67"/>
      <c r="S871" s="65" t="s">
        <v>6</v>
      </c>
      <c r="T871" s="70" t="s">
        <v>4</v>
      </c>
      <c r="U871" s="65" t="s">
        <v>14</v>
      </c>
      <c r="V871" s="65" t="s">
        <v>1917</v>
      </c>
      <c r="W871" s="65" t="s">
        <v>1921</v>
      </c>
      <c r="X871" s="65" t="s">
        <v>2827</v>
      </c>
      <c r="Y871" s="65" t="s">
        <v>2942</v>
      </c>
      <c r="Z871" s="65" t="s">
        <v>4</v>
      </c>
      <c r="AA871" s="65" t="s">
        <v>2827</v>
      </c>
    </row>
    <row r="872" spans="1:27" ht="17.45" customHeight="1">
      <c r="A872" s="131" t="str">
        <f>IF(priority(Main[[#This Row],[Comments]])&lt;&gt;0, priority(Main[[#This Row],[Comments]]),"")</f>
        <v/>
      </c>
      <c r="B872" s="99" t="s">
        <v>1685</v>
      </c>
      <c r="C872" s="65" t="s">
        <v>4</v>
      </c>
      <c r="D872" s="66" t="s">
        <v>742</v>
      </c>
      <c r="E872" s="67">
        <v>40591.815474537034</v>
      </c>
      <c r="F872" s="67"/>
      <c r="G872" s="64" t="str">
        <f>IF(stdProdLT(Main[[#This Row],[Comments]])=0.1,"N/A",IF(stdProdLT(Main[[#This Row],[Comments]])=0,"",stdProdLT(Main[[#This Row],[Comments]])))</f>
        <v/>
      </c>
      <c r="H872" s="68" t="str">
        <f>IF(AND(Main[[#This Row],[In Stock Date]]&lt;&gt;"",Main[[#This Row],[Revised Due Date]]&lt;&gt;""),Main[[#This Row],[In Stock Date]]-Main[[#This Row],[Revised Due Date]],"")</f>
        <v/>
      </c>
      <c r="I872" s="65" t="s">
        <v>130</v>
      </c>
      <c r="J872" s="65" t="s">
        <v>70</v>
      </c>
      <c r="K872" s="65" t="s">
        <v>1926</v>
      </c>
      <c r="L872" s="67"/>
      <c r="M872" s="69" t="str">
        <f>IF(Main[[#This Row],[Tech Start Date]]&lt;1/1/1990,"",IF(Main[[#This Row],[Class]]="C",WORKDAY(Main[[#This Row],[Tech Start Date]],9),IF(Main[[#This Row],[Class]]="B", WORKDAY(Main[[#This Row],[Tech Start Date]],6),IF(Main[[#This Row],[Class]]="A",WORKDAY(Main[[#This Row],[Tech Start Date]],2),""))))</f>
        <v/>
      </c>
      <c r="N872" s="69" t="str">
        <f>IF(Main[[#This Row],[Tech Start Date]]&lt;1/1/1990,"",IF(Main[[#This Row],[Class]]="C",WORKDAY(Main[[#This Row],[Tech Start Date]],19),IF(Main[[#This Row],[Class]]="B", WORKDAY(Main[[#This Row],[Tech Start Date]],12),IF(Main[[#This Row],[Class]]="A",WORKDAY(Main[[#This Row],[Tech Start Date]],4),""))))</f>
        <v/>
      </c>
      <c r="O872" s="69" t="str">
        <f>IF(Main[[#This Row],[Tech Start Date]]&lt;1/1/1990,"",IF(Main[[#This Row],[Class]]="C",WORKDAY(Main[[#This Row],[Tech Start Date]],23),IF(Main[[#This Row],[Class]]="B", WORKDAY(Main[[#This Row],[Tech Start Date]],15),IF(Main[[#This Row],[Class]]="A",WORKDAY(Main[[#This Row],[Tech Start Date]],5),""))))</f>
        <v/>
      </c>
      <c r="P872" s="69" t="str">
        <f>IF(Main[[#This Row],[Tech Start Date]]&lt;1/1/1990,"",IF(Main[[#This Row],[Class]]="C",WORKDAY(Main[[#This Row],[Tech Start Date]],28),IF(Main[[#This Row],[Class]]="B", WORKDAY(Main[[#This Row],[Tech Start Date]],19),IF(Main[[#This Row],[Class]]="A",WORKDAY(Main[[#This Row],[Tech Start Date]],9),""))))</f>
        <v/>
      </c>
      <c r="Q872" s="67">
        <v>40736</v>
      </c>
      <c r="R872" s="67"/>
      <c r="S872" s="65" t="s">
        <v>6</v>
      </c>
      <c r="T872" s="70" t="s">
        <v>4</v>
      </c>
      <c r="U872" s="65" t="s">
        <v>29</v>
      </c>
      <c r="V872" s="65" t="s">
        <v>1920</v>
      </c>
      <c r="W872" s="65" t="s">
        <v>1921</v>
      </c>
      <c r="X872" s="65" t="s">
        <v>30</v>
      </c>
      <c r="Y872" s="65" t="s">
        <v>2963</v>
      </c>
      <c r="Z872" s="65" t="s">
        <v>30</v>
      </c>
      <c r="AA872" s="65" t="s">
        <v>30</v>
      </c>
    </row>
    <row r="873" spans="1:27" ht="17.45" customHeight="1">
      <c r="A873" s="131" t="str">
        <f>IF(priority(Main[[#This Row],[Comments]])&lt;&gt;0, priority(Main[[#This Row],[Comments]]),"")</f>
        <v/>
      </c>
      <c r="B873" s="99" t="s">
        <v>2037</v>
      </c>
      <c r="C873" s="65" t="s">
        <v>37</v>
      </c>
      <c r="D873" s="66" t="s">
        <v>485</v>
      </c>
      <c r="E873" s="67"/>
      <c r="F873" s="67"/>
      <c r="G873" s="64" t="str">
        <f>IF(stdProdLT(Main[[#This Row],[Comments]])=0.1,"N/A",IF(stdProdLT(Main[[#This Row],[Comments]])=0,"",stdProdLT(Main[[#This Row],[Comments]])))</f>
        <v/>
      </c>
      <c r="H873" s="68" t="str">
        <f>IF(AND(Main[[#This Row],[In Stock Date]]&lt;&gt;"",Main[[#This Row],[Revised Due Date]]&lt;&gt;""),Main[[#This Row],[In Stock Date]]-Main[[#This Row],[Revised Due Date]],"")</f>
        <v/>
      </c>
      <c r="I873" s="65" t="s">
        <v>4</v>
      </c>
      <c r="J873" s="65" t="s">
        <v>21</v>
      </c>
      <c r="K873" s="65" t="s">
        <v>4</v>
      </c>
      <c r="L873" s="67"/>
      <c r="M873" s="69" t="str">
        <f>IF(Main[[#This Row],[Tech Start Date]]&lt;1/1/1990,"",IF(Main[[#This Row],[Class]]="C",WORKDAY(Main[[#This Row],[Tech Start Date]],9),IF(Main[[#This Row],[Class]]="B", WORKDAY(Main[[#This Row],[Tech Start Date]],6),IF(Main[[#This Row],[Class]]="A",WORKDAY(Main[[#This Row],[Tech Start Date]],2),""))))</f>
        <v/>
      </c>
      <c r="N873" s="69" t="str">
        <f>IF(Main[[#This Row],[Tech Start Date]]&lt;1/1/1990,"",IF(Main[[#This Row],[Class]]="C",WORKDAY(Main[[#This Row],[Tech Start Date]],19),IF(Main[[#This Row],[Class]]="B", WORKDAY(Main[[#This Row],[Tech Start Date]],12),IF(Main[[#This Row],[Class]]="A",WORKDAY(Main[[#This Row],[Tech Start Date]],4),""))))</f>
        <v/>
      </c>
      <c r="O873" s="69" t="str">
        <f>IF(Main[[#This Row],[Tech Start Date]]&lt;1/1/1990,"",IF(Main[[#This Row],[Class]]="C",WORKDAY(Main[[#This Row],[Tech Start Date]],23),IF(Main[[#This Row],[Class]]="B", WORKDAY(Main[[#This Row],[Tech Start Date]],15),IF(Main[[#This Row],[Class]]="A",WORKDAY(Main[[#This Row],[Tech Start Date]],5),""))))</f>
        <v/>
      </c>
      <c r="P873" s="69" t="str">
        <f>IF(Main[[#This Row],[Tech Start Date]]&lt;1/1/1990,"",IF(Main[[#This Row],[Class]]="C",WORKDAY(Main[[#This Row],[Tech Start Date]],28),IF(Main[[#This Row],[Class]]="B", WORKDAY(Main[[#This Row],[Tech Start Date]],19),IF(Main[[#This Row],[Class]]="A",WORKDAY(Main[[#This Row],[Tech Start Date]],9),""))))</f>
        <v/>
      </c>
      <c r="Q873" s="67">
        <v>40696</v>
      </c>
      <c r="R873" s="67"/>
      <c r="S873" s="65" t="s">
        <v>6</v>
      </c>
      <c r="T873" s="70" t="s">
        <v>4</v>
      </c>
      <c r="U873" s="65" t="s">
        <v>12</v>
      </c>
      <c r="V873" s="65" t="s">
        <v>1917</v>
      </c>
      <c r="W873" s="65" t="s">
        <v>1928</v>
      </c>
      <c r="X873" s="65" t="s">
        <v>50</v>
      </c>
      <c r="Y873" s="65" t="s">
        <v>3103</v>
      </c>
      <c r="Z873" s="65" t="s">
        <v>3166</v>
      </c>
      <c r="AA873" s="65" t="s">
        <v>972</v>
      </c>
    </row>
    <row r="874" spans="1:27" ht="17.45" customHeight="1">
      <c r="A874" s="131" t="str">
        <f>IF(priority(Main[[#This Row],[Comments]])&lt;&gt;0, priority(Main[[#This Row],[Comments]]),"")</f>
        <v/>
      </c>
      <c r="B874" s="99" t="s">
        <v>2195</v>
      </c>
      <c r="C874" s="65" t="s">
        <v>4</v>
      </c>
      <c r="D874" s="66" t="s">
        <v>2196</v>
      </c>
      <c r="E874" s="67"/>
      <c r="F874" s="67">
        <v>40848</v>
      </c>
      <c r="G874" s="64" t="str">
        <f>IF(stdProdLT(Main[[#This Row],[Comments]])=0.1,"N/A",IF(stdProdLT(Main[[#This Row],[Comments]])=0,"",stdProdLT(Main[[#This Row],[Comments]])))</f>
        <v/>
      </c>
      <c r="H874" s="68" t="str">
        <f>IF(AND(Main[[#This Row],[In Stock Date]]&lt;&gt;"",Main[[#This Row],[Revised Due Date]]&lt;&gt;""),Main[[#This Row],[In Stock Date]]-Main[[#This Row],[Revised Due Date]],"")</f>
        <v/>
      </c>
      <c r="I874" s="65" t="s">
        <v>4</v>
      </c>
      <c r="J874" s="65" t="s">
        <v>4</v>
      </c>
      <c r="K874" s="65" t="s">
        <v>4</v>
      </c>
      <c r="L874" s="67"/>
      <c r="M874" s="69" t="str">
        <f>IF(Main[[#This Row],[Tech Start Date]]&lt;1/1/1990,"",IF(Main[[#This Row],[Class]]="C",WORKDAY(Main[[#This Row],[Tech Start Date]],9),IF(Main[[#This Row],[Class]]="B", WORKDAY(Main[[#This Row],[Tech Start Date]],6),IF(Main[[#This Row],[Class]]="A",WORKDAY(Main[[#This Row],[Tech Start Date]],2),""))))</f>
        <v/>
      </c>
      <c r="N874" s="69" t="str">
        <f>IF(Main[[#This Row],[Tech Start Date]]&lt;1/1/1990,"",IF(Main[[#This Row],[Class]]="C",WORKDAY(Main[[#This Row],[Tech Start Date]],19),IF(Main[[#This Row],[Class]]="B", WORKDAY(Main[[#This Row],[Tech Start Date]],12),IF(Main[[#This Row],[Class]]="A",WORKDAY(Main[[#This Row],[Tech Start Date]],4),""))))</f>
        <v/>
      </c>
      <c r="O874" s="69" t="str">
        <f>IF(Main[[#This Row],[Tech Start Date]]&lt;1/1/1990,"",IF(Main[[#This Row],[Class]]="C",WORKDAY(Main[[#This Row],[Tech Start Date]],23),IF(Main[[#This Row],[Class]]="B", WORKDAY(Main[[#This Row],[Tech Start Date]],15),IF(Main[[#This Row],[Class]]="A",WORKDAY(Main[[#This Row],[Tech Start Date]],5),""))))</f>
        <v/>
      </c>
      <c r="P874" s="69" t="str">
        <f>IF(Main[[#This Row],[Tech Start Date]]&lt;1/1/1990,"",IF(Main[[#This Row],[Class]]="C",WORKDAY(Main[[#This Row],[Tech Start Date]],28),IF(Main[[#This Row],[Class]]="B", WORKDAY(Main[[#This Row],[Tech Start Date]],19),IF(Main[[#This Row],[Class]]="A",WORKDAY(Main[[#This Row],[Tech Start Date]],9),""))))</f>
        <v/>
      </c>
      <c r="Q874" s="67">
        <v>40800</v>
      </c>
      <c r="R874" s="67"/>
      <c r="S874" s="65" t="s">
        <v>11</v>
      </c>
      <c r="T874" s="70" t="s">
        <v>4</v>
      </c>
      <c r="U874" s="65" t="s">
        <v>14</v>
      </c>
      <c r="V874" s="65" t="s">
        <v>1927</v>
      </c>
      <c r="W874" s="65" t="s">
        <v>1925</v>
      </c>
      <c r="X874" s="65" t="s">
        <v>2911</v>
      </c>
      <c r="Y874" s="65" t="s">
        <v>3104</v>
      </c>
      <c r="Z874" s="65" t="s">
        <v>4</v>
      </c>
      <c r="AA874" s="65" t="s">
        <v>2911</v>
      </c>
    </row>
    <row r="875" spans="1:27" ht="17.45" customHeight="1">
      <c r="A875" s="131" t="str">
        <f>IF(priority(Main[[#This Row],[Comments]])&lt;&gt;0, priority(Main[[#This Row],[Comments]]),"")</f>
        <v/>
      </c>
      <c r="B875" s="99" t="s">
        <v>1686</v>
      </c>
      <c r="C875" s="65" t="s">
        <v>4</v>
      </c>
      <c r="D875" s="66" t="s">
        <v>739</v>
      </c>
      <c r="E875" s="67">
        <v>40520.411597222221</v>
      </c>
      <c r="F875" s="67"/>
      <c r="G875" s="64" t="str">
        <f>IF(stdProdLT(Main[[#This Row],[Comments]])=0.1,"N/A",IF(stdProdLT(Main[[#This Row],[Comments]])=0,"",stdProdLT(Main[[#This Row],[Comments]])))</f>
        <v/>
      </c>
      <c r="H875" s="68" t="str">
        <f>IF(AND(Main[[#This Row],[In Stock Date]]&lt;&gt;"",Main[[#This Row],[Revised Due Date]]&lt;&gt;""),Main[[#This Row],[In Stock Date]]-Main[[#This Row],[Revised Due Date]],"")</f>
        <v/>
      </c>
      <c r="I875" s="65" t="s">
        <v>4</v>
      </c>
      <c r="J875" s="65" t="s">
        <v>28</v>
      </c>
      <c r="K875" s="65" t="s">
        <v>4</v>
      </c>
      <c r="L875" s="67"/>
      <c r="M875" s="69" t="str">
        <f>IF(Main[[#This Row],[Tech Start Date]]&lt;1/1/1990,"",IF(Main[[#This Row],[Class]]="C",WORKDAY(Main[[#This Row],[Tech Start Date]],9),IF(Main[[#This Row],[Class]]="B", WORKDAY(Main[[#This Row],[Tech Start Date]],6),IF(Main[[#This Row],[Class]]="A",WORKDAY(Main[[#This Row],[Tech Start Date]],2),""))))</f>
        <v/>
      </c>
      <c r="N875" s="69" t="str">
        <f>IF(Main[[#This Row],[Tech Start Date]]&lt;1/1/1990,"",IF(Main[[#This Row],[Class]]="C",WORKDAY(Main[[#This Row],[Tech Start Date]],19),IF(Main[[#This Row],[Class]]="B", WORKDAY(Main[[#This Row],[Tech Start Date]],12),IF(Main[[#This Row],[Class]]="A",WORKDAY(Main[[#This Row],[Tech Start Date]],4),""))))</f>
        <v/>
      </c>
      <c r="O875" s="69" t="str">
        <f>IF(Main[[#This Row],[Tech Start Date]]&lt;1/1/1990,"",IF(Main[[#This Row],[Class]]="C",WORKDAY(Main[[#This Row],[Tech Start Date]],23),IF(Main[[#This Row],[Class]]="B", WORKDAY(Main[[#This Row],[Tech Start Date]],15),IF(Main[[#This Row],[Class]]="A",WORKDAY(Main[[#This Row],[Tech Start Date]],5),""))))</f>
        <v/>
      </c>
      <c r="P875" s="69" t="str">
        <f>IF(Main[[#This Row],[Tech Start Date]]&lt;1/1/1990,"",IF(Main[[#This Row],[Class]]="C",WORKDAY(Main[[#This Row],[Tech Start Date]],28),IF(Main[[#This Row],[Class]]="B", WORKDAY(Main[[#This Row],[Tech Start Date]],19),IF(Main[[#This Row],[Class]]="A",WORKDAY(Main[[#This Row],[Tech Start Date]],9),""))))</f>
        <v/>
      </c>
      <c r="Q875" s="67">
        <v>40571</v>
      </c>
      <c r="R875" s="67"/>
      <c r="S875" s="65" t="s">
        <v>6</v>
      </c>
      <c r="T875" s="70" t="s">
        <v>4</v>
      </c>
      <c r="U875" s="65" t="s">
        <v>7</v>
      </c>
      <c r="V875" s="65" t="s">
        <v>1917</v>
      </c>
      <c r="W875" s="65" t="s">
        <v>1919</v>
      </c>
      <c r="X875" s="65" t="s">
        <v>2824</v>
      </c>
      <c r="Y875" s="65" t="s">
        <v>2935</v>
      </c>
      <c r="Z875" s="65" t="s">
        <v>129</v>
      </c>
      <c r="AA875" s="65" t="s">
        <v>2824</v>
      </c>
    </row>
    <row r="876" spans="1:27" ht="17.45" customHeight="1">
      <c r="A876" s="131" t="str">
        <f>IF(priority(Main[[#This Row],[Comments]])&lt;&gt;0, priority(Main[[#This Row],[Comments]]),"")</f>
        <v/>
      </c>
      <c r="B876" s="99" t="s">
        <v>1687</v>
      </c>
      <c r="C876" s="65" t="s">
        <v>4</v>
      </c>
      <c r="D876" s="66" t="s">
        <v>740</v>
      </c>
      <c r="E876" s="67"/>
      <c r="F876" s="67"/>
      <c r="G876" s="64" t="str">
        <f>IF(stdProdLT(Main[[#This Row],[Comments]])=0.1,"N/A",IF(stdProdLT(Main[[#This Row],[Comments]])=0,"",stdProdLT(Main[[#This Row],[Comments]])))</f>
        <v/>
      </c>
      <c r="H876" s="68" t="str">
        <f>IF(AND(Main[[#This Row],[In Stock Date]]&lt;&gt;"",Main[[#This Row],[Revised Due Date]]&lt;&gt;""),Main[[#This Row],[In Stock Date]]-Main[[#This Row],[Revised Due Date]],"")</f>
        <v/>
      </c>
      <c r="I876" s="65" t="s">
        <v>4</v>
      </c>
      <c r="J876" s="65" t="s">
        <v>28</v>
      </c>
      <c r="K876" s="71" t="s">
        <v>4</v>
      </c>
      <c r="L876" s="67"/>
      <c r="M876" s="69" t="str">
        <f>IF(Main[[#This Row],[Tech Start Date]]&lt;1/1/1990,"",IF(Main[[#This Row],[Class]]="C",WORKDAY(Main[[#This Row],[Tech Start Date]],9),IF(Main[[#This Row],[Class]]="B", WORKDAY(Main[[#This Row],[Tech Start Date]],6),IF(Main[[#This Row],[Class]]="A",WORKDAY(Main[[#This Row],[Tech Start Date]],2),""))))</f>
        <v/>
      </c>
      <c r="N876" s="69" t="str">
        <f>IF(Main[[#This Row],[Tech Start Date]]&lt;1/1/1990,"",IF(Main[[#This Row],[Class]]="C",WORKDAY(Main[[#This Row],[Tech Start Date]],19),IF(Main[[#This Row],[Class]]="B", WORKDAY(Main[[#This Row],[Tech Start Date]],12),IF(Main[[#This Row],[Class]]="A",WORKDAY(Main[[#This Row],[Tech Start Date]],4),""))))</f>
        <v/>
      </c>
      <c r="O876" s="69" t="str">
        <f>IF(Main[[#This Row],[Tech Start Date]]&lt;1/1/1990,"",IF(Main[[#This Row],[Class]]="C",WORKDAY(Main[[#This Row],[Tech Start Date]],23),IF(Main[[#This Row],[Class]]="B", WORKDAY(Main[[#This Row],[Tech Start Date]],15),IF(Main[[#This Row],[Class]]="A",WORKDAY(Main[[#This Row],[Tech Start Date]],5),""))))</f>
        <v/>
      </c>
      <c r="P876" s="69" t="str">
        <f>IF(Main[[#This Row],[Tech Start Date]]&lt;1/1/1990,"",IF(Main[[#This Row],[Class]]="C",WORKDAY(Main[[#This Row],[Tech Start Date]],28),IF(Main[[#This Row],[Class]]="B", WORKDAY(Main[[#This Row],[Tech Start Date]],19),IF(Main[[#This Row],[Class]]="A",WORKDAY(Main[[#This Row],[Tech Start Date]],9),""))))</f>
        <v/>
      </c>
      <c r="Q876" s="67"/>
      <c r="R876" s="67"/>
      <c r="S876" s="65" t="s">
        <v>17</v>
      </c>
      <c r="T876" s="70" t="s">
        <v>4</v>
      </c>
      <c r="U876" s="65" t="s">
        <v>14</v>
      </c>
      <c r="V876" s="65" t="s">
        <v>1917</v>
      </c>
      <c r="W876" s="65" t="s">
        <v>1925</v>
      </c>
      <c r="X876" s="65" t="s">
        <v>924</v>
      </c>
      <c r="Y876" s="65" t="s">
        <v>2988</v>
      </c>
      <c r="Z876" s="65" t="s">
        <v>129</v>
      </c>
      <c r="AA876" s="65" t="s">
        <v>924</v>
      </c>
    </row>
    <row r="877" spans="1:27" ht="17.45" customHeight="1">
      <c r="A877" s="131" t="str">
        <f>IF(priority(Main[[#This Row],[Comments]])&lt;&gt;0, priority(Main[[#This Row],[Comments]]),"")</f>
        <v/>
      </c>
      <c r="B877" s="99" t="s">
        <v>1690</v>
      </c>
      <c r="C877" s="65" t="s">
        <v>4</v>
      </c>
      <c r="D877" s="66" t="s">
        <v>744</v>
      </c>
      <c r="E877" s="67"/>
      <c r="F877" s="67"/>
      <c r="G877" s="64" t="str">
        <f>IF(stdProdLT(Main[[#This Row],[Comments]])=0.1,"N/A",IF(stdProdLT(Main[[#This Row],[Comments]])=0,"",stdProdLT(Main[[#This Row],[Comments]])))</f>
        <v/>
      </c>
      <c r="H877" s="68" t="str">
        <f>IF(AND(Main[[#This Row],[In Stock Date]]&lt;&gt;"",Main[[#This Row],[Revised Due Date]]&lt;&gt;""),Main[[#This Row],[In Stock Date]]-Main[[#This Row],[Revised Due Date]],"")</f>
        <v/>
      </c>
      <c r="I877" s="65" t="s">
        <v>4</v>
      </c>
      <c r="J877" s="65" t="s">
        <v>4</v>
      </c>
      <c r="K877" s="65" t="s">
        <v>4</v>
      </c>
      <c r="L877" s="67"/>
      <c r="M877" s="69" t="str">
        <f>IF(Main[[#This Row],[Tech Start Date]]&lt;1/1/1990,"",IF(Main[[#This Row],[Class]]="C",WORKDAY(Main[[#This Row],[Tech Start Date]],9),IF(Main[[#This Row],[Class]]="B", WORKDAY(Main[[#This Row],[Tech Start Date]],6),IF(Main[[#This Row],[Class]]="A",WORKDAY(Main[[#This Row],[Tech Start Date]],2),""))))</f>
        <v/>
      </c>
      <c r="N877" s="69" t="str">
        <f>IF(Main[[#This Row],[Tech Start Date]]&lt;1/1/1990,"",IF(Main[[#This Row],[Class]]="C",WORKDAY(Main[[#This Row],[Tech Start Date]],19),IF(Main[[#This Row],[Class]]="B", WORKDAY(Main[[#This Row],[Tech Start Date]],12),IF(Main[[#This Row],[Class]]="A",WORKDAY(Main[[#This Row],[Tech Start Date]],4),""))))</f>
        <v/>
      </c>
      <c r="O877" s="69" t="str">
        <f>IF(Main[[#This Row],[Tech Start Date]]&lt;1/1/1990,"",IF(Main[[#This Row],[Class]]="C",WORKDAY(Main[[#This Row],[Tech Start Date]],23),IF(Main[[#This Row],[Class]]="B", WORKDAY(Main[[#This Row],[Tech Start Date]],15),IF(Main[[#This Row],[Class]]="A",WORKDAY(Main[[#This Row],[Tech Start Date]],5),""))))</f>
        <v/>
      </c>
      <c r="P877" s="69" t="str">
        <f>IF(Main[[#This Row],[Tech Start Date]]&lt;1/1/1990,"",IF(Main[[#This Row],[Class]]="C",WORKDAY(Main[[#This Row],[Tech Start Date]],28),IF(Main[[#This Row],[Class]]="B", WORKDAY(Main[[#This Row],[Tech Start Date]],19),IF(Main[[#This Row],[Class]]="A",WORKDAY(Main[[#This Row],[Tech Start Date]],9),""))))</f>
        <v/>
      </c>
      <c r="Q877" s="67"/>
      <c r="R877" s="67"/>
      <c r="S877" s="65" t="s">
        <v>23</v>
      </c>
      <c r="T877" s="70" t="s">
        <v>4</v>
      </c>
      <c r="U877" s="65" t="s">
        <v>14</v>
      </c>
      <c r="V877" s="65" t="s">
        <v>1917</v>
      </c>
      <c r="W877" s="65" t="s">
        <v>1921</v>
      </c>
      <c r="X877" s="65" t="s">
        <v>399</v>
      </c>
      <c r="Y877" s="65" t="s">
        <v>4</v>
      </c>
      <c r="Z877" s="65" t="s">
        <v>4</v>
      </c>
      <c r="AA877" s="65" t="s">
        <v>3038</v>
      </c>
    </row>
    <row r="878" spans="1:27" ht="17.45" customHeight="1">
      <c r="A878" s="131" t="str">
        <f>IF(priority(Main[[#This Row],[Comments]])&lt;&gt;0, priority(Main[[#This Row],[Comments]]),"")</f>
        <v/>
      </c>
      <c r="B878" s="99" t="s">
        <v>1836</v>
      </c>
      <c r="C878" s="65" t="s">
        <v>4</v>
      </c>
      <c r="D878" s="66" t="s">
        <v>889</v>
      </c>
      <c r="E878" s="67">
        <v>40371.599317129629</v>
      </c>
      <c r="F878" s="67"/>
      <c r="G878" s="64" t="str">
        <f>IF(stdProdLT(Main[[#This Row],[Comments]])=0.1,"N/A",IF(stdProdLT(Main[[#This Row],[Comments]])=0,"",stdProdLT(Main[[#This Row],[Comments]])))</f>
        <v/>
      </c>
      <c r="H878" s="68" t="str">
        <f>IF(AND(Main[[#This Row],[In Stock Date]]&lt;&gt;"",Main[[#This Row],[Revised Due Date]]&lt;&gt;""),Main[[#This Row],[In Stock Date]]-Main[[#This Row],[Revised Due Date]],"")</f>
        <v/>
      </c>
      <c r="I878" s="65" t="s">
        <v>126</v>
      </c>
      <c r="J878" s="65" t="s">
        <v>28</v>
      </c>
      <c r="K878" s="65" t="s">
        <v>1929</v>
      </c>
      <c r="L878" s="67"/>
      <c r="M878" s="69" t="str">
        <f>IF(Main[[#This Row],[Tech Start Date]]&lt;1/1/1990,"",IF(Main[[#This Row],[Class]]="C",WORKDAY(Main[[#This Row],[Tech Start Date]],9),IF(Main[[#This Row],[Class]]="B", WORKDAY(Main[[#This Row],[Tech Start Date]],6),IF(Main[[#This Row],[Class]]="A",WORKDAY(Main[[#This Row],[Tech Start Date]],2),""))))</f>
        <v/>
      </c>
      <c r="N878" s="69" t="str">
        <f>IF(Main[[#This Row],[Tech Start Date]]&lt;1/1/1990,"",IF(Main[[#This Row],[Class]]="C",WORKDAY(Main[[#This Row],[Tech Start Date]],19),IF(Main[[#This Row],[Class]]="B", WORKDAY(Main[[#This Row],[Tech Start Date]],12),IF(Main[[#This Row],[Class]]="A",WORKDAY(Main[[#This Row],[Tech Start Date]],4),""))))</f>
        <v/>
      </c>
      <c r="O878" s="69" t="str">
        <f>IF(Main[[#This Row],[Tech Start Date]]&lt;1/1/1990,"",IF(Main[[#This Row],[Class]]="C",WORKDAY(Main[[#This Row],[Tech Start Date]],23),IF(Main[[#This Row],[Class]]="B", WORKDAY(Main[[#This Row],[Tech Start Date]],15),IF(Main[[#This Row],[Class]]="A",WORKDAY(Main[[#This Row],[Tech Start Date]],5),""))))</f>
        <v/>
      </c>
      <c r="P878" s="69" t="str">
        <f>IF(Main[[#This Row],[Tech Start Date]]&lt;1/1/1990,"",IF(Main[[#This Row],[Class]]="C",WORKDAY(Main[[#This Row],[Tech Start Date]],28),IF(Main[[#This Row],[Class]]="B", WORKDAY(Main[[#This Row],[Tech Start Date]],19),IF(Main[[#This Row],[Class]]="A",WORKDAY(Main[[#This Row],[Tech Start Date]],9),""))))</f>
        <v/>
      </c>
      <c r="Q878" s="67">
        <v>40420</v>
      </c>
      <c r="R878" s="67">
        <v>40420</v>
      </c>
      <c r="S878" s="65" t="s">
        <v>17</v>
      </c>
      <c r="T878" s="70" t="s">
        <v>4</v>
      </c>
      <c r="U878" s="65" t="s">
        <v>29</v>
      </c>
      <c r="V878" s="65" t="s">
        <v>1917</v>
      </c>
      <c r="W878" s="65" t="s">
        <v>1925</v>
      </c>
      <c r="X878" s="65" t="s">
        <v>129</v>
      </c>
      <c r="Y878" s="65" t="s">
        <v>2965</v>
      </c>
      <c r="Z878" s="65" t="s">
        <v>129</v>
      </c>
      <c r="AA878" s="65" t="s">
        <v>2834</v>
      </c>
    </row>
    <row r="879" spans="1:27" ht="17.45" customHeight="1">
      <c r="A879" s="131" t="str">
        <f>IF(priority(Main[[#This Row],[Comments]])&lt;&gt;0, priority(Main[[#This Row],[Comments]]),"")</f>
        <v/>
      </c>
      <c r="B879" s="99" t="s">
        <v>1691</v>
      </c>
      <c r="C879" s="65" t="s">
        <v>4</v>
      </c>
      <c r="D879" s="66" t="s">
        <v>745</v>
      </c>
      <c r="E879" s="67"/>
      <c r="F879" s="67"/>
      <c r="G879" s="64" t="str">
        <f>IF(stdProdLT(Main[[#This Row],[Comments]])=0.1,"N/A",IF(stdProdLT(Main[[#This Row],[Comments]])=0,"",stdProdLT(Main[[#This Row],[Comments]])))</f>
        <v/>
      </c>
      <c r="H879" s="68" t="str">
        <f>IF(AND(Main[[#This Row],[In Stock Date]]&lt;&gt;"",Main[[#This Row],[Revised Due Date]]&lt;&gt;""),Main[[#This Row],[In Stock Date]]-Main[[#This Row],[Revised Due Date]],"")</f>
        <v/>
      </c>
      <c r="I879" s="65" t="s">
        <v>4</v>
      </c>
      <c r="J879" s="65" t="s">
        <v>28</v>
      </c>
      <c r="K879" s="65" t="s">
        <v>1924</v>
      </c>
      <c r="L879" s="67"/>
      <c r="M879" s="69" t="str">
        <f>IF(Main[[#This Row],[Tech Start Date]]&lt;1/1/1990,"",IF(Main[[#This Row],[Class]]="C",WORKDAY(Main[[#This Row],[Tech Start Date]],9),IF(Main[[#This Row],[Class]]="B", WORKDAY(Main[[#This Row],[Tech Start Date]],6),IF(Main[[#This Row],[Class]]="A",WORKDAY(Main[[#This Row],[Tech Start Date]],2),""))))</f>
        <v/>
      </c>
      <c r="N879" s="69" t="str">
        <f>IF(Main[[#This Row],[Tech Start Date]]&lt;1/1/1990,"",IF(Main[[#This Row],[Class]]="C",WORKDAY(Main[[#This Row],[Tech Start Date]],19),IF(Main[[#This Row],[Class]]="B", WORKDAY(Main[[#This Row],[Tech Start Date]],12),IF(Main[[#This Row],[Class]]="A",WORKDAY(Main[[#This Row],[Tech Start Date]],4),""))))</f>
        <v/>
      </c>
      <c r="O879" s="69" t="str">
        <f>IF(Main[[#This Row],[Tech Start Date]]&lt;1/1/1990,"",IF(Main[[#This Row],[Class]]="C",WORKDAY(Main[[#This Row],[Tech Start Date]],23),IF(Main[[#This Row],[Class]]="B", WORKDAY(Main[[#This Row],[Tech Start Date]],15),IF(Main[[#This Row],[Class]]="A",WORKDAY(Main[[#This Row],[Tech Start Date]],5),""))))</f>
        <v/>
      </c>
      <c r="P879" s="69" t="str">
        <f>IF(Main[[#This Row],[Tech Start Date]]&lt;1/1/1990,"",IF(Main[[#This Row],[Class]]="C",WORKDAY(Main[[#This Row],[Tech Start Date]],28),IF(Main[[#This Row],[Class]]="B", WORKDAY(Main[[#This Row],[Tech Start Date]],19),IF(Main[[#This Row],[Class]]="A",WORKDAY(Main[[#This Row],[Tech Start Date]],9),""))))</f>
        <v/>
      </c>
      <c r="Q879" s="67"/>
      <c r="R879" s="67"/>
      <c r="S879" s="65" t="s">
        <v>6</v>
      </c>
      <c r="T879" s="70" t="s">
        <v>4</v>
      </c>
      <c r="U879" s="65" t="s">
        <v>14</v>
      </c>
      <c r="V879" s="65" t="s">
        <v>1917</v>
      </c>
      <c r="W879" s="65" t="s">
        <v>1921</v>
      </c>
      <c r="X879" s="65" t="s">
        <v>306</v>
      </c>
      <c r="Y879" s="65" t="s">
        <v>3105</v>
      </c>
      <c r="Z879" s="65" t="s">
        <v>129</v>
      </c>
      <c r="AA879" s="65" t="s">
        <v>3448</v>
      </c>
    </row>
    <row r="880" spans="1:27" ht="17.45" customHeight="1">
      <c r="A880" s="131" t="str">
        <f>IF(priority(Main[[#This Row],[Comments]])&lt;&gt;0, priority(Main[[#This Row],[Comments]]),"")</f>
        <v/>
      </c>
      <c r="B880" s="99" t="s">
        <v>1693</v>
      </c>
      <c r="C880" s="65" t="s">
        <v>4</v>
      </c>
      <c r="D880" s="66" t="s">
        <v>748</v>
      </c>
      <c r="E880" s="67"/>
      <c r="F880" s="67"/>
      <c r="G880" s="64" t="str">
        <f>IF(stdProdLT(Main[[#This Row],[Comments]])=0.1,"N/A",IF(stdProdLT(Main[[#This Row],[Comments]])=0,"",stdProdLT(Main[[#This Row],[Comments]])))</f>
        <v/>
      </c>
      <c r="H880" s="68" t="str">
        <f>IF(AND(Main[[#This Row],[In Stock Date]]&lt;&gt;"",Main[[#This Row],[Revised Due Date]]&lt;&gt;""),Main[[#This Row],[In Stock Date]]-Main[[#This Row],[Revised Due Date]],"")</f>
        <v/>
      </c>
      <c r="I880" s="65" t="s">
        <v>4</v>
      </c>
      <c r="J880" s="65" t="s">
        <v>4</v>
      </c>
      <c r="K880" s="65" t="s">
        <v>4</v>
      </c>
      <c r="L880" s="67"/>
      <c r="M880" s="69" t="str">
        <f>IF(Main[[#This Row],[Tech Start Date]]&lt;1/1/1990,"",IF(Main[[#This Row],[Class]]="C",WORKDAY(Main[[#This Row],[Tech Start Date]],9),IF(Main[[#This Row],[Class]]="B", WORKDAY(Main[[#This Row],[Tech Start Date]],6),IF(Main[[#This Row],[Class]]="A",WORKDAY(Main[[#This Row],[Tech Start Date]],2),""))))</f>
        <v/>
      </c>
      <c r="N880" s="69" t="str">
        <f>IF(Main[[#This Row],[Tech Start Date]]&lt;1/1/1990,"",IF(Main[[#This Row],[Class]]="C",WORKDAY(Main[[#This Row],[Tech Start Date]],19),IF(Main[[#This Row],[Class]]="B", WORKDAY(Main[[#This Row],[Tech Start Date]],12),IF(Main[[#This Row],[Class]]="A",WORKDAY(Main[[#This Row],[Tech Start Date]],4),""))))</f>
        <v/>
      </c>
      <c r="O880" s="69" t="str">
        <f>IF(Main[[#This Row],[Tech Start Date]]&lt;1/1/1990,"",IF(Main[[#This Row],[Class]]="C",WORKDAY(Main[[#This Row],[Tech Start Date]],23),IF(Main[[#This Row],[Class]]="B", WORKDAY(Main[[#This Row],[Tech Start Date]],15),IF(Main[[#This Row],[Class]]="A",WORKDAY(Main[[#This Row],[Tech Start Date]],5),""))))</f>
        <v/>
      </c>
      <c r="P880" s="69" t="str">
        <f>IF(Main[[#This Row],[Tech Start Date]]&lt;1/1/1990,"",IF(Main[[#This Row],[Class]]="C",WORKDAY(Main[[#This Row],[Tech Start Date]],28),IF(Main[[#This Row],[Class]]="B", WORKDAY(Main[[#This Row],[Tech Start Date]],19),IF(Main[[#This Row],[Class]]="A",WORKDAY(Main[[#This Row],[Tech Start Date]],9),""))))</f>
        <v/>
      </c>
      <c r="Q880" s="67"/>
      <c r="R880" s="67"/>
      <c r="S880" s="65" t="s">
        <v>11</v>
      </c>
      <c r="T880" s="70" t="s">
        <v>4</v>
      </c>
      <c r="U880" s="65" t="s">
        <v>14</v>
      </c>
      <c r="V880" s="65" t="s">
        <v>1917</v>
      </c>
      <c r="W880" s="65" t="s">
        <v>1921</v>
      </c>
      <c r="X880" s="65" t="s">
        <v>710</v>
      </c>
      <c r="Y880" s="65" t="s">
        <v>3091</v>
      </c>
      <c r="Z880" s="65" t="s">
        <v>4</v>
      </c>
      <c r="AA880" s="65" t="s">
        <v>971</v>
      </c>
    </row>
    <row r="881" spans="1:27" ht="17.45" customHeight="1">
      <c r="A881" s="131" t="str">
        <f>IF(priority(Main[[#This Row],[Comments]])&lt;&gt;0, priority(Main[[#This Row],[Comments]]),"")</f>
        <v/>
      </c>
      <c r="B881" s="99" t="s">
        <v>1694</v>
      </c>
      <c r="C881" s="65" t="s">
        <v>4</v>
      </c>
      <c r="D881" s="66" t="s">
        <v>749</v>
      </c>
      <c r="E881" s="67"/>
      <c r="F881" s="67"/>
      <c r="G881" s="64" t="str">
        <f>IF(stdProdLT(Main[[#This Row],[Comments]])=0.1,"N/A",IF(stdProdLT(Main[[#This Row],[Comments]])=0,"",stdProdLT(Main[[#This Row],[Comments]])))</f>
        <v/>
      </c>
      <c r="H881" s="68" t="str">
        <f>IF(AND(Main[[#This Row],[In Stock Date]]&lt;&gt;"",Main[[#This Row],[Revised Due Date]]&lt;&gt;""),Main[[#This Row],[In Stock Date]]-Main[[#This Row],[Revised Due Date]],"")</f>
        <v/>
      </c>
      <c r="I881" s="65" t="s">
        <v>429</v>
      </c>
      <c r="J881" s="65" t="s">
        <v>70</v>
      </c>
      <c r="K881" s="65" t="s">
        <v>4</v>
      </c>
      <c r="L881" s="67"/>
      <c r="M881" s="69" t="str">
        <f>IF(Main[[#This Row],[Tech Start Date]]&lt;1/1/1990,"",IF(Main[[#This Row],[Class]]="C",WORKDAY(Main[[#This Row],[Tech Start Date]],9),IF(Main[[#This Row],[Class]]="B", WORKDAY(Main[[#This Row],[Tech Start Date]],6),IF(Main[[#This Row],[Class]]="A",WORKDAY(Main[[#This Row],[Tech Start Date]],2),""))))</f>
        <v/>
      </c>
      <c r="N881" s="69" t="str">
        <f>IF(Main[[#This Row],[Tech Start Date]]&lt;1/1/1990,"",IF(Main[[#This Row],[Class]]="C",WORKDAY(Main[[#This Row],[Tech Start Date]],19),IF(Main[[#This Row],[Class]]="B", WORKDAY(Main[[#This Row],[Tech Start Date]],12),IF(Main[[#This Row],[Class]]="A",WORKDAY(Main[[#This Row],[Tech Start Date]],4),""))))</f>
        <v/>
      </c>
      <c r="O881" s="69" t="str">
        <f>IF(Main[[#This Row],[Tech Start Date]]&lt;1/1/1990,"",IF(Main[[#This Row],[Class]]="C",WORKDAY(Main[[#This Row],[Tech Start Date]],23),IF(Main[[#This Row],[Class]]="B", WORKDAY(Main[[#This Row],[Tech Start Date]],15),IF(Main[[#This Row],[Class]]="A",WORKDAY(Main[[#This Row],[Tech Start Date]],5),""))))</f>
        <v/>
      </c>
      <c r="P881" s="69" t="str">
        <f>IF(Main[[#This Row],[Tech Start Date]]&lt;1/1/1990,"",IF(Main[[#This Row],[Class]]="C",WORKDAY(Main[[#This Row],[Tech Start Date]],28),IF(Main[[#This Row],[Class]]="B", WORKDAY(Main[[#This Row],[Tech Start Date]],19),IF(Main[[#This Row],[Class]]="A",WORKDAY(Main[[#This Row],[Tech Start Date]],9),""))))</f>
        <v/>
      </c>
      <c r="Q881" s="67">
        <v>40437</v>
      </c>
      <c r="R881" s="67"/>
      <c r="S881" s="65" t="s">
        <v>6</v>
      </c>
      <c r="T881" s="70" t="s">
        <v>4</v>
      </c>
      <c r="U881" s="65" t="s">
        <v>14</v>
      </c>
      <c r="V881" s="65" t="s">
        <v>1920</v>
      </c>
      <c r="W881" s="65" t="s">
        <v>1919</v>
      </c>
      <c r="X881" s="65" t="s">
        <v>2828</v>
      </c>
      <c r="Y881" s="65" t="s">
        <v>2944</v>
      </c>
      <c r="Z881" s="65" t="s">
        <v>530</v>
      </c>
      <c r="AA881" s="65" t="s">
        <v>2828</v>
      </c>
    </row>
    <row r="882" spans="1:27" ht="17.45" customHeight="1">
      <c r="A882" s="131" t="str">
        <f>IF(priority(Main[[#This Row],[Comments]])&lt;&gt;0, priority(Main[[#This Row],[Comments]]),"")</f>
        <v/>
      </c>
      <c r="B882" s="99" t="s">
        <v>2743</v>
      </c>
      <c r="C882" s="65" t="s">
        <v>4</v>
      </c>
      <c r="D882" s="66" t="s">
        <v>2744</v>
      </c>
      <c r="E882" s="67">
        <v>40886.69462962963</v>
      </c>
      <c r="F882" s="67"/>
      <c r="G882" s="64" t="str">
        <f>IF(stdProdLT(Main[[#This Row],[Comments]])=0.1,"N/A",IF(stdProdLT(Main[[#This Row],[Comments]])=0,"",stdProdLT(Main[[#This Row],[Comments]])))</f>
        <v/>
      </c>
      <c r="H882" s="68" t="str">
        <f>IF(AND(Main[[#This Row],[In Stock Date]]&lt;&gt;"",Main[[#This Row],[Revised Due Date]]&lt;&gt;""),Main[[#This Row],[In Stock Date]]-Main[[#This Row],[Revised Due Date]],"")</f>
        <v/>
      </c>
      <c r="I882" s="65" t="s">
        <v>4</v>
      </c>
      <c r="J882" s="65" t="s">
        <v>4</v>
      </c>
      <c r="K882" s="65" t="s">
        <v>4</v>
      </c>
      <c r="L882" s="67"/>
      <c r="M882" s="69" t="str">
        <f>IF(Main[[#This Row],[Tech Start Date]]&lt;1/1/1990,"",IF(Main[[#This Row],[Class]]="C",WORKDAY(Main[[#This Row],[Tech Start Date]],9),IF(Main[[#This Row],[Class]]="B", WORKDAY(Main[[#This Row],[Tech Start Date]],6),IF(Main[[#This Row],[Class]]="A",WORKDAY(Main[[#This Row],[Tech Start Date]],2),""))))</f>
        <v/>
      </c>
      <c r="N882" s="69" t="str">
        <f>IF(Main[[#This Row],[Tech Start Date]]&lt;1/1/1990,"",IF(Main[[#This Row],[Class]]="C",WORKDAY(Main[[#This Row],[Tech Start Date]],19),IF(Main[[#This Row],[Class]]="B", WORKDAY(Main[[#This Row],[Tech Start Date]],12),IF(Main[[#This Row],[Class]]="A",WORKDAY(Main[[#This Row],[Tech Start Date]],4),""))))</f>
        <v/>
      </c>
      <c r="O882" s="69" t="str">
        <f>IF(Main[[#This Row],[Tech Start Date]]&lt;1/1/1990,"",IF(Main[[#This Row],[Class]]="C",WORKDAY(Main[[#This Row],[Tech Start Date]],23),IF(Main[[#This Row],[Class]]="B", WORKDAY(Main[[#This Row],[Tech Start Date]],15),IF(Main[[#This Row],[Class]]="A",WORKDAY(Main[[#This Row],[Tech Start Date]],5),""))))</f>
        <v/>
      </c>
      <c r="P882" s="69" t="str">
        <f>IF(Main[[#This Row],[Tech Start Date]]&lt;1/1/1990,"",IF(Main[[#This Row],[Class]]="C",WORKDAY(Main[[#This Row],[Tech Start Date]],28),IF(Main[[#This Row],[Class]]="B", WORKDAY(Main[[#This Row],[Tech Start Date]],19),IF(Main[[#This Row],[Class]]="A",WORKDAY(Main[[#This Row],[Tech Start Date]],9),""))))</f>
        <v/>
      </c>
      <c r="Q882" s="67">
        <v>40959</v>
      </c>
      <c r="R882" s="67"/>
      <c r="S882" s="65" t="s">
        <v>17</v>
      </c>
      <c r="T882" s="70" t="s">
        <v>4</v>
      </c>
      <c r="U882" s="65" t="s">
        <v>7</v>
      </c>
      <c r="V882" s="65" t="s">
        <v>1917</v>
      </c>
      <c r="W882" s="65" t="s">
        <v>4</v>
      </c>
      <c r="X882" s="65" t="s">
        <v>958</v>
      </c>
      <c r="Y882" s="65" t="s">
        <v>3100</v>
      </c>
      <c r="Z882" s="65" t="s">
        <v>4</v>
      </c>
      <c r="AA882" s="65" t="s">
        <v>958</v>
      </c>
    </row>
    <row r="883" spans="1:27" ht="17.45" customHeight="1">
      <c r="A883" s="131" t="str">
        <f>IF(priority(Main[[#This Row],[Comments]])&lt;&gt;0, priority(Main[[#This Row],[Comments]]),"")</f>
        <v/>
      </c>
      <c r="B883" s="99" t="s">
        <v>1698</v>
      </c>
      <c r="C883" s="65" t="s">
        <v>47</v>
      </c>
      <c r="D883" s="66" t="s">
        <v>753</v>
      </c>
      <c r="E883" s="67"/>
      <c r="F883" s="67"/>
      <c r="G883" s="64" t="str">
        <f>IF(stdProdLT(Main[[#This Row],[Comments]])=0.1,"N/A",IF(stdProdLT(Main[[#This Row],[Comments]])=0,"",stdProdLT(Main[[#This Row],[Comments]])))</f>
        <v/>
      </c>
      <c r="H883" s="68" t="str">
        <f>IF(AND(Main[[#This Row],[In Stock Date]]&lt;&gt;"",Main[[#This Row],[Revised Due Date]]&lt;&gt;""),Main[[#This Row],[In Stock Date]]-Main[[#This Row],[Revised Due Date]],"")</f>
        <v/>
      </c>
      <c r="I883" s="65" t="s">
        <v>4</v>
      </c>
      <c r="J883" s="65" t="s">
        <v>4</v>
      </c>
      <c r="K883" s="65" t="s">
        <v>4</v>
      </c>
      <c r="L883" s="67"/>
      <c r="M883" s="69" t="str">
        <f>IF(Main[[#This Row],[Tech Start Date]]&lt;1/1/1990,"",IF(Main[[#This Row],[Class]]="C",WORKDAY(Main[[#This Row],[Tech Start Date]],9),IF(Main[[#This Row],[Class]]="B", WORKDAY(Main[[#This Row],[Tech Start Date]],6),IF(Main[[#This Row],[Class]]="A",WORKDAY(Main[[#This Row],[Tech Start Date]],2),""))))</f>
        <v/>
      </c>
      <c r="N883" s="69" t="str">
        <f>IF(Main[[#This Row],[Tech Start Date]]&lt;1/1/1990,"",IF(Main[[#This Row],[Class]]="C",WORKDAY(Main[[#This Row],[Tech Start Date]],19),IF(Main[[#This Row],[Class]]="B", WORKDAY(Main[[#This Row],[Tech Start Date]],12),IF(Main[[#This Row],[Class]]="A",WORKDAY(Main[[#This Row],[Tech Start Date]],4),""))))</f>
        <v/>
      </c>
      <c r="O883" s="69" t="str">
        <f>IF(Main[[#This Row],[Tech Start Date]]&lt;1/1/1990,"",IF(Main[[#This Row],[Class]]="C",WORKDAY(Main[[#This Row],[Tech Start Date]],23),IF(Main[[#This Row],[Class]]="B", WORKDAY(Main[[#This Row],[Tech Start Date]],15),IF(Main[[#This Row],[Class]]="A",WORKDAY(Main[[#This Row],[Tech Start Date]],5),""))))</f>
        <v/>
      </c>
      <c r="P883" s="69" t="str">
        <f>IF(Main[[#This Row],[Tech Start Date]]&lt;1/1/1990,"",IF(Main[[#This Row],[Class]]="C",WORKDAY(Main[[#This Row],[Tech Start Date]],28),IF(Main[[#This Row],[Class]]="B", WORKDAY(Main[[#This Row],[Tech Start Date]],19),IF(Main[[#This Row],[Class]]="A",WORKDAY(Main[[#This Row],[Tech Start Date]],9),""))))</f>
        <v/>
      </c>
      <c r="Q883" s="67"/>
      <c r="R883" s="67"/>
      <c r="S883" s="65" t="s">
        <v>49</v>
      </c>
      <c r="T883" s="70" t="s">
        <v>4</v>
      </c>
      <c r="U883" s="65" t="s">
        <v>14</v>
      </c>
      <c r="V883" s="65" t="s">
        <v>1920</v>
      </c>
      <c r="W883" s="65" t="s">
        <v>1921</v>
      </c>
      <c r="X883" s="65" t="s">
        <v>306</v>
      </c>
      <c r="Y883" s="65" t="s">
        <v>2947</v>
      </c>
      <c r="Z883" s="65" t="s">
        <v>4</v>
      </c>
      <c r="AA883" s="65" t="s">
        <v>3388</v>
      </c>
    </row>
    <row r="884" spans="1:27" ht="17.45" customHeight="1">
      <c r="A884" s="131" t="str">
        <f>IF(priority(Main[[#This Row],[Comments]])&lt;&gt;0, priority(Main[[#This Row],[Comments]]),"")</f>
        <v/>
      </c>
      <c r="B884" s="99" t="s">
        <v>2100</v>
      </c>
      <c r="C884" s="65" t="s">
        <v>953</v>
      </c>
      <c r="D884" s="66" t="s">
        <v>2101</v>
      </c>
      <c r="E884" s="67"/>
      <c r="F884" s="67">
        <v>40871</v>
      </c>
      <c r="G884" s="64" t="str">
        <f>IF(stdProdLT(Main[[#This Row],[Comments]])=0.1,"N/A",IF(stdProdLT(Main[[#This Row],[Comments]])=0,"",stdProdLT(Main[[#This Row],[Comments]])))</f>
        <v/>
      </c>
      <c r="H884" s="68" t="str">
        <f>IF(AND(Main[[#This Row],[In Stock Date]]&lt;&gt;"",Main[[#This Row],[Revised Due Date]]&lt;&gt;""),Main[[#This Row],[In Stock Date]]-Main[[#This Row],[Revised Due Date]],"")</f>
        <v/>
      </c>
      <c r="I884" s="65" t="s">
        <v>4</v>
      </c>
      <c r="J884" s="65" t="s">
        <v>4</v>
      </c>
      <c r="K884" s="71" t="s">
        <v>4</v>
      </c>
      <c r="L884" s="67"/>
      <c r="M884" s="69" t="str">
        <f>IF(Main[[#This Row],[Tech Start Date]]&lt;1/1/1990,"",IF(Main[[#This Row],[Class]]="C",WORKDAY(Main[[#This Row],[Tech Start Date]],9),IF(Main[[#This Row],[Class]]="B", WORKDAY(Main[[#This Row],[Tech Start Date]],6),IF(Main[[#This Row],[Class]]="A",WORKDAY(Main[[#This Row],[Tech Start Date]],2),""))))</f>
        <v/>
      </c>
      <c r="N884" s="69" t="str">
        <f>IF(Main[[#This Row],[Tech Start Date]]&lt;1/1/1990,"",IF(Main[[#This Row],[Class]]="C",WORKDAY(Main[[#This Row],[Tech Start Date]],19),IF(Main[[#This Row],[Class]]="B", WORKDAY(Main[[#This Row],[Tech Start Date]],12),IF(Main[[#This Row],[Class]]="A",WORKDAY(Main[[#This Row],[Tech Start Date]],4),""))))</f>
        <v/>
      </c>
      <c r="O884" s="69" t="str">
        <f>IF(Main[[#This Row],[Tech Start Date]]&lt;1/1/1990,"",IF(Main[[#This Row],[Class]]="C",WORKDAY(Main[[#This Row],[Tech Start Date]],23),IF(Main[[#This Row],[Class]]="B", WORKDAY(Main[[#This Row],[Tech Start Date]],15),IF(Main[[#This Row],[Class]]="A",WORKDAY(Main[[#This Row],[Tech Start Date]],5),""))))</f>
        <v/>
      </c>
      <c r="P884" s="69" t="str">
        <f>IF(Main[[#This Row],[Tech Start Date]]&lt;1/1/1990,"",IF(Main[[#This Row],[Class]]="C",WORKDAY(Main[[#This Row],[Tech Start Date]],28),IF(Main[[#This Row],[Class]]="B", WORKDAY(Main[[#This Row],[Tech Start Date]],19),IF(Main[[#This Row],[Class]]="A",WORKDAY(Main[[#This Row],[Tech Start Date]],9),""))))</f>
        <v/>
      </c>
      <c r="Q884" s="67"/>
      <c r="R884" s="67"/>
      <c r="S884" s="65" t="s">
        <v>11</v>
      </c>
      <c r="T884" s="70" t="s">
        <v>4</v>
      </c>
      <c r="U884" s="65" t="s">
        <v>14</v>
      </c>
      <c r="V884" s="65" t="s">
        <v>1920</v>
      </c>
      <c r="W884" s="65" t="s">
        <v>1925</v>
      </c>
      <c r="X884" s="65" t="s">
        <v>50</v>
      </c>
      <c r="Y884" s="65" t="s">
        <v>2967</v>
      </c>
      <c r="Z884" s="65" t="s">
        <v>4</v>
      </c>
      <c r="AA884" s="65" t="s">
        <v>50</v>
      </c>
    </row>
    <row r="885" spans="1:27" ht="17.45" customHeight="1">
      <c r="A885" s="131" t="str">
        <f>IF(priority(Main[[#This Row],[Comments]])&lt;&gt;0, priority(Main[[#This Row],[Comments]]),"")</f>
        <v/>
      </c>
      <c r="B885" s="99" t="s">
        <v>3527</v>
      </c>
      <c r="C885" s="65" t="s">
        <v>4</v>
      </c>
      <c r="D885" s="66" t="s">
        <v>3528</v>
      </c>
      <c r="E885" s="67">
        <v>40948.373171296298</v>
      </c>
      <c r="F885" s="67"/>
      <c r="G885" s="64" t="str">
        <f>IF(stdProdLT(Main[[#This Row],[Comments]])=0.1,"N/A",IF(stdProdLT(Main[[#This Row],[Comments]])=0,"",stdProdLT(Main[[#This Row],[Comments]])))</f>
        <v/>
      </c>
      <c r="H885" s="68" t="str">
        <f>IF(AND(Main[[#This Row],[In Stock Date]]&lt;&gt;"",Main[[#This Row],[Revised Due Date]]&lt;&gt;""),Main[[#This Row],[In Stock Date]]-Main[[#This Row],[Revised Due Date]],"")</f>
        <v/>
      </c>
      <c r="I885" s="65" t="s">
        <v>4</v>
      </c>
      <c r="J885" s="65" t="s">
        <v>4</v>
      </c>
      <c r="K885" s="65" t="s">
        <v>4</v>
      </c>
      <c r="L885" s="67"/>
      <c r="M885" s="69" t="str">
        <f>IF(Main[[#This Row],[Tech Start Date]]&lt;1/1/1990,"",IF(Main[[#This Row],[Class]]="C",WORKDAY(Main[[#This Row],[Tech Start Date]],9),IF(Main[[#This Row],[Class]]="B", WORKDAY(Main[[#This Row],[Tech Start Date]],6),IF(Main[[#This Row],[Class]]="A",WORKDAY(Main[[#This Row],[Tech Start Date]],2),""))))</f>
        <v/>
      </c>
      <c r="N885" s="69" t="str">
        <f>IF(Main[[#This Row],[Tech Start Date]]&lt;1/1/1990,"",IF(Main[[#This Row],[Class]]="C",WORKDAY(Main[[#This Row],[Tech Start Date]],19),IF(Main[[#This Row],[Class]]="B", WORKDAY(Main[[#This Row],[Tech Start Date]],12),IF(Main[[#This Row],[Class]]="A",WORKDAY(Main[[#This Row],[Tech Start Date]],4),""))))</f>
        <v/>
      </c>
      <c r="O885" s="69" t="str">
        <f>IF(Main[[#This Row],[Tech Start Date]]&lt;1/1/1990,"",IF(Main[[#This Row],[Class]]="C",WORKDAY(Main[[#This Row],[Tech Start Date]],23),IF(Main[[#This Row],[Class]]="B", WORKDAY(Main[[#This Row],[Tech Start Date]],15),IF(Main[[#This Row],[Class]]="A",WORKDAY(Main[[#This Row],[Tech Start Date]],5),""))))</f>
        <v/>
      </c>
      <c r="P885" s="69" t="str">
        <f>IF(Main[[#This Row],[Tech Start Date]]&lt;1/1/1990,"",IF(Main[[#This Row],[Class]]="C",WORKDAY(Main[[#This Row],[Tech Start Date]],28),IF(Main[[#This Row],[Class]]="B", WORKDAY(Main[[#This Row],[Tech Start Date]],19),IF(Main[[#This Row],[Class]]="A",WORKDAY(Main[[#This Row],[Tech Start Date]],9),""))))</f>
        <v/>
      </c>
      <c r="Q885" s="67">
        <v>40977</v>
      </c>
      <c r="R885" s="67"/>
      <c r="S885" s="65" t="s">
        <v>6</v>
      </c>
      <c r="T885" s="70" t="s">
        <v>4</v>
      </c>
      <c r="U885" s="65" t="s">
        <v>7</v>
      </c>
      <c r="V885" s="65" t="s">
        <v>1917</v>
      </c>
      <c r="W885" s="65" t="s">
        <v>4</v>
      </c>
      <c r="X885" s="65" t="s">
        <v>2828</v>
      </c>
      <c r="Y885" s="65" t="s">
        <v>2944</v>
      </c>
      <c r="Z885" s="65" t="s">
        <v>4</v>
      </c>
      <c r="AA885" s="65" t="s">
        <v>2828</v>
      </c>
    </row>
    <row r="886" spans="1:27" ht="17.45" customHeight="1">
      <c r="A886" s="131" t="str">
        <f>IF(priority(Main[[#This Row],[Comments]])&lt;&gt;0, priority(Main[[#This Row],[Comments]]),"")</f>
        <v/>
      </c>
      <c r="B886" s="99" t="s">
        <v>1901</v>
      </c>
      <c r="C886" s="65" t="s">
        <v>72</v>
      </c>
      <c r="D886" s="66" t="s">
        <v>2114</v>
      </c>
      <c r="E886" s="67">
        <v>40469.926608796297</v>
      </c>
      <c r="F886" s="67">
        <v>40487</v>
      </c>
      <c r="G886" s="64">
        <f>IF(stdProdLT(Main[[#This Row],[Comments]])=0.1,"N/A",IF(stdProdLT(Main[[#This Row],[Comments]])=0,"",stdProdLT(Main[[#This Row],[Comments]])))</f>
        <v>42</v>
      </c>
      <c r="H886" s="68">
        <f>IF(AND(Main[[#This Row],[In Stock Date]]&lt;&gt;"",Main[[#This Row],[Revised Due Date]]&lt;&gt;""),Main[[#This Row],[In Stock Date]]-Main[[#This Row],[Revised Due Date]],"")</f>
        <v>-294</v>
      </c>
      <c r="I886" s="65" t="s">
        <v>2056</v>
      </c>
      <c r="J886" s="65" t="s">
        <v>52</v>
      </c>
      <c r="K886" s="65" t="s">
        <v>1930</v>
      </c>
      <c r="L886" s="67"/>
      <c r="M886" s="69" t="str">
        <f>IF(Main[[#This Row],[Tech Start Date]]&lt;1/1/1990,"",IF(Main[[#This Row],[Class]]="C",WORKDAY(Main[[#This Row],[Tech Start Date]],9),IF(Main[[#This Row],[Class]]="B", WORKDAY(Main[[#This Row],[Tech Start Date]],6),IF(Main[[#This Row],[Class]]="A",WORKDAY(Main[[#This Row],[Tech Start Date]],2),""))))</f>
        <v/>
      </c>
      <c r="N886" s="69" t="str">
        <f>IF(Main[[#This Row],[Tech Start Date]]&lt;1/1/1990,"",IF(Main[[#This Row],[Class]]="C",WORKDAY(Main[[#This Row],[Tech Start Date]],19),IF(Main[[#This Row],[Class]]="B", WORKDAY(Main[[#This Row],[Tech Start Date]],12),IF(Main[[#This Row],[Class]]="A",WORKDAY(Main[[#This Row],[Tech Start Date]],4),""))))</f>
        <v/>
      </c>
      <c r="O886" s="69" t="str">
        <f>IF(Main[[#This Row],[Tech Start Date]]&lt;1/1/1990,"",IF(Main[[#This Row],[Class]]="C",WORKDAY(Main[[#This Row],[Tech Start Date]],23),IF(Main[[#This Row],[Class]]="B", WORKDAY(Main[[#This Row],[Tech Start Date]],15),IF(Main[[#This Row],[Class]]="A",WORKDAY(Main[[#This Row],[Tech Start Date]],5),""))))</f>
        <v/>
      </c>
      <c r="P886" s="69" t="str">
        <f>IF(Main[[#This Row],[Tech Start Date]]&lt;1/1/1990,"",IF(Main[[#This Row],[Class]]="C",WORKDAY(Main[[#This Row],[Tech Start Date]],28),IF(Main[[#This Row],[Class]]="B", WORKDAY(Main[[#This Row],[Tech Start Date]],19),IF(Main[[#This Row],[Class]]="A",WORKDAY(Main[[#This Row],[Tech Start Date]],9),""))))</f>
        <v/>
      </c>
      <c r="Q886" s="67"/>
      <c r="R886" s="67">
        <v>40781</v>
      </c>
      <c r="S886" s="65" t="s">
        <v>6</v>
      </c>
      <c r="T886" s="70" t="s">
        <v>2115</v>
      </c>
      <c r="U886" s="65" t="s">
        <v>29</v>
      </c>
      <c r="V886" s="65" t="s">
        <v>1918</v>
      </c>
      <c r="W886" s="65" t="s">
        <v>1919</v>
      </c>
      <c r="X886" s="65" t="s">
        <v>2907</v>
      </c>
      <c r="Y886" s="65" t="s">
        <v>3085</v>
      </c>
      <c r="Z886" s="65" t="s">
        <v>108</v>
      </c>
      <c r="AA886" s="65" t="s">
        <v>2907</v>
      </c>
    </row>
    <row r="887" spans="1:27" ht="17.45" customHeight="1">
      <c r="A887" s="131" t="str">
        <f>IF(priority(Main[[#This Row],[Comments]])&lt;&gt;0, priority(Main[[#This Row],[Comments]]),"")</f>
        <v/>
      </c>
      <c r="B887" s="99" t="s">
        <v>1865</v>
      </c>
      <c r="C887" s="65" t="s">
        <v>31</v>
      </c>
      <c r="D887" s="66" t="s">
        <v>920</v>
      </c>
      <c r="E887" s="67"/>
      <c r="F887" s="67">
        <v>40664</v>
      </c>
      <c r="G887" s="64" t="str">
        <f>IF(stdProdLT(Main[[#This Row],[Comments]])=0.1,"N/A",IF(stdProdLT(Main[[#This Row],[Comments]])=0,"",stdProdLT(Main[[#This Row],[Comments]])))</f>
        <v/>
      </c>
      <c r="H887" s="68">
        <f>IF(AND(Main[[#This Row],[In Stock Date]]&lt;&gt;"",Main[[#This Row],[Revised Due Date]]&lt;&gt;""),Main[[#This Row],[In Stock Date]]-Main[[#This Row],[Revised Due Date]],"")</f>
        <v>87</v>
      </c>
      <c r="I887" s="65" t="s">
        <v>417</v>
      </c>
      <c r="J887" s="65" t="s">
        <v>75</v>
      </c>
      <c r="K887" s="65" t="s">
        <v>1926</v>
      </c>
      <c r="L887" s="67"/>
      <c r="M887" s="69" t="str">
        <f>IF(Main[[#This Row],[Tech Start Date]]&lt;1/1/1990,"",IF(Main[[#This Row],[Class]]="C",WORKDAY(Main[[#This Row],[Tech Start Date]],9),IF(Main[[#This Row],[Class]]="B", WORKDAY(Main[[#This Row],[Tech Start Date]],6),IF(Main[[#This Row],[Class]]="A",WORKDAY(Main[[#This Row],[Tech Start Date]],2),""))))</f>
        <v/>
      </c>
      <c r="N887" s="69" t="str">
        <f>IF(Main[[#This Row],[Tech Start Date]]&lt;1/1/1990,"",IF(Main[[#This Row],[Class]]="C",WORKDAY(Main[[#This Row],[Tech Start Date]],19),IF(Main[[#This Row],[Class]]="B", WORKDAY(Main[[#This Row],[Tech Start Date]],12),IF(Main[[#This Row],[Class]]="A",WORKDAY(Main[[#This Row],[Tech Start Date]],4),""))))</f>
        <v/>
      </c>
      <c r="O887" s="69" t="str">
        <f>IF(Main[[#This Row],[Tech Start Date]]&lt;1/1/1990,"",IF(Main[[#This Row],[Class]]="C",WORKDAY(Main[[#This Row],[Tech Start Date]],23),IF(Main[[#This Row],[Class]]="B", WORKDAY(Main[[#This Row],[Tech Start Date]],15),IF(Main[[#This Row],[Class]]="A",WORKDAY(Main[[#This Row],[Tech Start Date]],5),""))))</f>
        <v/>
      </c>
      <c r="P887" s="69" t="str">
        <f>IF(Main[[#This Row],[Tech Start Date]]&lt;1/1/1990,"",IF(Main[[#This Row],[Class]]="C",WORKDAY(Main[[#This Row],[Tech Start Date]],28),IF(Main[[#This Row],[Class]]="B", WORKDAY(Main[[#This Row],[Tech Start Date]],19),IF(Main[[#This Row],[Class]]="A",WORKDAY(Main[[#This Row],[Tech Start Date]],9),""))))</f>
        <v/>
      </c>
      <c r="Q887" s="67">
        <v>40589</v>
      </c>
      <c r="R887" s="67">
        <v>40577</v>
      </c>
      <c r="S887" s="65" t="s">
        <v>11</v>
      </c>
      <c r="T887" s="70" t="s">
        <v>4</v>
      </c>
      <c r="U887" s="65" t="s">
        <v>14</v>
      </c>
      <c r="V887" s="65" t="s">
        <v>1920</v>
      </c>
      <c r="W887" s="65" t="s">
        <v>1923</v>
      </c>
      <c r="X887" s="65" t="s">
        <v>2831</v>
      </c>
      <c r="Y887" s="65" t="s">
        <v>2973</v>
      </c>
      <c r="Z887" s="65" t="s">
        <v>530</v>
      </c>
      <c r="AA887" s="65" t="s">
        <v>2831</v>
      </c>
    </row>
    <row r="888" spans="1:27" ht="17.45" customHeight="1">
      <c r="A888" s="131" t="str">
        <f>IF(priority(Main[[#This Row],[Comments]])&lt;&gt;0, priority(Main[[#This Row],[Comments]]),"")</f>
        <v/>
      </c>
      <c r="B888" s="99" t="s">
        <v>1695</v>
      </c>
      <c r="C888" s="65" t="s">
        <v>4</v>
      </c>
      <c r="D888" s="66" t="s">
        <v>750</v>
      </c>
      <c r="E888" s="67"/>
      <c r="F888" s="67"/>
      <c r="G888" s="64" t="str">
        <f>IF(stdProdLT(Main[[#This Row],[Comments]])=0.1,"N/A",IF(stdProdLT(Main[[#This Row],[Comments]])=0,"",stdProdLT(Main[[#This Row],[Comments]])))</f>
        <v/>
      </c>
      <c r="H888" s="68" t="str">
        <f>IF(AND(Main[[#This Row],[In Stock Date]]&lt;&gt;"",Main[[#This Row],[Revised Due Date]]&lt;&gt;""),Main[[#This Row],[In Stock Date]]-Main[[#This Row],[Revised Due Date]],"")</f>
        <v/>
      </c>
      <c r="I888" s="65" t="s">
        <v>4</v>
      </c>
      <c r="J888" s="65" t="s">
        <v>28</v>
      </c>
      <c r="K888" s="65" t="s">
        <v>1929</v>
      </c>
      <c r="L888" s="67"/>
      <c r="M888" s="69" t="str">
        <f>IF(Main[[#This Row],[Tech Start Date]]&lt;1/1/1990,"",IF(Main[[#This Row],[Class]]="C",WORKDAY(Main[[#This Row],[Tech Start Date]],9),IF(Main[[#This Row],[Class]]="B", WORKDAY(Main[[#This Row],[Tech Start Date]],6),IF(Main[[#This Row],[Class]]="A",WORKDAY(Main[[#This Row],[Tech Start Date]],2),""))))</f>
        <v/>
      </c>
      <c r="N888" s="69" t="str">
        <f>IF(Main[[#This Row],[Tech Start Date]]&lt;1/1/1990,"",IF(Main[[#This Row],[Class]]="C",WORKDAY(Main[[#This Row],[Tech Start Date]],19),IF(Main[[#This Row],[Class]]="B", WORKDAY(Main[[#This Row],[Tech Start Date]],12),IF(Main[[#This Row],[Class]]="A",WORKDAY(Main[[#This Row],[Tech Start Date]],4),""))))</f>
        <v/>
      </c>
      <c r="O888" s="69" t="str">
        <f>IF(Main[[#This Row],[Tech Start Date]]&lt;1/1/1990,"",IF(Main[[#This Row],[Class]]="C",WORKDAY(Main[[#This Row],[Tech Start Date]],23),IF(Main[[#This Row],[Class]]="B", WORKDAY(Main[[#This Row],[Tech Start Date]],15),IF(Main[[#This Row],[Class]]="A",WORKDAY(Main[[#This Row],[Tech Start Date]],5),""))))</f>
        <v/>
      </c>
      <c r="P888" s="69" t="str">
        <f>IF(Main[[#This Row],[Tech Start Date]]&lt;1/1/1990,"",IF(Main[[#This Row],[Class]]="C",WORKDAY(Main[[#This Row],[Tech Start Date]],28),IF(Main[[#This Row],[Class]]="B", WORKDAY(Main[[#This Row],[Tech Start Date]],19),IF(Main[[#This Row],[Class]]="A",WORKDAY(Main[[#This Row],[Tech Start Date]],9),""))))</f>
        <v/>
      </c>
      <c r="Q888" s="67">
        <v>40522</v>
      </c>
      <c r="R888" s="67"/>
      <c r="S888" s="65" t="s">
        <v>17</v>
      </c>
      <c r="T888" s="70" t="s">
        <v>4</v>
      </c>
      <c r="U888" s="65" t="s">
        <v>14</v>
      </c>
      <c r="V888" s="65" t="s">
        <v>1917</v>
      </c>
      <c r="W888" s="65" t="s">
        <v>1922</v>
      </c>
      <c r="X888" s="65" t="s">
        <v>2868</v>
      </c>
      <c r="Y888" s="65" t="s">
        <v>3012</v>
      </c>
      <c r="Z888" s="65" t="s">
        <v>129</v>
      </c>
      <c r="AA888" s="65" t="s">
        <v>2868</v>
      </c>
    </row>
    <row r="889" spans="1:27" ht="17.45" customHeight="1">
      <c r="A889" s="131" t="str">
        <f>IF(priority(Main[[#This Row],[Comments]])&lt;&gt;0, priority(Main[[#This Row],[Comments]]),"")</f>
        <v/>
      </c>
      <c r="B889" s="99" t="s">
        <v>1696</v>
      </c>
      <c r="C889" s="65" t="s">
        <v>67</v>
      </c>
      <c r="D889" s="66" t="s">
        <v>751</v>
      </c>
      <c r="E889" s="67"/>
      <c r="F889" s="67"/>
      <c r="G889" s="64" t="str">
        <f>IF(stdProdLT(Main[[#This Row],[Comments]])=0.1,"N/A",IF(stdProdLT(Main[[#This Row],[Comments]])=0,"",stdProdLT(Main[[#This Row],[Comments]])))</f>
        <v/>
      </c>
      <c r="H889" s="68" t="str">
        <f>IF(AND(Main[[#This Row],[In Stock Date]]&lt;&gt;"",Main[[#This Row],[Revised Due Date]]&lt;&gt;""),Main[[#This Row],[In Stock Date]]-Main[[#This Row],[Revised Due Date]],"")</f>
        <v/>
      </c>
      <c r="I889" s="65" t="s">
        <v>4</v>
      </c>
      <c r="J889" s="65" t="s">
        <v>4</v>
      </c>
      <c r="K889" s="65" t="s">
        <v>4</v>
      </c>
      <c r="L889" s="67"/>
      <c r="M889" s="69" t="str">
        <f>IF(Main[[#This Row],[Tech Start Date]]&lt;1/1/1990,"",IF(Main[[#This Row],[Class]]="C",WORKDAY(Main[[#This Row],[Tech Start Date]],9),IF(Main[[#This Row],[Class]]="B", WORKDAY(Main[[#This Row],[Tech Start Date]],6),IF(Main[[#This Row],[Class]]="A",WORKDAY(Main[[#This Row],[Tech Start Date]],2),""))))</f>
        <v/>
      </c>
      <c r="N889" s="69" t="str">
        <f>IF(Main[[#This Row],[Tech Start Date]]&lt;1/1/1990,"",IF(Main[[#This Row],[Class]]="C",WORKDAY(Main[[#This Row],[Tech Start Date]],19),IF(Main[[#This Row],[Class]]="B", WORKDAY(Main[[#This Row],[Tech Start Date]],12),IF(Main[[#This Row],[Class]]="A",WORKDAY(Main[[#This Row],[Tech Start Date]],4),""))))</f>
        <v/>
      </c>
      <c r="O889" s="69" t="str">
        <f>IF(Main[[#This Row],[Tech Start Date]]&lt;1/1/1990,"",IF(Main[[#This Row],[Class]]="C",WORKDAY(Main[[#This Row],[Tech Start Date]],23),IF(Main[[#This Row],[Class]]="B", WORKDAY(Main[[#This Row],[Tech Start Date]],15),IF(Main[[#This Row],[Class]]="A",WORKDAY(Main[[#This Row],[Tech Start Date]],5),""))))</f>
        <v/>
      </c>
      <c r="P889" s="69" t="str">
        <f>IF(Main[[#This Row],[Tech Start Date]]&lt;1/1/1990,"",IF(Main[[#This Row],[Class]]="C",WORKDAY(Main[[#This Row],[Tech Start Date]],28),IF(Main[[#This Row],[Class]]="B", WORKDAY(Main[[#This Row],[Tech Start Date]],19),IF(Main[[#This Row],[Class]]="A",WORKDAY(Main[[#This Row],[Tech Start Date]],9),""))))</f>
        <v/>
      </c>
      <c r="Q889" s="67">
        <v>40241</v>
      </c>
      <c r="R889" s="67"/>
      <c r="S889" s="65" t="s">
        <v>11</v>
      </c>
      <c r="T889" s="70" t="s">
        <v>4</v>
      </c>
      <c r="U889" s="65" t="s">
        <v>14</v>
      </c>
      <c r="V889" s="65" t="s">
        <v>1927</v>
      </c>
      <c r="W889" s="65" t="s">
        <v>1919</v>
      </c>
      <c r="X889" s="65" t="s">
        <v>554</v>
      </c>
      <c r="Y889" s="65" t="s">
        <v>4</v>
      </c>
      <c r="Z889" s="65" t="s">
        <v>4</v>
      </c>
      <c r="AA889" s="65" t="s">
        <v>2864</v>
      </c>
    </row>
    <row r="890" spans="1:27" ht="17.45" customHeight="1">
      <c r="A890" s="131" t="str">
        <f>IF(priority(Main[[#This Row],[Comments]])&lt;&gt;0, priority(Main[[#This Row],[Comments]]),"")</f>
        <v/>
      </c>
      <c r="B890" s="99" t="s">
        <v>1697</v>
      </c>
      <c r="C890" s="65" t="s">
        <v>4</v>
      </c>
      <c r="D890" s="66" t="s">
        <v>752</v>
      </c>
      <c r="E890" s="67"/>
      <c r="F890" s="67"/>
      <c r="G890" s="64" t="str">
        <f>IF(stdProdLT(Main[[#This Row],[Comments]])=0.1,"N/A",IF(stdProdLT(Main[[#This Row],[Comments]])=0,"",stdProdLT(Main[[#This Row],[Comments]])))</f>
        <v/>
      </c>
      <c r="H890" s="68" t="str">
        <f>IF(AND(Main[[#This Row],[In Stock Date]]&lt;&gt;"",Main[[#This Row],[Revised Due Date]]&lt;&gt;""),Main[[#This Row],[In Stock Date]]-Main[[#This Row],[Revised Due Date]],"")</f>
        <v/>
      </c>
      <c r="I890" s="65" t="s">
        <v>4</v>
      </c>
      <c r="J890" s="65" t="s">
        <v>28</v>
      </c>
      <c r="K890" s="65" t="s">
        <v>4</v>
      </c>
      <c r="L890" s="67"/>
      <c r="M890" s="69" t="str">
        <f>IF(Main[[#This Row],[Tech Start Date]]&lt;1/1/1990,"",IF(Main[[#This Row],[Class]]="C",WORKDAY(Main[[#This Row],[Tech Start Date]],9),IF(Main[[#This Row],[Class]]="B", WORKDAY(Main[[#This Row],[Tech Start Date]],6),IF(Main[[#This Row],[Class]]="A",WORKDAY(Main[[#This Row],[Tech Start Date]],2),""))))</f>
        <v/>
      </c>
      <c r="N890" s="69" t="str">
        <f>IF(Main[[#This Row],[Tech Start Date]]&lt;1/1/1990,"",IF(Main[[#This Row],[Class]]="C",WORKDAY(Main[[#This Row],[Tech Start Date]],19),IF(Main[[#This Row],[Class]]="B", WORKDAY(Main[[#This Row],[Tech Start Date]],12),IF(Main[[#This Row],[Class]]="A",WORKDAY(Main[[#This Row],[Tech Start Date]],4),""))))</f>
        <v/>
      </c>
      <c r="O890" s="69" t="str">
        <f>IF(Main[[#This Row],[Tech Start Date]]&lt;1/1/1990,"",IF(Main[[#This Row],[Class]]="C",WORKDAY(Main[[#This Row],[Tech Start Date]],23),IF(Main[[#This Row],[Class]]="B", WORKDAY(Main[[#This Row],[Tech Start Date]],15),IF(Main[[#This Row],[Class]]="A",WORKDAY(Main[[#This Row],[Tech Start Date]],5),""))))</f>
        <v/>
      </c>
      <c r="P890" s="69" t="str">
        <f>IF(Main[[#This Row],[Tech Start Date]]&lt;1/1/1990,"",IF(Main[[#This Row],[Class]]="C",WORKDAY(Main[[#This Row],[Tech Start Date]],28),IF(Main[[#This Row],[Class]]="B", WORKDAY(Main[[#This Row],[Tech Start Date]],19),IF(Main[[#This Row],[Class]]="A",WORKDAY(Main[[#This Row],[Tech Start Date]],9),""))))</f>
        <v/>
      </c>
      <c r="Q890" s="67">
        <v>40471</v>
      </c>
      <c r="R890" s="67"/>
      <c r="S890" s="65" t="s">
        <v>6</v>
      </c>
      <c r="T890" s="70" t="s">
        <v>4</v>
      </c>
      <c r="U890" s="65" t="s">
        <v>14</v>
      </c>
      <c r="V890" s="65" t="s">
        <v>1927</v>
      </c>
      <c r="W890" s="65" t="s">
        <v>1919</v>
      </c>
      <c r="X890" s="65" t="s">
        <v>2853</v>
      </c>
      <c r="Y890" s="65" t="s">
        <v>2984</v>
      </c>
      <c r="Z890" s="65" t="s">
        <v>530</v>
      </c>
      <c r="AA890" s="65" t="s">
        <v>2853</v>
      </c>
    </row>
    <row r="891" spans="1:27" ht="17.45" customHeight="1">
      <c r="A891" s="131" t="str">
        <f>IF(priority(Main[[#This Row],[Comments]])&lt;&gt;0, priority(Main[[#This Row],[Comments]]),"")</f>
        <v/>
      </c>
      <c r="B891" s="99" t="s">
        <v>1700</v>
      </c>
      <c r="C891" s="65" t="s">
        <v>275</v>
      </c>
      <c r="D891" s="66" t="s">
        <v>755</v>
      </c>
      <c r="E891" s="67"/>
      <c r="F891" s="67">
        <v>40451</v>
      </c>
      <c r="G891" s="64" t="str">
        <f>IF(stdProdLT(Main[[#This Row],[Comments]])=0.1,"N/A",IF(stdProdLT(Main[[#This Row],[Comments]])=0,"",stdProdLT(Main[[#This Row],[Comments]])))</f>
        <v/>
      </c>
      <c r="H891" s="68" t="str">
        <f>IF(AND(Main[[#This Row],[In Stock Date]]&lt;&gt;"",Main[[#This Row],[Revised Due Date]]&lt;&gt;""),Main[[#This Row],[In Stock Date]]-Main[[#This Row],[Revised Due Date]],"")</f>
        <v/>
      </c>
      <c r="I891" s="65" t="s">
        <v>4</v>
      </c>
      <c r="J891" s="65" t="s">
        <v>4</v>
      </c>
      <c r="K891" s="71" t="s">
        <v>4</v>
      </c>
      <c r="L891" s="67"/>
      <c r="M891" s="69" t="str">
        <f>IF(Main[[#This Row],[Tech Start Date]]&lt;1/1/1990,"",IF(Main[[#This Row],[Class]]="C",WORKDAY(Main[[#This Row],[Tech Start Date]],9),IF(Main[[#This Row],[Class]]="B", WORKDAY(Main[[#This Row],[Tech Start Date]],6),IF(Main[[#This Row],[Class]]="A",WORKDAY(Main[[#This Row],[Tech Start Date]],2),""))))</f>
        <v/>
      </c>
      <c r="N891" s="69" t="str">
        <f>IF(Main[[#This Row],[Tech Start Date]]&lt;1/1/1990,"",IF(Main[[#This Row],[Class]]="C",WORKDAY(Main[[#This Row],[Tech Start Date]],19),IF(Main[[#This Row],[Class]]="B", WORKDAY(Main[[#This Row],[Tech Start Date]],12),IF(Main[[#This Row],[Class]]="A",WORKDAY(Main[[#This Row],[Tech Start Date]],4),""))))</f>
        <v/>
      </c>
      <c r="O891" s="69" t="str">
        <f>IF(Main[[#This Row],[Tech Start Date]]&lt;1/1/1990,"",IF(Main[[#This Row],[Class]]="C",WORKDAY(Main[[#This Row],[Tech Start Date]],23),IF(Main[[#This Row],[Class]]="B", WORKDAY(Main[[#This Row],[Tech Start Date]],15),IF(Main[[#This Row],[Class]]="A",WORKDAY(Main[[#This Row],[Tech Start Date]],5),""))))</f>
        <v/>
      </c>
      <c r="P891" s="69" t="str">
        <f>IF(Main[[#This Row],[Tech Start Date]]&lt;1/1/1990,"",IF(Main[[#This Row],[Class]]="C",WORKDAY(Main[[#This Row],[Tech Start Date]],28),IF(Main[[#This Row],[Class]]="B", WORKDAY(Main[[#This Row],[Tech Start Date]],19),IF(Main[[#This Row],[Class]]="A",WORKDAY(Main[[#This Row],[Tech Start Date]],9),""))))</f>
        <v/>
      </c>
      <c r="Q891" s="67">
        <v>40269</v>
      </c>
      <c r="R891" s="67"/>
      <c r="S891" s="65" t="s">
        <v>11</v>
      </c>
      <c r="T891" s="70" t="s">
        <v>4</v>
      </c>
      <c r="U891" s="65" t="s">
        <v>14</v>
      </c>
      <c r="V891" s="65" t="s">
        <v>1920</v>
      </c>
      <c r="W891" s="65" t="s">
        <v>1922</v>
      </c>
      <c r="X891" s="65" t="s">
        <v>65</v>
      </c>
      <c r="Y891" s="65" t="s">
        <v>4</v>
      </c>
      <c r="Z891" s="65" t="s">
        <v>4</v>
      </c>
      <c r="AA891" s="65" t="s">
        <v>65</v>
      </c>
    </row>
    <row r="892" spans="1:27" ht="17.45" customHeight="1">
      <c r="A892" s="131" t="str">
        <f>IF(priority(Main[[#This Row],[Comments]])&lt;&gt;0, priority(Main[[#This Row],[Comments]]),"")</f>
        <v/>
      </c>
      <c r="B892" s="99" t="s">
        <v>2741</v>
      </c>
      <c r="C892" s="65" t="s">
        <v>4</v>
      </c>
      <c r="D892" s="66" t="s">
        <v>3223</v>
      </c>
      <c r="E892" s="67">
        <v>40912.464259259257</v>
      </c>
      <c r="F892" s="67"/>
      <c r="G892" s="64" t="str">
        <f>IF(stdProdLT(Main[[#This Row],[Comments]])=0.1,"N/A",IF(stdProdLT(Main[[#This Row],[Comments]])=0,"",stdProdLT(Main[[#This Row],[Comments]])))</f>
        <v/>
      </c>
      <c r="H892" s="68" t="str">
        <f>IF(AND(Main[[#This Row],[In Stock Date]]&lt;&gt;"",Main[[#This Row],[Revised Due Date]]&lt;&gt;""),Main[[#This Row],[In Stock Date]]-Main[[#This Row],[Revised Due Date]],"")</f>
        <v/>
      </c>
      <c r="I892" s="65" t="s">
        <v>30</v>
      </c>
      <c r="J892" s="65" t="s">
        <v>28</v>
      </c>
      <c r="K892" s="65" t="s">
        <v>1926</v>
      </c>
      <c r="L892" s="67"/>
      <c r="M892" s="69" t="str">
        <f>IF(Main[[#This Row],[Tech Start Date]]&lt;1/1/1990,"",IF(Main[[#This Row],[Class]]="C",WORKDAY(Main[[#This Row],[Tech Start Date]],9),IF(Main[[#This Row],[Class]]="B", WORKDAY(Main[[#This Row],[Tech Start Date]],6),IF(Main[[#This Row],[Class]]="A",WORKDAY(Main[[#This Row],[Tech Start Date]],2),""))))</f>
        <v/>
      </c>
      <c r="N892" s="69" t="str">
        <f>IF(Main[[#This Row],[Tech Start Date]]&lt;1/1/1990,"",IF(Main[[#This Row],[Class]]="C",WORKDAY(Main[[#This Row],[Tech Start Date]],19),IF(Main[[#This Row],[Class]]="B", WORKDAY(Main[[#This Row],[Tech Start Date]],12),IF(Main[[#This Row],[Class]]="A",WORKDAY(Main[[#This Row],[Tech Start Date]],4),""))))</f>
        <v/>
      </c>
      <c r="O892" s="69" t="str">
        <f>IF(Main[[#This Row],[Tech Start Date]]&lt;1/1/1990,"",IF(Main[[#This Row],[Class]]="C",WORKDAY(Main[[#This Row],[Tech Start Date]],23),IF(Main[[#This Row],[Class]]="B", WORKDAY(Main[[#This Row],[Tech Start Date]],15),IF(Main[[#This Row],[Class]]="A",WORKDAY(Main[[#This Row],[Tech Start Date]],5),""))))</f>
        <v/>
      </c>
      <c r="P892" s="69" t="str">
        <f>IF(Main[[#This Row],[Tech Start Date]]&lt;1/1/1990,"",IF(Main[[#This Row],[Class]]="C",WORKDAY(Main[[#This Row],[Tech Start Date]],28),IF(Main[[#This Row],[Class]]="B", WORKDAY(Main[[#This Row],[Tech Start Date]],19),IF(Main[[#This Row],[Class]]="A",WORKDAY(Main[[#This Row],[Tech Start Date]],9),""))))</f>
        <v/>
      </c>
      <c r="Q892" s="67">
        <v>40942</v>
      </c>
      <c r="R892" s="67"/>
      <c r="S892" s="65" t="s">
        <v>6</v>
      </c>
      <c r="T892" s="70" t="s">
        <v>4</v>
      </c>
      <c r="U892" s="65" t="s">
        <v>29</v>
      </c>
      <c r="V892" s="65" t="s">
        <v>1920</v>
      </c>
      <c r="W892" s="65" t="s">
        <v>1921</v>
      </c>
      <c r="X892" s="65" t="s">
        <v>2825</v>
      </c>
      <c r="Y892" s="65" t="s">
        <v>2938</v>
      </c>
      <c r="Z892" s="65" t="s">
        <v>30</v>
      </c>
      <c r="AA892" s="65" t="s">
        <v>2825</v>
      </c>
    </row>
    <row r="893" spans="1:27" ht="17.45" customHeight="1">
      <c r="A893" s="131" t="str">
        <f>IF(priority(Main[[#This Row],[Comments]])&lt;&gt;0, priority(Main[[#This Row],[Comments]]),"")</f>
        <v/>
      </c>
      <c r="B893" s="99" t="s">
        <v>1876</v>
      </c>
      <c r="C893" s="65" t="s">
        <v>4</v>
      </c>
      <c r="D893" s="66" t="s">
        <v>2742</v>
      </c>
      <c r="E893" s="67">
        <v>40624.37060185185</v>
      </c>
      <c r="F893" s="67"/>
      <c r="G893" s="64" t="str">
        <f>IF(stdProdLT(Main[[#This Row],[Comments]])=0.1,"N/A",IF(stdProdLT(Main[[#This Row],[Comments]])=0,"",stdProdLT(Main[[#This Row],[Comments]])))</f>
        <v/>
      </c>
      <c r="H893" s="68" t="str">
        <f>IF(AND(Main[[#This Row],[In Stock Date]]&lt;&gt;"",Main[[#This Row],[Revised Due Date]]&lt;&gt;""),Main[[#This Row],[In Stock Date]]-Main[[#This Row],[Revised Due Date]],"")</f>
        <v/>
      </c>
      <c r="I893" s="65" t="s">
        <v>879</v>
      </c>
      <c r="J893" s="65" t="s">
        <v>28</v>
      </c>
      <c r="K893" s="65" t="s">
        <v>1930</v>
      </c>
      <c r="L893" s="67"/>
      <c r="M893" s="69" t="str">
        <f>IF(Main[[#This Row],[Tech Start Date]]&lt;1/1/1990,"",IF(Main[[#This Row],[Class]]="C",WORKDAY(Main[[#This Row],[Tech Start Date]],9),IF(Main[[#This Row],[Class]]="B", WORKDAY(Main[[#This Row],[Tech Start Date]],6),IF(Main[[#This Row],[Class]]="A",WORKDAY(Main[[#This Row],[Tech Start Date]],2),""))))</f>
        <v/>
      </c>
      <c r="N893" s="69" t="str">
        <f>IF(Main[[#This Row],[Tech Start Date]]&lt;1/1/1990,"",IF(Main[[#This Row],[Class]]="C",WORKDAY(Main[[#This Row],[Tech Start Date]],19),IF(Main[[#This Row],[Class]]="B", WORKDAY(Main[[#This Row],[Tech Start Date]],12),IF(Main[[#This Row],[Class]]="A",WORKDAY(Main[[#This Row],[Tech Start Date]],4),""))))</f>
        <v/>
      </c>
      <c r="O893" s="69" t="str">
        <f>IF(Main[[#This Row],[Tech Start Date]]&lt;1/1/1990,"",IF(Main[[#This Row],[Class]]="C",WORKDAY(Main[[#This Row],[Tech Start Date]],23),IF(Main[[#This Row],[Class]]="B", WORKDAY(Main[[#This Row],[Tech Start Date]],15),IF(Main[[#This Row],[Class]]="A",WORKDAY(Main[[#This Row],[Tech Start Date]],5),""))))</f>
        <v/>
      </c>
      <c r="P893" s="69" t="str">
        <f>IF(Main[[#This Row],[Tech Start Date]]&lt;1/1/1990,"",IF(Main[[#This Row],[Class]]="C",WORKDAY(Main[[#This Row],[Tech Start Date]],28),IF(Main[[#This Row],[Class]]="B", WORKDAY(Main[[#This Row],[Tech Start Date]],19),IF(Main[[#This Row],[Class]]="A",WORKDAY(Main[[#This Row],[Tech Start Date]],9),""))))</f>
        <v/>
      </c>
      <c r="Q893" s="67">
        <v>40648</v>
      </c>
      <c r="R893" s="67">
        <v>40967</v>
      </c>
      <c r="S893" s="65" t="s">
        <v>6</v>
      </c>
      <c r="T893" s="70" t="s">
        <v>4</v>
      </c>
      <c r="U893" s="65" t="s">
        <v>29</v>
      </c>
      <c r="V893" s="65" t="s">
        <v>1917</v>
      </c>
      <c r="W893" s="65" t="s">
        <v>1921</v>
      </c>
      <c r="X893" s="65" t="s">
        <v>879</v>
      </c>
      <c r="Y893" s="65" t="s">
        <v>4</v>
      </c>
      <c r="Z893" s="65" t="s">
        <v>129</v>
      </c>
      <c r="AA893" s="65" t="s">
        <v>3447</v>
      </c>
    </row>
    <row r="894" spans="1:27" ht="17.45" customHeight="1">
      <c r="A894" s="131" t="str">
        <f>IF(priority(Main[[#This Row],[Comments]])&lt;&gt;0, priority(Main[[#This Row],[Comments]]),"")</f>
        <v/>
      </c>
      <c r="B894" s="99" t="s">
        <v>1672</v>
      </c>
      <c r="C894" s="65" t="s">
        <v>4</v>
      </c>
      <c r="D894" s="66" t="s">
        <v>731</v>
      </c>
      <c r="E894" s="67"/>
      <c r="F894" s="67"/>
      <c r="G894" s="64" t="str">
        <f>IF(stdProdLT(Main[[#This Row],[Comments]])=0.1,"N/A",IF(stdProdLT(Main[[#This Row],[Comments]])=0,"",stdProdLT(Main[[#This Row],[Comments]])))</f>
        <v/>
      </c>
      <c r="H894" s="68" t="str">
        <f>IF(AND(Main[[#This Row],[In Stock Date]]&lt;&gt;"",Main[[#This Row],[Revised Due Date]]&lt;&gt;""),Main[[#This Row],[In Stock Date]]-Main[[#This Row],[Revised Due Date]],"")</f>
        <v/>
      </c>
      <c r="I894" s="65" t="s">
        <v>4</v>
      </c>
      <c r="J894" s="65" t="s">
        <v>4</v>
      </c>
      <c r="K894" s="65" t="s">
        <v>4</v>
      </c>
      <c r="L894" s="67"/>
      <c r="M894" s="69" t="str">
        <f>IF(Main[[#This Row],[Tech Start Date]]&lt;1/1/1990,"",IF(Main[[#This Row],[Class]]="C",WORKDAY(Main[[#This Row],[Tech Start Date]],9),IF(Main[[#This Row],[Class]]="B", WORKDAY(Main[[#This Row],[Tech Start Date]],6),IF(Main[[#This Row],[Class]]="A",WORKDAY(Main[[#This Row],[Tech Start Date]],2),""))))</f>
        <v/>
      </c>
      <c r="N894" s="69" t="str">
        <f>IF(Main[[#This Row],[Tech Start Date]]&lt;1/1/1990,"",IF(Main[[#This Row],[Class]]="C",WORKDAY(Main[[#This Row],[Tech Start Date]],19),IF(Main[[#This Row],[Class]]="B", WORKDAY(Main[[#This Row],[Tech Start Date]],12),IF(Main[[#This Row],[Class]]="A",WORKDAY(Main[[#This Row],[Tech Start Date]],4),""))))</f>
        <v/>
      </c>
      <c r="O894" s="69" t="str">
        <f>IF(Main[[#This Row],[Tech Start Date]]&lt;1/1/1990,"",IF(Main[[#This Row],[Class]]="C",WORKDAY(Main[[#This Row],[Tech Start Date]],23),IF(Main[[#This Row],[Class]]="B", WORKDAY(Main[[#This Row],[Tech Start Date]],15),IF(Main[[#This Row],[Class]]="A",WORKDAY(Main[[#This Row],[Tech Start Date]],5),""))))</f>
        <v/>
      </c>
      <c r="P894" s="69" t="str">
        <f>IF(Main[[#This Row],[Tech Start Date]]&lt;1/1/1990,"",IF(Main[[#This Row],[Class]]="C",WORKDAY(Main[[#This Row],[Tech Start Date]],28),IF(Main[[#This Row],[Class]]="B", WORKDAY(Main[[#This Row],[Tech Start Date]],19),IF(Main[[#This Row],[Class]]="A",WORKDAY(Main[[#This Row],[Tech Start Date]],9),""))))</f>
        <v/>
      </c>
      <c r="Q894" s="67"/>
      <c r="R894" s="67"/>
      <c r="S894" s="65" t="s">
        <v>23</v>
      </c>
      <c r="T894" s="70" t="s">
        <v>4</v>
      </c>
      <c r="U894" s="65" t="s">
        <v>14</v>
      </c>
      <c r="V894" s="65" t="s">
        <v>1917</v>
      </c>
      <c r="W894" s="65" t="s">
        <v>1921</v>
      </c>
      <c r="X894" s="65" t="s">
        <v>399</v>
      </c>
      <c r="Y894" s="65" t="s">
        <v>4</v>
      </c>
      <c r="Z894" s="65" t="s">
        <v>4</v>
      </c>
      <c r="AA894" s="65" t="s">
        <v>3038</v>
      </c>
    </row>
    <row r="895" spans="1:27" ht="17.45" customHeight="1">
      <c r="A895" s="131" t="str">
        <f>IF(priority(Main[[#This Row],[Comments]])&lt;&gt;0, priority(Main[[#This Row],[Comments]]),"")</f>
        <v/>
      </c>
      <c r="B895" s="99" t="s">
        <v>1674</v>
      </c>
      <c r="C895" s="65" t="s">
        <v>4</v>
      </c>
      <c r="D895" s="66" t="s">
        <v>733</v>
      </c>
      <c r="E895" s="67">
        <v>40679.253067129626</v>
      </c>
      <c r="F895" s="67"/>
      <c r="G895" s="64" t="str">
        <f>IF(stdProdLT(Main[[#This Row],[Comments]])=0.1,"N/A",IF(stdProdLT(Main[[#This Row],[Comments]])=0,"",stdProdLT(Main[[#This Row],[Comments]])))</f>
        <v/>
      </c>
      <c r="H895" s="68" t="str">
        <f>IF(AND(Main[[#This Row],[In Stock Date]]&lt;&gt;"",Main[[#This Row],[Revised Due Date]]&lt;&gt;""),Main[[#This Row],[In Stock Date]]-Main[[#This Row],[Revised Due Date]],"")</f>
        <v/>
      </c>
      <c r="I895" s="65" t="s">
        <v>4</v>
      </c>
      <c r="J895" s="65" t="s">
        <v>4</v>
      </c>
      <c r="K895" s="65" t="s">
        <v>4</v>
      </c>
      <c r="L895" s="67"/>
      <c r="M895" s="69" t="str">
        <f>IF(Main[[#This Row],[Tech Start Date]]&lt;1/1/1990,"",IF(Main[[#This Row],[Class]]="C",WORKDAY(Main[[#This Row],[Tech Start Date]],9),IF(Main[[#This Row],[Class]]="B", WORKDAY(Main[[#This Row],[Tech Start Date]],6),IF(Main[[#This Row],[Class]]="A",WORKDAY(Main[[#This Row],[Tech Start Date]],2),""))))</f>
        <v/>
      </c>
      <c r="N895" s="69" t="str">
        <f>IF(Main[[#This Row],[Tech Start Date]]&lt;1/1/1990,"",IF(Main[[#This Row],[Class]]="C",WORKDAY(Main[[#This Row],[Tech Start Date]],19),IF(Main[[#This Row],[Class]]="B", WORKDAY(Main[[#This Row],[Tech Start Date]],12),IF(Main[[#This Row],[Class]]="A",WORKDAY(Main[[#This Row],[Tech Start Date]],4),""))))</f>
        <v/>
      </c>
      <c r="O895" s="69" t="str">
        <f>IF(Main[[#This Row],[Tech Start Date]]&lt;1/1/1990,"",IF(Main[[#This Row],[Class]]="C",WORKDAY(Main[[#This Row],[Tech Start Date]],23),IF(Main[[#This Row],[Class]]="B", WORKDAY(Main[[#This Row],[Tech Start Date]],15),IF(Main[[#This Row],[Class]]="A",WORKDAY(Main[[#This Row],[Tech Start Date]],5),""))))</f>
        <v/>
      </c>
      <c r="P895" s="69" t="str">
        <f>IF(Main[[#This Row],[Tech Start Date]]&lt;1/1/1990,"",IF(Main[[#This Row],[Class]]="C",WORKDAY(Main[[#This Row],[Tech Start Date]],28),IF(Main[[#This Row],[Class]]="B", WORKDAY(Main[[#This Row],[Tech Start Date]],19),IF(Main[[#This Row],[Class]]="A",WORKDAY(Main[[#This Row],[Tech Start Date]],9),""))))</f>
        <v/>
      </c>
      <c r="Q895" s="67">
        <v>40724</v>
      </c>
      <c r="R895" s="67"/>
      <c r="S895" s="65" t="s">
        <v>6</v>
      </c>
      <c r="T895" s="70" t="s">
        <v>4</v>
      </c>
      <c r="U895" s="65" t="s">
        <v>7</v>
      </c>
      <c r="V895" s="65" t="s">
        <v>1917</v>
      </c>
      <c r="W895" s="65" t="s">
        <v>4</v>
      </c>
      <c r="X895" s="65" t="s">
        <v>2828</v>
      </c>
      <c r="Y895" s="65" t="s">
        <v>2944</v>
      </c>
      <c r="Z895" s="65" t="s">
        <v>4</v>
      </c>
      <c r="AA895" s="65" t="s">
        <v>2828</v>
      </c>
    </row>
    <row r="896" spans="1:27" ht="17.45" customHeight="1">
      <c r="A896" s="131" t="str">
        <f>IF(priority(Main[[#This Row],[Comments]])&lt;&gt;0, priority(Main[[#This Row],[Comments]]),"")</f>
        <v/>
      </c>
      <c r="B896" s="99" t="s">
        <v>1675</v>
      </c>
      <c r="C896" s="65" t="s">
        <v>4</v>
      </c>
      <c r="D896" s="66" t="s">
        <v>734</v>
      </c>
      <c r="E896" s="67">
        <v>40679.252465277779</v>
      </c>
      <c r="F896" s="67"/>
      <c r="G896" s="64" t="str">
        <f>IF(stdProdLT(Main[[#This Row],[Comments]])=0.1,"N/A",IF(stdProdLT(Main[[#This Row],[Comments]])=0,"",stdProdLT(Main[[#This Row],[Comments]])))</f>
        <v/>
      </c>
      <c r="H896" s="68" t="str">
        <f>IF(AND(Main[[#This Row],[In Stock Date]]&lt;&gt;"",Main[[#This Row],[Revised Due Date]]&lt;&gt;""),Main[[#This Row],[In Stock Date]]-Main[[#This Row],[Revised Due Date]],"")</f>
        <v/>
      </c>
      <c r="I896" s="65" t="s">
        <v>4</v>
      </c>
      <c r="J896" s="65" t="s">
        <v>4</v>
      </c>
      <c r="K896" s="65" t="s">
        <v>4</v>
      </c>
      <c r="L896" s="67"/>
      <c r="M896" s="69" t="str">
        <f>IF(Main[[#This Row],[Tech Start Date]]&lt;1/1/1990,"",IF(Main[[#This Row],[Class]]="C",WORKDAY(Main[[#This Row],[Tech Start Date]],9),IF(Main[[#This Row],[Class]]="B", WORKDAY(Main[[#This Row],[Tech Start Date]],6),IF(Main[[#This Row],[Class]]="A",WORKDAY(Main[[#This Row],[Tech Start Date]],2),""))))</f>
        <v/>
      </c>
      <c r="N896" s="69" t="str">
        <f>IF(Main[[#This Row],[Tech Start Date]]&lt;1/1/1990,"",IF(Main[[#This Row],[Class]]="C",WORKDAY(Main[[#This Row],[Tech Start Date]],19),IF(Main[[#This Row],[Class]]="B", WORKDAY(Main[[#This Row],[Tech Start Date]],12),IF(Main[[#This Row],[Class]]="A",WORKDAY(Main[[#This Row],[Tech Start Date]],4),""))))</f>
        <v/>
      </c>
      <c r="O896" s="69" t="str">
        <f>IF(Main[[#This Row],[Tech Start Date]]&lt;1/1/1990,"",IF(Main[[#This Row],[Class]]="C",WORKDAY(Main[[#This Row],[Tech Start Date]],23),IF(Main[[#This Row],[Class]]="B", WORKDAY(Main[[#This Row],[Tech Start Date]],15),IF(Main[[#This Row],[Class]]="A",WORKDAY(Main[[#This Row],[Tech Start Date]],5),""))))</f>
        <v/>
      </c>
      <c r="P896" s="69" t="str">
        <f>IF(Main[[#This Row],[Tech Start Date]]&lt;1/1/1990,"",IF(Main[[#This Row],[Class]]="C",WORKDAY(Main[[#This Row],[Tech Start Date]],28),IF(Main[[#This Row],[Class]]="B", WORKDAY(Main[[#This Row],[Tech Start Date]],19),IF(Main[[#This Row],[Class]]="A",WORKDAY(Main[[#This Row],[Tech Start Date]],9),""))))</f>
        <v/>
      </c>
      <c r="Q896" s="67">
        <v>40724</v>
      </c>
      <c r="R896" s="67"/>
      <c r="S896" s="65" t="s">
        <v>6</v>
      </c>
      <c r="T896" s="70" t="s">
        <v>4</v>
      </c>
      <c r="U896" s="65" t="s">
        <v>7</v>
      </c>
      <c r="V896" s="65" t="s">
        <v>1917</v>
      </c>
      <c r="W896" s="65" t="s">
        <v>4</v>
      </c>
      <c r="X896" s="65" t="s">
        <v>2828</v>
      </c>
      <c r="Y896" s="65" t="s">
        <v>2944</v>
      </c>
      <c r="Z896" s="65" t="s">
        <v>4</v>
      </c>
      <c r="AA896" s="65" t="s">
        <v>2828</v>
      </c>
    </row>
    <row r="897" spans="1:27" ht="17.45" customHeight="1">
      <c r="A897" s="131" t="str">
        <f>IF(priority(Main[[#This Row],[Comments]])&lt;&gt;0, priority(Main[[#This Row],[Comments]]),"")</f>
        <v/>
      </c>
      <c r="B897" s="99" t="s">
        <v>1676</v>
      </c>
      <c r="C897" s="65" t="s">
        <v>4</v>
      </c>
      <c r="D897" s="66" t="s">
        <v>735</v>
      </c>
      <c r="E897" s="67">
        <v>40679.253668981481</v>
      </c>
      <c r="F897" s="67"/>
      <c r="G897" s="64" t="str">
        <f>IF(stdProdLT(Main[[#This Row],[Comments]])=0.1,"N/A",IF(stdProdLT(Main[[#This Row],[Comments]])=0,"",stdProdLT(Main[[#This Row],[Comments]])))</f>
        <v/>
      </c>
      <c r="H897" s="68" t="str">
        <f>IF(AND(Main[[#This Row],[In Stock Date]]&lt;&gt;"",Main[[#This Row],[Revised Due Date]]&lt;&gt;""),Main[[#This Row],[In Stock Date]]-Main[[#This Row],[Revised Due Date]],"")</f>
        <v/>
      </c>
      <c r="I897" s="65" t="s">
        <v>4</v>
      </c>
      <c r="J897" s="65" t="s">
        <v>4</v>
      </c>
      <c r="K897" s="65" t="s">
        <v>4</v>
      </c>
      <c r="L897" s="67"/>
      <c r="M897" s="69" t="str">
        <f>IF(Main[[#This Row],[Tech Start Date]]&lt;1/1/1990,"",IF(Main[[#This Row],[Class]]="C",WORKDAY(Main[[#This Row],[Tech Start Date]],9),IF(Main[[#This Row],[Class]]="B", WORKDAY(Main[[#This Row],[Tech Start Date]],6),IF(Main[[#This Row],[Class]]="A",WORKDAY(Main[[#This Row],[Tech Start Date]],2),""))))</f>
        <v/>
      </c>
      <c r="N897" s="69" t="str">
        <f>IF(Main[[#This Row],[Tech Start Date]]&lt;1/1/1990,"",IF(Main[[#This Row],[Class]]="C",WORKDAY(Main[[#This Row],[Tech Start Date]],19),IF(Main[[#This Row],[Class]]="B", WORKDAY(Main[[#This Row],[Tech Start Date]],12),IF(Main[[#This Row],[Class]]="A",WORKDAY(Main[[#This Row],[Tech Start Date]],4),""))))</f>
        <v/>
      </c>
      <c r="O897" s="69" t="str">
        <f>IF(Main[[#This Row],[Tech Start Date]]&lt;1/1/1990,"",IF(Main[[#This Row],[Class]]="C",WORKDAY(Main[[#This Row],[Tech Start Date]],23),IF(Main[[#This Row],[Class]]="B", WORKDAY(Main[[#This Row],[Tech Start Date]],15),IF(Main[[#This Row],[Class]]="A",WORKDAY(Main[[#This Row],[Tech Start Date]],5),""))))</f>
        <v/>
      </c>
      <c r="P897" s="69" t="str">
        <f>IF(Main[[#This Row],[Tech Start Date]]&lt;1/1/1990,"",IF(Main[[#This Row],[Class]]="C",WORKDAY(Main[[#This Row],[Tech Start Date]],28),IF(Main[[#This Row],[Class]]="B", WORKDAY(Main[[#This Row],[Tech Start Date]],19),IF(Main[[#This Row],[Class]]="A",WORKDAY(Main[[#This Row],[Tech Start Date]],9),""))))</f>
        <v/>
      </c>
      <c r="Q897" s="67">
        <v>40724</v>
      </c>
      <c r="R897" s="67"/>
      <c r="S897" s="65" t="s">
        <v>6</v>
      </c>
      <c r="T897" s="70" t="s">
        <v>4</v>
      </c>
      <c r="U897" s="65" t="s">
        <v>7</v>
      </c>
      <c r="V897" s="65" t="s">
        <v>1917</v>
      </c>
      <c r="W897" s="65" t="s">
        <v>4</v>
      </c>
      <c r="X897" s="65" t="s">
        <v>2828</v>
      </c>
      <c r="Y897" s="65" t="s">
        <v>2944</v>
      </c>
      <c r="Z897" s="65" t="s">
        <v>4</v>
      </c>
      <c r="AA897" s="65" t="s">
        <v>2828</v>
      </c>
    </row>
    <row r="898" spans="1:27" ht="17.45" customHeight="1">
      <c r="A898" s="131" t="str">
        <f>IF(priority(Main[[#This Row],[Comments]])&lt;&gt;0, priority(Main[[#This Row],[Comments]]),"")</f>
        <v/>
      </c>
      <c r="B898" s="99" t="s">
        <v>1682</v>
      </c>
      <c r="C898" s="65" t="s">
        <v>4</v>
      </c>
      <c r="D898" s="66" t="s">
        <v>738</v>
      </c>
      <c r="E898" s="67"/>
      <c r="F898" s="67">
        <v>40598</v>
      </c>
      <c r="G898" s="64" t="str">
        <f>IF(stdProdLT(Main[[#This Row],[Comments]])=0.1,"N/A",IF(stdProdLT(Main[[#This Row],[Comments]])=0,"",stdProdLT(Main[[#This Row],[Comments]])))</f>
        <v/>
      </c>
      <c r="H898" s="68" t="str">
        <f>IF(AND(Main[[#This Row],[In Stock Date]]&lt;&gt;"",Main[[#This Row],[Revised Due Date]]&lt;&gt;""),Main[[#This Row],[In Stock Date]]-Main[[#This Row],[Revised Due Date]],"")</f>
        <v/>
      </c>
      <c r="I898" s="65" t="s">
        <v>4</v>
      </c>
      <c r="J898" s="65" t="s">
        <v>4</v>
      </c>
      <c r="K898" s="71" t="s">
        <v>4</v>
      </c>
      <c r="L898" s="67"/>
      <c r="M898" s="69" t="str">
        <f>IF(Main[[#This Row],[Tech Start Date]]&lt;1/1/1990,"",IF(Main[[#This Row],[Class]]="C",WORKDAY(Main[[#This Row],[Tech Start Date]],9),IF(Main[[#This Row],[Class]]="B", WORKDAY(Main[[#This Row],[Tech Start Date]],6),IF(Main[[#This Row],[Class]]="A",WORKDAY(Main[[#This Row],[Tech Start Date]],2),""))))</f>
        <v/>
      </c>
      <c r="N898" s="69" t="str">
        <f>IF(Main[[#This Row],[Tech Start Date]]&lt;1/1/1990,"",IF(Main[[#This Row],[Class]]="C",WORKDAY(Main[[#This Row],[Tech Start Date]],19),IF(Main[[#This Row],[Class]]="B", WORKDAY(Main[[#This Row],[Tech Start Date]],12),IF(Main[[#This Row],[Class]]="A",WORKDAY(Main[[#This Row],[Tech Start Date]],4),""))))</f>
        <v/>
      </c>
      <c r="O898" s="69" t="str">
        <f>IF(Main[[#This Row],[Tech Start Date]]&lt;1/1/1990,"",IF(Main[[#This Row],[Class]]="C",WORKDAY(Main[[#This Row],[Tech Start Date]],23),IF(Main[[#This Row],[Class]]="B", WORKDAY(Main[[#This Row],[Tech Start Date]],15),IF(Main[[#This Row],[Class]]="A",WORKDAY(Main[[#This Row],[Tech Start Date]],5),""))))</f>
        <v/>
      </c>
      <c r="P898" s="69" t="str">
        <f>IF(Main[[#This Row],[Tech Start Date]]&lt;1/1/1990,"",IF(Main[[#This Row],[Class]]="C",WORKDAY(Main[[#This Row],[Tech Start Date]],28),IF(Main[[#This Row],[Class]]="B", WORKDAY(Main[[#This Row],[Tech Start Date]],19),IF(Main[[#This Row],[Class]]="A",WORKDAY(Main[[#This Row],[Tech Start Date]],9),""))))</f>
        <v/>
      </c>
      <c r="Q898" s="67">
        <v>40598</v>
      </c>
      <c r="R898" s="67"/>
      <c r="S898" s="65" t="s">
        <v>11</v>
      </c>
      <c r="T898" s="70" t="s">
        <v>4</v>
      </c>
      <c r="U898" s="65" t="s">
        <v>14</v>
      </c>
      <c r="V898" s="65" t="s">
        <v>1927</v>
      </c>
      <c r="W898" s="65" t="s">
        <v>1923</v>
      </c>
      <c r="X898" s="65" t="s">
        <v>2854</v>
      </c>
      <c r="Y898" s="65" t="s">
        <v>2985</v>
      </c>
      <c r="Z898" s="65" t="s">
        <v>4</v>
      </c>
      <c r="AA898" s="65" t="s">
        <v>2854</v>
      </c>
    </row>
    <row r="899" spans="1:27" ht="17.45" customHeight="1">
      <c r="A899" s="131" t="str">
        <f>IF(priority(Main[[#This Row],[Comments]])&lt;&gt;0, priority(Main[[#This Row],[Comments]]),"")</f>
        <v/>
      </c>
      <c r="B899" s="99" t="s">
        <v>1707</v>
      </c>
      <c r="C899" s="65" t="s">
        <v>31</v>
      </c>
      <c r="D899" s="66" t="s">
        <v>756</v>
      </c>
      <c r="E899" s="67"/>
      <c r="F899" s="67">
        <v>40602</v>
      </c>
      <c r="G899" s="64" t="str">
        <f>IF(stdProdLT(Main[[#This Row],[Comments]])=0.1,"N/A",IF(stdProdLT(Main[[#This Row],[Comments]])=0,"",stdProdLT(Main[[#This Row],[Comments]])))</f>
        <v/>
      </c>
      <c r="H899" s="68" t="str">
        <f>IF(AND(Main[[#This Row],[In Stock Date]]&lt;&gt;"",Main[[#This Row],[Revised Due Date]]&lt;&gt;""),Main[[#This Row],[In Stock Date]]-Main[[#This Row],[Revised Due Date]],"")</f>
        <v/>
      </c>
      <c r="I899" s="65" t="s">
        <v>399</v>
      </c>
      <c r="J899" s="65" t="s">
        <v>75</v>
      </c>
      <c r="K899" s="65" t="s">
        <v>1926</v>
      </c>
      <c r="L899" s="67"/>
      <c r="M899" s="69" t="str">
        <f>IF(Main[[#This Row],[Tech Start Date]]&lt;1/1/1990,"",IF(Main[[#This Row],[Class]]="C",WORKDAY(Main[[#This Row],[Tech Start Date]],9),IF(Main[[#This Row],[Class]]="B", WORKDAY(Main[[#This Row],[Tech Start Date]],6),IF(Main[[#This Row],[Class]]="A",WORKDAY(Main[[#This Row],[Tech Start Date]],2),""))))</f>
        <v/>
      </c>
      <c r="N899" s="69" t="str">
        <f>IF(Main[[#This Row],[Tech Start Date]]&lt;1/1/1990,"",IF(Main[[#This Row],[Class]]="C",WORKDAY(Main[[#This Row],[Tech Start Date]],19),IF(Main[[#This Row],[Class]]="B", WORKDAY(Main[[#This Row],[Tech Start Date]],12),IF(Main[[#This Row],[Class]]="A",WORKDAY(Main[[#This Row],[Tech Start Date]],4),""))))</f>
        <v/>
      </c>
      <c r="O899" s="69" t="str">
        <f>IF(Main[[#This Row],[Tech Start Date]]&lt;1/1/1990,"",IF(Main[[#This Row],[Class]]="C",WORKDAY(Main[[#This Row],[Tech Start Date]],23),IF(Main[[#This Row],[Class]]="B", WORKDAY(Main[[#This Row],[Tech Start Date]],15),IF(Main[[#This Row],[Class]]="A",WORKDAY(Main[[#This Row],[Tech Start Date]],5),""))))</f>
        <v/>
      </c>
      <c r="P899" s="69" t="str">
        <f>IF(Main[[#This Row],[Tech Start Date]]&lt;1/1/1990,"",IF(Main[[#This Row],[Class]]="C",WORKDAY(Main[[#This Row],[Tech Start Date]],28),IF(Main[[#This Row],[Class]]="B", WORKDAY(Main[[#This Row],[Tech Start Date]],19),IF(Main[[#This Row],[Class]]="A",WORKDAY(Main[[#This Row],[Tech Start Date]],9),""))))</f>
        <v/>
      </c>
      <c r="Q899" s="67"/>
      <c r="R899" s="67"/>
      <c r="S899" s="65" t="s">
        <v>11</v>
      </c>
      <c r="T899" s="70" t="s">
        <v>4</v>
      </c>
      <c r="U899" s="65" t="s">
        <v>14</v>
      </c>
      <c r="V899" s="65" t="s">
        <v>1920</v>
      </c>
      <c r="W899" s="65" t="s">
        <v>1923</v>
      </c>
      <c r="X899" s="65" t="s">
        <v>50</v>
      </c>
      <c r="Y899" s="65" t="s">
        <v>2967</v>
      </c>
      <c r="Z899" s="65" t="s">
        <v>306</v>
      </c>
      <c r="AA899" s="65" t="s">
        <v>50</v>
      </c>
    </row>
    <row r="900" spans="1:27" ht="17.45" customHeight="1">
      <c r="A900" s="131" t="str">
        <f>IF(priority(Main[[#This Row],[Comments]])&lt;&gt;0, priority(Main[[#This Row],[Comments]]),"")</f>
        <v/>
      </c>
      <c r="B900" s="99" t="s">
        <v>1708</v>
      </c>
      <c r="C900" s="65" t="s">
        <v>93</v>
      </c>
      <c r="D900" s="66" t="s">
        <v>757</v>
      </c>
      <c r="E900" s="67"/>
      <c r="F900" s="67">
        <v>40302</v>
      </c>
      <c r="G900" s="64" t="str">
        <f>IF(stdProdLT(Main[[#This Row],[Comments]])=0.1,"N/A",IF(stdProdLT(Main[[#This Row],[Comments]])=0,"",stdProdLT(Main[[#This Row],[Comments]])))</f>
        <v/>
      </c>
      <c r="H900" s="68" t="str">
        <f>IF(AND(Main[[#This Row],[In Stock Date]]&lt;&gt;"",Main[[#This Row],[Revised Due Date]]&lt;&gt;""),Main[[#This Row],[In Stock Date]]-Main[[#This Row],[Revised Due Date]],"")</f>
        <v/>
      </c>
      <c r="I900" s="65" t="s">
        <v>4</v>
      </c>
      <c r="J900" s="65" t="s">
        <v>4</v>
      </c>
      <c r="K900" s="65" t="s">
        <v>4</v>
      </c>
      <c r="L900" s="67"/>
      <c r="M900" s="69" t="str">
        <f>IF(Main[[#This Row],[Tech Start Date]]&lt;1/1/1990,"",IF(Main[[#This Row],[Class]]="C",WORKDAY(Main[[#This Row],[Tech Start Date]],9),IF(Main[[#This Row],[Class]]="B", WORKDAY(Main[[#This Row],[Tech Start Date]],6),IF(Main[[#This Row],[Class]]="A",WORKDAY(Main[[#This Row],[Tech Start Date]],2),""))))</f>
        <v/>
      </c>
      <c r="N900" s="69" t="str">
        <f>IF(Main[[#This Row],[Tech Start Date]]&lt;1/1/1990,"",IF(Main[[#This Row],[Class]]="C",WORKDAY(Main[[#This Row],[Tech Start Date]],19),IF(Main[[#This Row],[Class]]="B", WORKDAY(Main[[#This Row],[Tech Start Date]],12),IF(Main[[#This Row],[Class]]="A",WORKDAY(Main[[#This Row],[Tech Start Date]],4),""))))</f>
        <v/>
      </c>
      <c r="O900" s="69" t="str">
        <f>IF(Main[[#This Row],[Tech Start Date]]&lt;1/1/1990,"",IF(Main[[#This Row],[Class]]="C",WORKDAY(Main[[#This Row],[Tech Start Date]],23),IF(Main[[#This Row],[Class]]="B", WORKDAY(Main[[#This Row],[Tech Start Date]],15),IF(Main[[#This Row],[Class]]="A",WORKDAY(Main[[#This Row],[Tech Start Date]],5),""))))</f>
        <v/>
      </c>
      <c r="P900" s="69" t="str">
        <f>IF(Main[[#This Row],[Tech Start Date]]&lt;1/1/1990,"",IF(Main[[#This Row],[Class]]="C",WORKDAY(Main[[#This Row],[Tech Start Date]],28),IF(Main[[#This Row],[Class]]="B", WORKDAY(Main[[#This Row],[Tech Start Date]],19),IF(Main[[#This Row],[Class]]="A",WORKDAY(Main[[#This Row],[Tech Start Date]],9),""))))</f>
        <v/>
      </c>
      <c r="Q900" s="67">
        <v>40190</v>
      </c>
      <c r="R900" s="67"/>
      <c r="S900" s="65" t="s">
        <v>11</v>
      </c>
      <c r="T900" s="70" t="s">
        <v>4</v>
      </c>
      <c r="U900" s="65" t="s">
        <v>12</v>
      </c>
      <c r="V900" s="65" t="s">
        <v>1927</v>
      </c>
      <c r="W900" s="65" t="s">
        <v>1923</v>
      </c>
      <c r="X900" s="65" t="s">
        <v>2904</v>
      </c>
      <c r="Y900" s="65" t="s">
        <v>4</v>
      </c>
      <c r="Z900" s="65" t="s">
        <v>4</v>
      </c>
      <c r="AA900" s="65" t="s">
        <v>2904</v>
      </c>
    </row>
    <row r="901" spans="1:27" ht="17.45" customHeight="1">
      <c r="A901" s="131" t="str">
        <f>IF(priority(Main[[#This Row],[Comments]])&lt;&gt;0, priority(Main[[#This Row],[Comments]]),"")</f>
        <v/>
      </c>
      <c r="B901" s="99" t="s">
        <v>1863</v>
      </c>
      <c r="C901" s="65" t="s">
        <v>31</v>
      </c>
      <c r="D901" s="66" t="s">
        <v>919</v>
      </c>
      <c r="E901" s="67"/>
      <c r="F901" s="67">
        <v>40664</v>
      </c>
      <c r="G901" s="64" t="str">
        <f>IF(stdProdLT(Main[[#This Row],[Comments]])=0.1,"N/A",IF(stdProdLT(Main[[#This Row],[Comments]])=0,"",stdProdLT(Main[[#This Row],[Comments]])))</f>
        <v/>
      </c>
      <c r="H901" s="68">
        <f>IF(AND(Main[[#This Row],[In Stock Date]]&lt;&gt;"",Main[[#This Row],[Revised Due Date]]&lt;&gt;""),Main[[#This Row],[In Stock Date]]-Main[[#This Row],[Revised Due Date]],"")</f>
        <v>87</v>
      </c>
      <c r="I901" s="65" t="s">
        <v>399</v>
      </c>
      <c r="J901" s="65" t="s">
        <v>75</v>
      </c>
      <c r="K901" s="65" t="s">
        <v>1926</v>
      </c>
      <c r="L901" s="67"/>
      <c r="M901" s="69" t="str">
        <f>IF(Main[[#This Row],[Tech Start Date]]&lt;1/1/1990,"",IF(Main[[#This Row],[Class]]="C",WORKDAY(Main[[#This Row],[Tech Start Date]],9),IF(Main[[#This Row],[Class]]="B", WORKDAY(Main[[#This Row],[Tech Start Date]],6),IF(Main[[#This Row],[Class]]="A",WORKDAY(Main[[#This Row],[Tech Start Date]],2),""))))</f>
        <v/>
      </c>
      <c r="N901" s="69" t="str">
        <f>IF(Main[[#This Row],[Tech Start Date]]&lt;1/1/1990,"",IF(Main[[#This Row],[Class]]="C",WORKDAY(Main[[#This Row],[Tech Start Date]],19),IF(Main[[#This Row],[Class]]="B", WORKDAY(Main[[#This Row],[Tech Start Date]],12),IF(Main[[#This Row],[Class]]="A",WORKDAY(Main[[#This Row],[Tech Start Date]],4),""))))</f>
        <v/>
      </c>
      <c r="O901" s="69" t="str">
        <f>IF(Main[[#This Row],[Tech Start Date]]&lt;1/1/1990,"",IF(Main[[#This Row],[Class]]="C",WORKDAY(Main[[#This Row],[Tech Start Date]],23),IF(Main[[#This Row],[Class]]="B", WORKDAY(Main[[#This Row],[Tech Start Date]],15),IF(Main[[#This Row],[Class]]="A",WORKDAY(Main[[#This Row],[Tech Start Date]],5),""))))</f>
        <v/>
      </c>
      <c r="P901" s="69" t="str">
        <f>IF(Main[[#This Row],[Tech Start Date]]&lt;1/1/1990,"",IF(Main[[#This Row],[Class]]="C",WORKDAY(Main[[#This Row],[Tech Start Date]],28),IF(Main[[#This Row],[Class]]="B", WORKDAY(Main[[#This Row],[Tech Start Date]],19),IF(Main[[#This Row],[Class]]="A",WORKDAY(Main[[#This Row],[Tech Start Date]],9),""))))</f>
        <v/>
      </c>
      <c r="Q901" s="67"/>
      <c r="R901" s="67">
        <v>40577</v>
      </c>
      <c r="S901" s="65" t="s">
        <v>11</v>
      </c>
      <c r="T901" s="70" t="s">
        <v>4</v>
      </c>
      <c r="U901" s="65" t="s">
        <v>14</v>
      </c>
      <c r="V901" s="65" t="s">
        <v>1920</v>
      </c>
      <c r="W901" s="65" t="s">
        <v>1923</v>
      </c>
      <c r="X901" s="65" t="s">
        <v>2831</v>
      </c>
      <c r="Y901" s="65" t="s">
        <v>2973</v>
      </c>
      <c r="Z901" s="65" t="s">
        <v>530</v>
      </c>
      <c r="AA901" s="65" t="s">
        <v>2831</v>
      </c>
    </row>
    <row r="902" spans="1:27" ht="17.45" customHeight="1">
      <c r="A902" s="131" t="str">
        <f>IF(priority(Main[[#This Row],[Comments]])&lt;&gt;0, priority(Main[[#This Row],[Comments]]),"")</f>
        <v/>
      </c>
      <c r="B902" s="99" t="s">
        <v>1729</v>
      </c>
      <c r="C902" s="65" t="s">
        <v>4</v>
      </c>
      <c r="D902" s="66" t="s">
        <v>784</v>
      </c>
      <c r="E902" s="67"/>
      <c r="F902" s="67"/>
      <c r="G902" s="64" t="str">
        <f>IF(stdProdLT(Main[[#This Row],[Comments]])=0.1,"N/A",IF(stdProdLT(Main[[#This Row],[Comments]])=0,"",stdProdLT(Main[[#This Row],[Comments]])))</f>
        <v/>
      </c>
      <c r="H902" s="68" t="str">
        <f>IF(AND(Main[[#This Row],[In Stock Date]]&lt;&gt;"",Main[[#This Row],[Revised Due Date]]&lt;&gt;""),Main[[#This Row],[In Stock Date]]-Main[[#This Row],[Revised Due Date]],"")</f>
        <v/>
      </c>
      <c r="I902" s="65" t="s">
        <v>4</v>
      </c>
      <c r="J902" s="65" t="s">
        <v>4</v>
      </c>
      <c r="K902" s="65" t="s">
        <v>4</v>
      </c>
      <c r="L902" s="67"/>
      <c r="M902" s="69" t="str">
        <f>IF(Main[[#This Row],[Tech Start Date]]&lt;1/1/1990,"",IF(Main[[#This Row],[Class]]="C",WORKDAY(Main[[#This Row],[Tech Start Date]],9),IF(Main[[#This Row],[Class]]="B", WORKDAY(Main[[#This Row],[Tech Start Date]],6),IF(Main[[#This Row],[Class]]="A",WORKDAY(Main[[#This Row],[Tech Start Date]],2),""))))</f>
        <v/>
      </c>
      <c r="N902" s="69" t="str">
        <f>IF(Main[[#This Row],[Tech Start Date]]&lt;1/1/1990,"",IF(Main[[#This Row],[Class]]="C",WORKDAY(Main[[#This Row],[Tech Start Date]],19),IF(Main[[#This Row],[Class]]="B", WORKDAY(Main[[#This Row],[Tech Start Date]],12),IF(Main[[#This Row],[Class]]="A",WORKDAY(Main[[#This Row],[Tech Start Date]],4),""))))</f>
        <v/>
      </c>
      <c r="O902" s="69" t="str">
        <f>IF(Main[[#This Row],[Tech Start Date]]&lt;1/1/1990,"",IF(Main[[#This Row],[Class]]="C",WORKDAY(Main[[#This Row],[Tech Start Date]],23),IF(Main[[#This Row],[Class]]="B", WORKDAY(Main[[#This Row],[Tech Start Date]],15),IF(Main[[#This Row],[Class]]="A",WORKDAY(Main[[#This Row],[Tech Start Date]],5),""))))</f>
        <v/>
      </c>
      <c r="P902" s="69" t="str">
        <f>IF(Main[[#This Row],[Tech Start Date]]&lt;1/1/1990,"",IF(Main[[#This Row],[Class]]="C",WORKDAY(Main[[#This Row],[Tech Start Date]],28),IF(Main[[#This Row],[Class]]="B", WORKDAY(Main[[#This Row],[Tech Start Date]],19),IF(Main[[#This Row],[Class]]="A",WORKDAY(Main[[#This Row],[Tech Start Date]],9),""))))</f>
        <v/>
      </c>
      <c r="Q902" s="67"/>
      <c r="R902" s="67"/>
      <c r="S902" s="65" t="s">
        <v>49</v>
      </c>
      <c r="T902" s="70" t="s">
        <v>4</v>
      </c>
      <c r="U902" s="65" t="s">
        <v>103</v>
      </c>
      <c r="V902" s="65" t="s">
        <v>1918</v>
      </c>
      <c r="W902" s="65" t="s">
        <v>1921</v>
      </c>
      <c r="X902" s="65" t="s">
        <v>306</v>
      </c>
      <c r="Y902" s="65" t="s">
        <v>4</v>
      </c>
      <c r="Z902" s="65" t="s">
        <v>4</v>
      </c>
      <c r="AA902" s="65" t="s">
        <v>4</v>
      </c>
    </row>
    <row r="903" spans="1:27" ht="17.45" customHeight="1">
      <c r="A903" s="131" t="str">
        <f>IF(priority(Main[[#This Row],[Comments]])&lt;&gt;0, priority(Main[[#This Row],[Comments]]),"")</f>
        <v/>
      </c>
      <c r="B903" s="99" t="s">
        <v>2197</v>
      </c>
      <c r="C903" s="65" t="s">
        <v>4</v>
      </c>
      <c r="D903" s="66" t="s">
        <v>2198</v>
      </c>
      <c r="E903" s="67"/>
      <c r="F903" s="67"/>
      <c r="G903" s="64" t="str">
        <f>IF(stdProdLT(Main[[#This Row],[Comments]])=0.1,"N/A",IF(stdProdLT(Main[[#This Row],[Comments]])=0,"",stdProdLT(Main[[#This Row],[Comments]])))</f>
        <v/>
      </c>
      <c r="H903" s="68" t="str">
        <f>IF(AND(Main[[#This Row],[In Stock Date]]&lt;&gt;"",Main[[#This Row],[Revised Due Date]]&lt;&gt;""),Main[[#This Row],[In Stock Date]]-Main[[#This Row],[Revised Due Date]],"")</f>
        <v/>
      </c>
      <c r="I903" s="65" t="s">
        <v>4</v>
      </c>
      <c r="J903" s="65" t="s">
        <v>4</v>
      </c>
      <c r="K903" s="65" t="s">
        <v>4</v>
      </c>
      <c r="L903" s="67"/>
      <c r="M903" s="69" t="str">
        <f>IF(Main[[#This Row],[Tech Start Date]]&lt;1/1/1990,"",IF(Main[[#This Row],[Class]]="C",WORKDAY(Main[[#This Row],[Tech Start Date]],9),IF(Main[[#This Row],[Class]]="B", WORKDAY(Main[[#This Row],[Tech Start Date]],6),IF(Main[[#This Row],[Class]]="A",WORKDAY(Main[[#This Row],[Tech Start Date]],2),""))))</f>
        <v/>
      </c>
      <c r="N903" s="69" t="str">
        <f>IF(Main[[#This Row],[Tech Start Date]]&lt;1/1/1990,"",IF(Main[[#This Row],[Class]]="C",WORKDAY(Main[[#This Row],[Tech Start Date]],19),IF(Main[[#This Row],[Class]]="B", WORKDAY(Main[[#This Row],[Tech Start Date]],12),IF(Main[[#This Row],[Class]]="A",WORKDAY(Main[[#This Row],[Tech Start Date]],4),""))))</f>
        <v/>
      </c>
      <c r="O903" s="69" t="str">
        <f>IF(Main[[#This Row],[Tech Start Date]]&lt;1/1/1990,"",IF(Main[[#This Row],[Class]]="C",WORKDAY(Main[[#This Row],[Tech Start Date]],23),IF(Main[[#This Row],[Class]]="B", WORKDAY(Main[[#This Row],[Tech Start Date]],15),IF(Main[[#This Row],[Class]]="A",WORKDAY(Main[[#This Row],[Tech Start Date]],5),""))))</f>
        <v/>
      </c>
      <c r="P903" s="69" t="str">
        <f>IF(Main[[#This Row],[Tech Start Date]]&lt;1/1/1990,"",IF(Main[[#This Row],[Class]]="C",WORKDAY(Main[[#This Row],[Tech Start Date]],28),IF(Main[[#This Row],[Class]]="B", WORKDAY(Main[[#This Row],[Tech Start Date]],19),IF(Main[[#This Row],[Class]]="A",WORKDAY(Main[[#This Row],[Tech Start Date]],9),""))))</f>
        <v/>
      </c>
      <c r="Q903" s="67"/>
      <c r="R903" s="67"/>
      <c r="S903" s="65" t="s">
        <v>6</v>
      </c>
      <c r="T903" s="70" t="s">
        <v>4</v>
      </c>
      <c r="U903" s="65" t="s">
        <v>14</v>
      </c>
      <c r="V903" s="65" t="s">
        <v>1932</v>
      </c>
      <c r="W903" s="65" t="s">
        <v>4</v>
      </c>
      <c r="X903" s="65" t="s">
        <v>306</v>
      </c>
      <c r="Y903" s="65" t="s">
        <v>4</v>
      </c>
      <c r="Z903" s="65" t="s">
        <v>4</v>
      </c>
      <c r="AA903" s="65" t="s">
        <v>4</v>
      </c>
    </row>
    <row r="904" spans="1:27" ht="17.45" customHeight="1">
      <c r="A904" s="131" t="str">
        <f>IF(priority(Main[[#This Row],[Comments]])&lt;&gt;0, priority(Main[[#This Row],[Comments]]),"")</f>
        <v/>
      </c>
      <c r="B904" s="99" t="s">
        <v>1702</v>
      </c>
      <c r="C904" s="65" t="s">
        <v>758</v>
      </c>
      <c r="D904" s="66" t="s">
        <v>759</v>
      </c>
      <c r="E904" s="67"/>
      <c r="F904" s="67"/>
      <c r="G904" s="64" t="str">
        <f>IF(stdProdLT(Main[[#This Row],[Comments]])=0.1,"N/A",IF(stdProdLT(Main[[#This Row],[Comments]])=0,"",stdProdLT(Main[[#This Row],[Comments]])))</f>
        <v/>
      </c>
      <c r="H904" s="68" t="str">
        <f>IF(AND(Main[[#This Row],[In Stock Date]]&lt;&gt;"",Main[[#This Row],[Revised Due Date]]&lt;&gt;""),Main[[#This Row],[In Stock Date]]-Main[[#This Row],[Revised Due Date]],"")</f>
        <v/>
      </c>
      <c r="I904" s="65" t="s">
        <v>4</v>
      </c>
      <c r="J904" s="65" t="s">
        <v>4</v>
      </c>
      <c r="K904" s="65" t="s">
        <v>4</v>
      </c>
      <c r="L904" s="67"/>
      <c r="M904" s="69" t="str">
        <f>IF(Main[[#This Row],[Tech Start Date]]&lt;1/1/1990,"",IF(Main[[#This Row],[Class]]="C",WORKDAY(Main[[#This Row],[Tech Start Date]],9),IF(Main[[#This Row],[Class]]="B", WORKDAY(Main[[#This Row],[Tech Start Date]],6),IF(Main[[#This Row],[Class]]="A",WORKDAY(Main[[#This Row],[Tech Start Date]],2),""))))</f>
        <v/>
      </c>
      <c r="N904" s="69" t="str">
        <f>IF(Main[[#This Row],[Tech Start Date]]&lt;1/1/1990,"",IF(Main[[#This Row],[Class]]="C",WORKDAY(Main[[#This Row],[Tech Start Date]],19),IF(Main[[#This Row],[Class]]="B", WORKDAY(Main[[#This Row],[Tech Start Date]],12),IF(Main[[#This Row],[Class]]="A",WORKDAY(Main[[#This Row],[Tech Start Date]],4),""))))</f>
        <v/>
      </c>
      <c r="O904" s="69" t="str">
        <f>IF(Main[[#This Row],[Tech Start Date]]&lt;1/1/1990,"",IF(Main[[#This Row],[Class]]="C",WORKDAY(Main[[#This Row],[Tech Start Date]],23),IF(Main[[#This Row],[Class]]="B", WORKDAY(Main[[#This Row],[Tech Start Date]],15),IF(Main[[#This Row],[Class]]="A",WORKDAY(Main[[#This Row],[Tech Start Date]],5),""))))</f>
        <v/>
      </c>
      <c r="P904" s="69" t="str">
        <f>IF(Main[[#This Row],[Tech Start Date]]&lt;1/1/1990,"",IF(Main[[#This Row],[Class]]="C",WORKDAY(Main[[#This Row],[Tech Start Date]],28),IF(Main[[#This Row],[Class]]="B", WORKDAY(Main[[#This Row],[Tech Start Date]],19),IF(Main[[#This Row],[Class]]="A",WORKDAY(Main[[#This Row],[Tech Start Date]],9),""))))</f>
        <v/>
      </c>
      <c r="Q904" s="67"/>
      <c r="R904" s="67"/>
      <c r="S904" s="65" t="s">
        <v>11</v>
      </c>
      <c r="T904" s="70" t="s">
        <v>4</v>
      </c>
      <c r="U904" s="65" t="s">
        <v>14</v>
      </c>
      <c r="V904" s="65" t="s">
        <v>1918</v>
      </c>
      <c r="W904" s="65" t="s">
        <v>1925</v>
      </c>
      <c r="X904" s="65" t="s">
        <v>2833</v>
      </c>
      <c r="Y904" s="65" t="s">
        <v>2954</v>
      </c>
      <c r="Z904" s="65" t="s">
        <v>4</v>
      </c>
      <c r="AA904" s="65" t="s">
        <v>2833</v>
      </c>
    </row>
    <row r="905" spans="1:27" ht="17.45" customHeight="1">
      <c r="A905" s="131" t="str">
        <f>IF(priority(Main[[#This Row],[Comments]])&lt;&gt;0, priority(Main[[#This Row],[Comments]]),"")</f>
        <v/>
      </c>
      <c r="B905" s="99" t="s">
        <v>1703</v>
      </c>
      <c r="C905" s="65" t="s">
        <v>4</v>
      </c>
      <c r="D905" s="66" t="s">
        <v>760</v>
      </c>
      <c r="E905" s="67">
        <v>40436.644293981481</v>
      </c>
      <c r="F905" s="67"/>
      <c r="G905" s="64" t="str">
        <f>IF(stdProdLT(Main[[#This Row],[Comments]])=0.1,"N/A",IF(stdProdLT(Main[[#This Row],[Comments]])=0,"",stdProdLT(Main[[#This Row],[Comments]])))</f>
        <v/>
      </c>
      <c r="H905" s="68" t="str">
        <f>IF(AND(Main[[#This Row],[In Stock Date]]&lt;&gt;"",Main[[#This Row],[Revised Due Date]]&lt;&gt;""),Main[[#This Row],[In Stock Date]]-Main[[#This Row],[Revised Due Date]],"")</f>
        <v/>
      </c>
      <c r="I905" s="65" t="s">
        <v>4</v>
      </c>
      <c r="J905" s="65" t="s">
        <v>28</v>
      </c>
      <c r="K905" s="65" t="s">
        <v>4</v>
      </c>
      <c r="L905" s="67"/>
      <c r="M905" s="69" t="str">
        <f>IF(Main[[#This Row],[Tech Start Date]]&lt;1/1/1990,"",IF(Main[[#This Row],[Class]]="C",WORKDAY(Main[[#This Row],[Tech Start Date]],9),IF(Main[[#This Row],[Class]]="B", WORKDAY(Main[[#This Row],[Tech Start Date]],6),IF(Main[[#This Row],[Class]]="A",WORKDAY(Main[[#This Row],[Tech Start Date]],2),""))))</f>
        <v/>
      </c>
      <c r="N905" s="69" t="str">
        <f>IF(Main[[#This Row],[Tech Start Date]]&lt;1/1/1990,"",IF(Main[[#This Row],[Class]]="C",WORKDAY(Main[[#This Row],[Tech Start Date]],19),IF(Main[[#This Row],[Class]]="B", WORKDAY(Main[[#This Row],[Tech Start Date]],12),IF(Main[[#This Row],[Class]]="A",WORKDAY(Main[[#This Row],[Tech Start Date]],4),""))))</f>
        <v/>
      </c>
      <c r="O905" s="69" t="str">
        <f>IF(Main[[#This Row],[Tech Start Date]]&lt;1/1/1990,"",IF(Main[[#This Row],[Class]]="C",WORKDAY(Main[[#This Row],[Tech Start Date]],23),IF(Main[[#This Row],[Class]]="B", WORKDAY(Main[[#This Row],[Tech Start Date]],15),IF(Main[[#This Row],[Class]]="A",WORKDAY(Main[[#This Row],[Tech Start Date]],5),""))))</f>
        <v/>
      </c>
      <c r="P905" s="69" t="str">
        <f>IF(Main[[#This Row],[Tech Start Date]]&lt;1/1/1990,"",IF(Main[[#This Row],[Class]]="C",WORKDAY(Main[[#This Row],[Tech Start Date]],28),IF(Main[[#This Row],[Class]]="B", WORKDAY(Main[[#This Row],[Tech Start Date]],19),IF(Main[[#This Row],[Class]]="A",WORKDAY(Main[[#This Row],[Tech Start Date]],9),""))))</f>
        <v/>
      </c>
      <c r="Q905" s="67"/>
      <c r="R905" s="67"/>
      <c r="S905" s="65" t="s">
        <v>6</v>
      </c>
      <c r="T905" s="70" t="s">
        <v>4</v>
      </c>
      <c r="U905" s="65" t="s">
        <v>7</v>
      </c>
      <c r="V905" s="65" t="s">
        <v>1917</v>
      </c>
      <c r="W905" s="65" t="s">
        <v>1921</v>
      </c>
      <c r="X905" s="65" t="s">
        <v>924</v>
      </c>
      <c r="Y905" s="65" t="s">
        <v>2988</v>
      </c>
      <c r="Z905" s="65" t="s">
        <v>129</v>
      </c>
      <c r="AA905" s="65" t="s">
        <v>924</v>
      </c>
    </row>
    <row r="906" spans="1:27" ht="17.45" customHeight="1">
      <c r="A906" s="131" t="str">
        <f>IF(priority(Main[[#This Row],[Comments]])&lt;&gt;0, priority(Main[[#This Row],[Comments]]),"")</f>
        <v/>
      </c>
      <c r="B906" s="99" t="s">
        <v>1704</v>
      </c>
      <c r="C906" s="65" t="s">
        <v>761</v>
      </c>
      <c r="D906" s="66" t="s">
        <v>762</v>
      </c>
      <c r="E906" s="67"/>
      <c r="F906" s="67"/>
      <c r="G906" s="64" t="str">
        <f>IF(stdProdLT(Main[[#This Row],[Comments]])=0.1,"N/A",IF(stdProdLT(Main[[#This Row],[Comments]])=0,"",stdProdLT(Main[[#This Row],[Comments]])))</f>
        <v/>
      </c>
      <c r="H906" s="68" t="str">
        <f>IF(AND(Main[[#This Row],[In Stock Date]]&lt;&gt;"",Main[[#This Row],[Revised Due Date]]&lt;&gt;""),Main[[#This Row],[In Stock Date]]-Main[[#This Row],[Revised Due Date]],"")</f>
        <v/>
      </c>
      <c r="I906" s="65" t="s">
        <v>163</v>
      </c>
      <c r="J906" s="65" t="s">
        <v>4</v>
      </c>
      <c r="K906" s="65" t="s">
        <v>1924</v>
      </c>
      <c r="L906" s="67"/>
      <c r="M906" s="69" t="str">
        <f>IF(Main[[#This Row],[Tech Start Date]]&lt;1/1/1990,"",IF(Main[[#This Row],[Class]]="C",WORKDAY(Main[[#This Row],[Tech Start Date]],9),IF(Main[[#This Row],[Class]]="B", WORKDAY(Main[[#This Row],[Tech Start Date]],6),IF(Main[[#This Row],[Class]]="A",WORKDAY(Main[[#This Row],[Tech Start Date]],2),""))))</f>
        <v/>
      </c>
      <c r="N906" s="69" t="str">
        <f>IF(Main[[#This Row],[Tech Start Date]]&lt;1/1/1990,"",IF(Main[[#This Row],[Class]]="C",WORKDAY(Main[[#This Row],[Tech Start Date]],19),IF(Main[[#This Row],[Class]]="B", WORKDAY(Main[[#This Row],[Tech Start Date]],12),IF(Main[[#This Row],[Class]]="A",WORKDAY(Main[[#This Row],[Tech Start Date]],4),""))))</f>
        <v/>
      </c>
      <c r="O906" s="69" t="str">
        <f>IF(Main[[#This Row],[Tech Start Date]]&lt;1/1/1990,"",IF(Main[[#This Row],[Class]]="C",WORKDAY(Main[[#This Row],[Tech Start Date]],23),IF(Main[[#This Row],[Class]]="B", WORKDAY(Main[[#This Row],[Tech Start Date]],15),IF(Main[[#This Row],[Class]]="A",WORKDAY(Main[[#This Row],[Tech Start Date]],5),""))))</f>
        <v/>
      </c>
      <c r="P906" s="69" t="str">
        <f>IF(Main[[#This Row],[Tech Start Date]]&lt;1/1/1990,"",IF(Main[[#This Row],[Class]]="C",WORKDAY(Main[[#This Row],[Tech Start Date]],28),IF(Main[[#This Row],[Class]]="B", WORKDAY(Main[[#This Row],[Tech Start Date]],19),IF(Main[[#This Row],[Class]]="A",WORKDAY(Main[[#This Row],[Tech Start Date]],9),""))))</f>
        <v/>
      </c>
      <c r="Q906" s="67">
        <v>40421</v>
      </c>
      <c r="R906" s="67"/>
      <c r="S906" s="65" t="s">
        <v>17</v>
      </c>
      <c r="T906" s="70" t="s">
        <v>4</v>
      </c>
      <c r="U906" s="65" t="s">
        <v>14</v>
      </c>
      <c r="V906" s="65" t="s">
        <v>1920</v>
      </c>
      <c r="W906" s="65" t="s">
        <v>1921</v>
      </c>
      <c r="X906" s="65" t="s">
        <v>163</v>
      </c>
      <c r="Y906" s="65" t="s">
        <v>3106</v>
      </c>
      <c r="Z906" s="65" t="s">
        <v>4</v>
      </c>
      <c r="AA906" s="65" t="s">
        <v>163</v>
      </c>
    </row>
    <row r="907" spans="1:27" ht="17.45" customHeight="1">
      <c r="A907" s="131" t="str">
        <f>IF(priority(Main[[#This Row],[Comments]])&lt;&gt;0, priority(Main[[#This Row],[Comments]]),"")</f>
        <v/>
      </c>
      <c r="B907" s="99" t="s">
        <v>1705</v>
      </c>
      <c r="C907" s="65" t="s">
        <v>4</v>
      </c>
      <c r="D907" s="66" t="s">
        <v>763</v>
      </c>
      <c r="E907" s="67"/>
      <c r="F907" s="67"/>
      <c r="G907" s="64" t="str">
        <f>IF(stdProdLT(Main[[#This Row],[Comments]])=0.1,"N/A",IF(stdProdLT(Main[[#This Row],[Comments]])=0,"",stdProdLT(Main[[#This Row],[Comments]])))</f>
        <v/>
      </c>
      <c r="H907" s="68" t="str">
        <f>IF(AND(Main[[#This Row],[In Stock Date]]&lt;&gt;"",Main[[#This Row],[Revised Due Date]]&lt;&gt;""),Main[[#This Row],[In Stock Date]]-Main[[#This Row],[Revised Due Date]],"")</f>
        <v/>
      </c>
      <c r="I907" s="65" t="s">
        <v>4</v>
      </c>
      <c r="J907" s="65" t="s">
        <v>4</v>
      </c>
      <c r="K907" s="65" t="s">
        <v>4</v>
      </c>
      <c r="L907" s="67"/>
      <c r="M907" s="69" t="str">
        <f>IF(Main[[#This Row],[Tech Start Date]]&lt;1/1/1990,"",IF(Main[[#This Row],[Class]]="C",WORKDAY(Main[[#This Row],[Tech Start Date]],9),IF(Main[[#This Row],[Class]]="B", WORKDAY(Main[[#This Row],[Tech Start Date]],6),IF(Main[[#This Row],[Class]]="A",WORKDAY(Main[[#This Row],[Tech Start Date]],2),""))))</f>
        <v/>
      </c>
      <c r="N907" s="69" t="str">
        <f>IF(Main[[#This Row],[Tech Start Date]]&lt;1/1/1990,"",IF(Main[[#This Row],[Class]]="C",WORKDAY(Main[[#This Row],[Tech Start Date]],19),IF(Main[[#This Row],[Class]]="B", WORKDAY(Main[[#This Row],[Tech Start Date]],12),IF(Main[[#This Row],[Class]]="A",WORKDAY(Main[[#This Row],[Tech Start Date]],4),""))))</f>
        <v/>
      </c>
      <c r="O907" s="69" t="str">
        <f>IF(Main[[#This Row],[Tech Start Date]]&lt;1/1/1990,"",IF(Main[[#This Row],[Class]]="C",WORKDAY(Main[[#This Row],[Tech Start Date]],23),IF(Main[[#This Row],[Class]]="B", WORKDAY(Main[[#This Row],[Tech Start Date]],15),IF(Main[[#This Row],[Class]]="A",WORKDAY(Main[[#This Row],[Tech Start Date]],5),""))))</f>
        <v/>
      </c>
      <c r="P907" s="69" t="str">
        <f>IF(Main[[#This Row],[Tech Start Date]]&lt;1/1/1990,"",IF(Main[[#This Row],[Class]]="C",WORKDAY(Main[[#This Row],[Tech Start Date]],28),IF(Main[[#This Row],[Class]]="B", WORKDAY(Main[[#This Row],[Tech Start Date]],19),IF(Main[[#This Row],[Class]]="A",WORKDAY(Main[[#This Row],[Tech Start Date]],9),""))))</f>
        <v/>
      </c>
      <c r="Q907" s="67">
        <v>40500</v>
      </c>
      <c r="R907" s="67"/>
      <c r="S907" s="65" t="s">
        <v>11</v>
      </c>
      <c r="T907" s="70" t="s">
        <v>4</v>
      </c>
      <c r="U907" s="65" t="s">
        <v>14</v>
      </c>
      <c r="V907" s="65" t="s">
        <v>1917</v>
      </c>
      <c r="W907" s="65" t="s">
        <v>4</v>
      </c>
      <c r="X907" s="65" t="s">
        <v>2838</v>
      </c>
      <c r="Y907" s="65" t="s">
        <v>3107</v>
      </c>
      <c r="Z907" s="65" t="s">
        <v>4</v>
      </c>
      <c r="AA907" s="65" t="s">
        <v>2855</v>
      </c>
    </row>
    <row r="908" spans="1:27" ht="17.45" customHeight="1">
      <c r="A908" s="131" t="str">
        <f>IF(priority(Main[[#This Row],[Comments]])&lt;&gt;0, priority(Main[[#This Row],[Comments]]),"")</f>
        <v/>
      </c>
      <c r="B908" s="99" t="s">
        <v>1706</v>
      </c>
      <c r="C908" s="65" t="s">
        <v>122</v>
      </c>
      <c r="D908" s="66" t="s">
        <v>698</v>
      </c>
      <c r="E908" s="67"/>
      <c r="F908" s="67"/>
      <c r="G908" s="64" t="str">
        <f>IF(stdProdLT(Main[[#This Row],[Comments]])=0.1,"N/A",IF(stdProdLT(Main[[#This Row],[Comments]])=0,"",stdProdLT(Main[[#This Row],[Comments]])))</f>
        <v/>
      </c>
      <c r="H908" s="68" t="str">
        <f>IF(AND(Main[[#This Row],[In Stock Date]]&lt;&gt;"",Main[[#This Row],[Revised Due Date]]&lt;&gt;""),Main[[#This Row],[In Stock Date]]-Main[[#This Row],[Revised Due Date]],"")</f>
        <v/>
      </c>
      <c r="I908" s="65" t="s">
        <v>4</v>
      </c>
      <c r="J908" s="65" t="s">
        <v>4</v>
      </c>
      <c r="K908" s="65" t="s">
        <v>4</v>
      </c>
      <c r="L908" s="67"/>
      <c r="M908" s="69" t="str">
        <f>IF(Main[[#This Row],[Tech Start Date]]&lt;1/1/1990,"",IF(Main[[#This Row],[Class]]="C",WORKDAY(Main[[#This Row],[Tech Start Date]],9),IF(Main[[#This Row],[Class]]="B", WORKDAY(Main[[#This Row],[Tech Start Date]],6),IF(Main[[#This Row],[Class]]="A",WORKDAY(Main[[#This Row],[Tech Start Date]],2),""))))</f>
        <v/>
      </c>
      <c r="N908" s="69" t="str">
        <f>IF(Main[[#This Row],[Tech Start Date]]&lt;1/1/1990,"",IF(Main[[#This Row],[Class]]="C",WORKDAY(Main[[#This Row],[Tech Start Date]],19),IF(Main[[#This Row],[Class]]="B", WORKDAY(Main[[#This Row],[Tech Start Date]],12),IF(Main[[#This Row],[Class]]="A",WORKDAY(Main[[#This Row],[Tech Start Date]],4),""))))</f>
        <v/>
      </c>
      <c r="O908" s="69" t="str">
        <f>IF(Main[[#This Row],[Tech Start Date]]&lt;1/1/1990,"",IF(Main[[#This Row],[Class]]="C",WORKDAY(Main[[#This Row],[Tech Start Date]],23),IF(Main[[#This Row],[Class]]="B", WORKDAY(Main[[#This Row],[Tech Start Date]],15),IF(Main[[#This Row],[Class]]="A",WORKDAY(Main[[#This Row],[Tech Start Date]],5),""))))</f>
        <v/>
      </c>
      <c r="P908" s="69" t="str">
        <f>IF(Main[[#This Row],[Tech Start Date]]&lt;1/1/1990,"",IF(Main[[#This Row],[Class]]="C",WORKDAY(Main[[#This Row],[Tech Start Date]],28),IF(Main[[#This Row],[Class]]="B", WORKDAY(Main[[#This Row],[Tech Start Date]],19),IF(Main[[#This Row],[Class]]="A",WORKDAY(Main[[#This Row],[Tech Start Date]],9),""))))</f>
        <v/>
      </c>
      <c r="Q908" s="67"/>
      <c r="R908" s="67"/>
      <c r="S908" s="65" t="s">
        <v>11</v>
      </c>
      <c r="T908" s="70" t="s">
        <v>4</v>
      </c>
      <c r="U908" s="65" t="s">
        <v>14</v>
      </c>
      <c r="V908" s="65" t="s">
        <v>1917</v>
      </c>
      <c r="W908" s="65" t="s">
        <v>1928</v>
      </c>
      <c r="X908" s="65" t="s">
        <v>2826</v>
      </c>
      <c r="Y908" s="65" t="s">
        <v>3098</v>
      </c>
      <c r="Z908" s="65" t="s">
        <v>4</v>
      </c>
      <c r="AA908" s="65" t="s">
        <v>3444</v>
      </c>
    </row>
    <row r="909" spans="1:27" ht="17.45" customHeight="1">
      <c r="A909" s="131" t="str">
        <f>IF(priority(Main[[#This Row],[Comments]])&lt;&gt;0, priority(Main[[#This Row],[Comments]]),"")</f>
        <v/>
      </c>
      <c r="B909" s="99" t="s">
        <v>1709</v>
      </c>
      <c r="C909" s="65" t="s">
        <v>4</v>
      </c>
      <c r="D909" s="66" t="s">
        <v>769</v>
      </c>
      <c r="E909" s="67"/>
      <c r="F909" s="67"/>
      <c r="G909" s="64" t="str">
        <f>IF(stdProdLT(Main[[#This Row],[Comments]])=0.1,"N/A",IF(stdProdLT(Main[[#This Row],[Comments]])=0,"",stdProdLT(Main[[#This Row],[Comments]])))</f>
        <v/>
      </c>
      <c r="H909" s="68" t="str">
        <f>IF(AND(Main[[#This Row],[In Stock Date]]&lt;&gt;"",Main[[#This Row],[Revised Due Date]]&lt;&gt;""),Main[[#This Row],[In Stock Date]]-Main[[#This Row],[Revised Due Date]],"")</f>
        <v/>
      </c>
      <c r="I909" s="65" t="s">
        <v>4</v>
      </c>
      <c r="J909" s="65" t="s">
        <v>4</v>
      </c>
      <c r="K909" s="71" t="s">
        <v>4</v>
      </c>
      <c r="L909" s="67"/>
      <c r="M909" s="69" t="str">
        <f>IF(Main[[#This Row],[Tech Start Date]]&lt;1/1/1990,"",IF(Main[[#This Row],[Class]]="C",WORKDAY(Main[[#This Row],[Tech Start Date]],9),IF(Main[[#This Row],[Class]]="B", WORKDAY(Main[[#This Row],[Tech Start Date]],6),IF(Main[[#This Row],[Class]]="A",WORKDAY(Main[[#This Row],[Tech Start Date]],2),""))))</f>
        <v/>
      </c>
      <c r="N909" s="69" t="str">
        <f>IF(Main[[#This Row],[Tech Start Date]]&lt;1/1/1990,"",IF(Main[[#This Row],[Class]]="C",WORKDAY(Main[[#This Row],[Tech Start Date]],19),IF(Main[[#This Row],[Class]]="B", WORKDAY(Main[[#This Row],[Tech Start Date]],12),IF(Main[[#This Row],[Class]]="A",WORKDAY(Main[[#This Row],[Tech Start Date]],4),""))))</f>
        <v/>
      </c>
      <c r="O909" s="69" t="str">
        <f>IF(Main[[#This Row],[Tech Start Date]]&lt;1/1/1990,"",IF(Main[[#This Row],[Class]]="C",WORKDAY(Main[[#This Row],[Tech Start Date]],23),IF(Main[[#This Row],[Class]]="B", WORKDAY(Main[[#This Row],[Tech Start Date]],15),IF(Main[[#This Row],[Class]]="A",WORKDAY(Main[[#This Row],[Tech Start Date]],5),""))))</f>
        <v/>
      </c>
      <c r="P909" s="69" t="str">
        <f>IF(Main[[#This Row],[Tech Start Date]]&lt;1/1/1990,"",IF(Main[[#This Row],[Class]]="C",WORKDAY(Main[[#This Row],[Tech Start Date]],28),IF(Main[[#This Row],[Class]]="B", WORKDAY(Main[[#This Row],[Tech Start Date]],19),IF(Main[[#This Row],[Class]]="A",WORKDAY(Main[[#This Row],[Tech Start Date]],9),""))))</f>
        <v/>
      </c>
      <c r="Q909" s="67"/>
      <c r="R909" s="67"/>
      <c r="S909" s="65" t="s">
        <v>17</v>
      </c>
      <c r="T909" s="70" t="s">
        <v>4</v>
      </c>
      <c r="U909" s="65" t="s">
        <v>14</v>
      </c>
      <c r="V909" s="65" t="s">
        <v>1920</v>
      </c>
      <c r="W909" s="65" t="s">
        <v>4</v>
      </c>
      <c r="X909" s="65" t="s">
        <v>306</v>
      </c>
      <c r="Y909" s="65" t="s">
        <v>4</v>
      </c>
      <c r="Z909" s="65" t="s">
        <v>4</v>
      </c>
      <c r="AA909" s="65" t="s">
        <v>3449</v>
      </c>
    </row>
    <row r="910" spans="1:27" ht="17.45" customHeight="1">
      <c r="A910" s="131" t="str">
        <f>IF(priority(Main[[#This Row],[Comments]])&lt;&gt;0, priority(Main[[#This Row],[Comments]]),"")</f>
        <v/>
      </c>
      <c r="B910" s="99" t="s">
        <v>1710</v>
      </c>
      <c r="C910" s="65" t="s">
        <v>58</v>
      </c>
      <c r="D910" s="66" t="s">
        <v>202</v>
      </c>
      <c r="E910" s="67"/>
      <c r="F910" s="67">
        <v>40697</v>
      </c>
      <c r="G910" s="64" t="str">
        <f>IF(stdProdLT(Main[[#This Row],[Comments]])=0.1,"N/A",IF(stdProdLT(Main[[#This Row],[Comments]])=0,"",stdProdLT(Main[[#This Row],[Comments]])))</f>
        <v/>
      </c>
      <c r="H910" s="68" t="str">
        <f>IF(AND(Main[[#This Row],[In Stock Date]]&lt;&gt;"",Main[[#This Row],[Revised Due Date]]&lt;&gt;""),Main[[#This Row],[In Stock Date]]-Main[[#This Row],[Revised Due Date]],"")</f>
        <v/>
      </c>
      <c r="I910" s="65" t="s">
        <v>4</v>
      </c>
      <c r="J910" s="65" t="s">
        <v>4</v>
      </c>
      <c r="K910" s="65" t="s">
        <v>4</v>
      </c>
      <c r="L910" s="67"/>
      <c r="M910" s="69" t="str">
        <f>IF(Main[[#This Row],[Tech Start Date]]&lt;1/1/1990,"",IF(Main[[#This Row],[Class]]="C",WORKDAY(Main[[#This Row],[Tech Start Date]],9),IF(Main[[#This Row],[Class]]="B", WORKDAY(Main[[#This Row],[Tech Start Date]],6),IF(Main[[#This Row],[Class]]="A",WORKDAY(Main[[#This Row],[Tech Start Date]],2),""))))</f>
        <v/>
      </c>
      <c r="N910" s="69" t="str">
        <f>IF(Main[[#This Row],[Tech Start Date]]&lt;1/1/1990,"",IF(Main[[#This Row],[Class]]="C",WORKDAY(Main[[#This Row],[Tech Start Date]],19),IF(Main[[#This Row],[Class]]="B", WORKDAY(Main[[#This Row],[Tech Start Date]],12),IF(Main[[#This Row],[Class]]="A",WORKDAY(Main[[#This Row],[Tech Start Date]],4),""))))</f>
        <v/>
      </c>
      <c r="O910" s="69" t="str">
        <f>IF(Main[[#This Row],[Tech Start Date]]&lt;1/1/1990,"",IF(Main[[#This Row],[Class]]="C",WORKDAY(Main[[#This Row],[Tech Start Date]],23),IF(Main[[#This Row],[Class]]="B", WORKDAY(Main[[#This Row],[Tech Start Date]],15),IF(Main[[#This Row],[Class]]="A",WORKDAY(Main[[#This Row],[Tech Start Date]],5),""))))</f>
        <v/>
      </c>
      <c r="P910" s="69" t="str">
        <f>IF(Main[[#This Row],[Tech Start Date]]&lt;1/1/1990,"",IF(Main[[#This Row],[Class]]="C",WORKDAY(Main[[#This Row],[Tech Start Date]],28),IF(Main[[#This Row],[Class]]="B", WORKDAY(Main[[#This Row],[Tech Start Date]],19),IF(Main[[#This Row],[Class]]="A",WORKDAY(Main[[#This Row],[Tech Start Date]],9),""))))</f>
        <v/>
      </c>
      <c r="Q910" s="67">
        <v>40539</v>
      </c>
      <c r="R910" s="67"/>
      <c r="S910" s="65" t="s">
        <v>11</v>
      </c>
      <c r="T910" s="70" t="s">
        <v>4</v>
      </c>
      <c r="U910" s="65" t="s">
        <v>14</v>
      </c>
      <c r="V910" s="65" t="s">
        <v>1917</v>
      </c>
      <c r="W910" s="65" t="s">
        <v>1923</v>
      </c>
      <c r="X910" s="65" t="s">
        <v>2835</v>
      </c>
      <c r="Y910" s="65" t="s">
        <v>2957</v>
      </c>
      <c r="Z910" s="65" t="s">
        <v>4</v>
      </c>
      <c r="AA910" s="65" t="s">
        <v>2835</v>
      </c>
    </row>
    <row r="911" spans="1:27" ht="17.45" customHeight="1">
      <c r="A911" s="131" t="str">
        <f>IF(priority(Main[[#This Row],[Comments]])&lt;&gt;0, priority(Main[[#This Row],[Comments]]),"")</f>
        <v/>
      </c>
      <c r="B911" s="99" t="s">
        <v>1727</v>
      </c>
      <c r="C911" s="65" t="s">
        <v>781</v>
      </c>
      <c r="D911" s="66" t="s">
        <v>782</v>
      </c>
      <c r="E911" s="67"/>
      <c r="F911" s="67">
        <v>40591</v>
      </c>
      <c r="G911" s="64" t="str">
        <f>IF(stdProdLT(Main[[#This Row],[Comments]])=0.1,"N/A",IF(stdProdLT(Main[[#This Row],[Comments]])=0,"",stdProdLT(Main[[#This Row],[Comments]])))</f>
        <v/>
      </c>
      <c r="H911" s="68" t="str">
        <f>IF(AND(Main[[#This Row],[In Stock Date]]&lt;&gt;"",Main[[#This Row],[Revised Due Date]]&lt;&gt;""),Main[[#This Row],[In Stock Date]]-Main[[#This Row],[Revised Due Date]],"")</f>
        <v/>
      </c>
      <c r="I911" s="65" t="s">
        <v>4</v>
      </c>
      <c r="J911" s="65" t="s">
        <v>4</v>
      </c>
      <c r="K911" s="65" t="s">
        <v>1929</v>
      </c>
      <c r="L911" s="67"/>
      <c r="M911" s="69" t="str">
        <f>IF(Main[[#This Row],[Tech Start Date]]&lt;1/1/1990,"",IF(Main[[#This Row],[Class]]="C",WORKDAY(Main[[#This Row],[Tech Start Date]],9),IF(Main[[#This Row],[Class]]="B", WORKDAY(Main[[#This Row],[Tech Start Date]],6),IF(Main[[#This Row],[Class]]="A",WORKDAY(Main[[#This Row],[Tech Start Date]],2),""))))</f>
        <v/>
      </c>
      <c r="N911" s="69" t="str">
        <f>IF(Main[[#This Row],[Tech Start Date]]&lt;1/1/1990,"",IF(Main[[#This Row],[Class]]="C",WORKDAY(Main[[#This Row],[Tech Start Date]],19),IF(Main[[#This Row],[Class]]="B", WORKDAY(Main[[#This Row],[Tech Start Date]],12),IF(Main[[#This Row],[Class]]="A",WORKDAY(Main[[#This Row],[Tech Start Date]],4),""))))</f>
        <v/>
      </c>
      <c r="O911" s="69" t="str">
        <f>IF(Main[[#This Row],[Tech Start Date]]&lt;1/1/1990,"",IF(Main[[#This Row],[Class]]="C",WORKDAY(Main[[#This Row],[Tech Start Date]],23),IF(Main[[#This Row],[Class]]="B", WORKDAY(Main[[#This Row],[Tech Start Date]],15),IF(Main[[#This Row],[Class]]="A",WORKDAY(Main[[#This Row],[Tech Start Date]],5),""))))</f>
        <v/>
      </c>
      <c r="P911" s="69" t="str">
        <f>IF(Main[[#This Row],[Tech Start Date]]&lt;1/1/1990,"",IF(Main[[#This Row],[Class]]="C",WORKDAY(Main[[#This Row],[Tech Start Date]],28),IF(Main[[#This Row],[Class]]="B", WORKDAY(Main[[#This Row],[Tech Start Date]],19),IF(Main[[#This Row],[Class]]="A",WORKDAY(Main[[#This Row],[Tech Start Date]],9),""))))</f>
        <v/>
      </c>
      <c r="Q911" s="67">
        <v>40514</v>
      </c>
      <c r="R911" s="67"/>
      <c r="S911" s="65" t="s">
        <v>11</v>
      </c>
      <c r="T911" s="70" t="s">
        <v>783</v>
      </c>
      <c r="U911" s="65" t="s">
        <v>14</v>
      </c>
      <c r="V911" s="65" t="s">
        <v>1917</v>
      </c>
      <c r="W911" s="65" t="s">
        <v>1922</v>
      </c>
      <c r="X911" s="65" t="s">
        <v>2910</v>
      </c>
      <c r="Y911" s="65" t="s">
        <v>4</v>
      </c>
      <c r="Z911" s="65" t="s">
        <v>4</v>
      </c>
      <c r="AA911" s="65" t="s">
        <v>2910</v>
      </c>
    </row>
    <row r="912" spans="1:27" ht="17.45" customHeight="1">
      <c r="A912" s="131" t="str">
        <f>IF(priority(Main[[#This Row],[Comments]])&lt;&gt;0, priority(Main[[#This Row],[Comments]]),"")</f>
        <v/>
      </c>
      <c r="B912" s="99" t="s">
        <v>1731</v>
      </c>
      <c r="C912" s="65" t="s">
        <v>4</v>
      </c>
      <c r="D912" s="66" t="s">
        <v>786</v>
      </c>
      <c r="E912" s="67">
        <v>40646.604930555557</v>
      </c>
      <c r="F912" s="67"/>
      <c r="G912" s="64" t="str">
        <f>IF(stdProdLT(Main[[#This Row],[Comments]])=0.1,"N/A",IF(stdProdLT(Main[[#This Row],[Comments]])=0,"",stdProdLT(Main[[#This Row],[Comments]])))</f>
        <v/>
      </c>
      <c r="H912" s="68" t="str">
        <f>IF(AND(Main[[#This Row],[In Stock Date]]&lt;&gt;"",Main[[#This Row],[Revised Due Date]]&lt;&gt;""),Main[[#This Row],[In Stock Date]]-Main[[#This Row],[Revised Due Date]],"")</f>
        <v/>
      </c>
      <c r="I912" s="65" t="s">
        <v>4</v>
      </c>
      <c r="J912" s="65" t="s">
        <v>4</v>
      </c>
      <c r="K912" s="65" t="s">
        <v>4</v>
      </c>
      <c r="L912" s="67"/>
      <c r="M912" s="69" t="str">
        <f>IF(Main[[#This Row],[Tech Start Date]]&lt;1/1/1990,"",IF(Main[[#This Row],[Class]]="C",WORKDAY(Main[[#This Row],[Tech Start Date]],9),IF(Main[[#This Row],[Class]]="B", WORKDAY(Main[[#This Row],[Tech Start Date]],6),IF(Main[[#This Row],[Class]]="A",WORKDAY(Main[[#This Row],[Tech Start Date]],2),""))))</f>
        <v/>
      </c>
      <c r="N912" s="69" t="str">
        <f>IF(Main[[#This Row],[Tech Start Date]]&lt;1/1/1990,"",IF(Main[[#This Row],[Class]]="C",WORKDAY(Main[[#This Row],[Tech Start Date]],19),IF(Main[[#This Row],[Class]]="B", WORKDAY(Main[[#This Row],[Tech Start Date]],12),IF(Main[[#This Row],[Class]]="A",WORKDAY(Main[[#This Row],[Tech Start Date]],4),""))))</f>
        <v/>
      </c>
      <c r="O912" s="69" t="str">
        <f>IF(Main[[#This Row],[Tech Start Date]]&lt;1/1/1990,"",IF(Main[[#This Row],[Class]]="C",WORKDAY(Main[[#This Row],[Tech Start Date]],23),IF(Main[[#This Row],[Class]]="B", WORKDAY(Main[[#This Row],[Tech Start Date]],15),IF(Main[[#This Row],[Class]]="A",WORKDAY(Main[[#This Row],[Tech Start Date]],5),""))))</f>
        <v/>
      </c>
      <c r="P912" s="69" t="str">
        <f>IF(Main[[#This Row],[Tech Start Date]]&lt;1/1/1990,"",IF(Main[[#This Row],[Class]]="C",WORKDAY(Main[[#This Row],[Tech Start Date]],28),IF(Main[[#This Row],[Class]]="B", WORKDAY(Main[[#This Row],[Tech Start Date]],19),IF(Main[[#This Row],[Class]]="A",WORKDAY(Main[[#This Row],[Tech Start Date]],9),""))))</f>
        <v/>
      </c>
      <c r="Q912" s="67">
        <v>40683</v>
      </c>
      <c r="R912" s="67"/>
      <c r="S912" s="65" t="s">
        <v>6</v>
      </c>
      <c r="T912" s="70" t="s">
        <v>4</v>
      </c>
      <c r="U912" s="65" t="s">
        <v>7</v>
      </c>
      <c r="V912" s="65" t="s">
        <v>1917</v>
      </c>
      <c r="W912" s="65" t="s">
        <v>4</v>
      </c>
      <c r="X912" s="65" t="s">
        <v>2824</v>
      </c>
      <c r="Y912" s="65" t="s">
        <v>2935</v>
      </c>
      <c r="Z912" s="65" t="s">
        <v>4</v>
      </c>
      <c r="AA912" s="65" t="s">
        <v>2824</v>
      </c>
    </row>
    <row r="913" spans="1:27" ht="17.45" customHeight="1">
      <c r="A913" s="131" t="str">
        <f>IF(priority(Main[[#This Row],[Comments]])&lt;&gt;0, priority(Main[[#This Row],[Comments]]),"")</f>
        <v/>
      </c>
      <c r="B913" s="99" t="s">
        <v>3627</v>
      </c>
      <c r="C913" s="65" t="s">
        <v>4</v>
      </c>
      <c r="D913" s="66" t="s">
        <v>3628</v>
      </c>
      <c r="E913" s="67"/>
      <c r="F913" s="67"/>
      <c r="G913" s="64" t="str">
        <f>IF(stdProdLT(Main[[#This Row],[Comments]])=0.1,"N/A",IF(stdProdLT(Main[[#This Row],[Comments]])=0,"",stdProdLT(Main[[#This Row],[Comments]])))</f>
        <v/>
      </c>
      <c r="H913" s="68" t="str">
        <f>IF(AND(Main[[#This Row],[In Stock Date]]&lt;&gt;"",Main[[#This Row],[Revised Due Date]]&lt;&gt;""),Main[[#This Row],[In Stock Date]]-Main[[#This Row],[Revised Due Date]],"")</f>
        <v/>
      </c>
      <c r="I913" s="65" t="s">
        <v>2047</v>
      </c>
      <c r="J913" s="65" t="s">
        <v>28</v>
      </c>
      <c r="K913" s="71" t="s">
        <v>1926</v>
      </c>
      <c r="L913" s="67"/>
      <c r="M913" s="69" t="str">
        <f>IF(Main[[#This Row],[Tech Start Date]]&lt;1/1/1990,"",IF(Main[[#This Row],[Class]]="C",WORKDAY(Main[[#This Row],[Tech Start Date]],9),IF(Main[[#This Row],[Class]]="B", WORKDAY(Main[[#This Row],[Tech Start Date]],6),IF(Main[[#This Row],[Class]]="A",WORKDAY(Main[[#This Row],[Tech Start Date]],2),""))))</f>
        <v/>
      </c>
      <c r="N913" s="69" t="str">
        <f>IF(Main[[#This Row],[Tech Start Date]]&lt;1/1/1990,"",IF(Main[[#This Row],[Class]]="C",WORKDAY(Main[[#This Row],[Tech Start Date]],19),IF(Main[[#This Row],[Class]]="B", WORKDAY(Main[[#This Row],[Tech Start Date]],12),IF(Main[[#This Row],[Class]]="A",WORKDAY(Main[[#This Row],[Tech Start Date]],4),""))))</f>
        <v/>
      </c>
      <c r="O913" s="69" t="str">
        <f>IF(Main[[#This Row],[Tech Start Date]]&lt;1/1/1990,"",IF(Main[[#This Row],[Class]]="C",WORKDAY(Main[[#This Row],[Tech Start Date]],23),IF(Main[[#This Row],[Class]]="B", WORKDAY(Main[[#This Row],[Tech Start Date]],15),IF(Main[[#This Row],[Class]]="A",WORKDAY(Main[[#This Row],[Tech Start Date]],5),""))))</f>
        <v/>
      </c>
      <c r="P913" s="69" t="str">
        <f>IF(Main[[#This Row],[Tech Start Date]]&lt;1/1/1990,"",IF(Main[[#This Row],[Class]]="C",WORKDAY(Main[[#This Row],[Tech Start Date]],28),IF(Main[[#This Row],[Class]]="B", WORKDAY(Main[[#This Row],[Tech Start Date]],19),IF(Main[[#This Row],[Class]]="A",WORKDAY(Main[[#This Row],[Tech Start Date]],9),""))))</f>
        <v/>
      </c>
      <c r="Q913" s="67">
        <v>40964</v>
      </c>
      <c r="R913" s="67"/>
      <c r="S913" s="65" t="s">
        <v>6</v>
      </c>
      <c r="T913" s="70" t="s">
        <v>4</v>
      </c>
      <c r="U913" s="65" t="s">
        <v>14</v>
      </c>
      <c r="V913" s="65" t="s">
        <v>1927</v>
      </c>
      <c r="W913" s="65" t="s">
        <v>1921</v>
      </c>
      <c r="X913" s="65" t="s">
        <v>2047</v>
      </c>
      <c r="Y913" s="65" t="s">
        <v>3162</v>
      </c>
      <c r="Z913" s="65" t="s">
        <v>30</v>
      </c>
      <c r="AA913" s="65" t="s">
        <v>2047</v>
      </c>
    </row>
    <row r="914" spans="1:27" ht="17.45" customHeight="1">
      <c r="A914" s="131" t="str">
        <f>IF(priority(Main[[#This Row],[Comments]])&lt;&gt;0, priority(Main[[#This Row],[Comments]]),"")</f>
        <v/>
      </c>
      <c r="B914" s="99" t="s">
        <v>1733</v>
      </c>
      <c r="C914" s="65" t="s">
        <v>4</v>
      </c>
      <c r="D914" s="66" t="s">
        <v>787</v>
      </c>
      <c r="E914" s="67">
        <v>40584.401712962965</v>
      </c>
      <c r="F914" s="67">
        <v>40602</v>
      </c>
      <c r="G914" s="64" t="str">
        <f>IF(stdProdLT(Main[[#This Row],[Comments]])=0.1,"N/A",IF(stdProdLT(Main[[#This Row],[Comments]])=0,"",stdProdLT(Main[[#This Row],[Comments]])))</f>
        <v/>
      </c>
      <c r="H914" s="68" t="str">
        <f>IF(AND(Main[[#This Row],[In Stock Date]]&lt;&gt;"",Main[[#This Row],[Revised Due Date]]&lt;&gt;""),Main[[#This Row],[In Stock Date]]-Main[[#This Row],[Revised Due Date]],"")</f>
        <v/>
      </c>
      <c r="I914" s="65" t="s">
        <v>4</v>
      </c>
      <c r="J914" s="65" t="s">
        <v>28</v>
      </c>
      <c r="K914" s="65" t="s">
        <v>1929</v>
      </c>
      <c r="L914" s="67"/>
      <c r="M914" s="69" t="str">
        <f>IF(Main[[#This Row],[Tech Start Date]]&lt;1/1/1990,"",IF(Main[[#This Row],[Class]]="C",WORKDAY(Main[[#This Row],[Tech Start Date]],9),IF(Main[[#This Row],[Class]]="B", WORKDAY(Main[[#This Row],[Tech Start Date]],6),IF(Main[[#This Row],[Class]]="A",WORKDAY(Main[[#This Row],[Tech Start Date]],2),""))))</f>
        <v/>
      </c>
      <c r="N914" s="69" t="str">
        <f>IF(Main[[#This Row],[Tech Start Date]]&lt;1/1/1990,"",IF(Main[[#This Row],[Class]]="C",WORKDAY(Main[[#This Row],[Tech Start Date]],19),IF(Main[[#This Row],[Class]]="B", WORKDAY(Main[[#This Row],[Tech Start Date]],12),IF(Main[[#This Row],[Class]]="A",WORKDAY(Main[[#This Row],[Tech Start Date]],4),""))))</f>
        <v/>
      </c>
      <c r="O914" s="69" t="str">
        <f>IF(Main[[#This Row],[Tech Start Date]]&lt;1/1/1990,"",IF(Main[[#This Row],[Class]]="C",WORKDAY(Main[[#This Row],[Tech Start Date]],23),IF(Main[[#This Row],[Class]]="B", WORKDAY(Main[[#This Row],[Tech Start Date]],15),IF(Main[[#This Row],[Class]]="A",WORKDAY(Main[[#This Row],[Tech Start Date]],5),""))))</f>
        <v/>
      </c>
      <c r="P914" s="69" t="str">
        <f>IF(Main[[#This Row],[Tech Start Date]]&lt;1/1/1990,"",IF(Main[[#This Row],[Class]]="C",WORKDAY(Main[[#This Row],[Tech Start Date]],28),IF(Main[[#This Row],[Class]]="B", WORKDAY(Main[[#This Row],[Tech Start Date]],19),IF(Main[[#This Row],[Class]]="A",WORKDAY(Main[[#This Row],[Tech Start Date]],9),""))))</f>
        <v/>
      </c>
      <c r="Q914" s="67">
        <v>40602</v>
      </c>
      <c r="R914" s="67"/>
      <c r="S914" s="65" t="s">
        <v>17</v>
      </c>
      <c r="T914" s="70" t="s">
        <v>4</v>
      </c>
      <c r="U914" s="65" t="s">
        <v>7</v>
      </c>
      <c r="V914" s="65" t="s">
        <v>1917</v>
      </c>
      <c r="W914" s="65" t="s">
        <v>1925</v>
      </c>
      <c r="X914" s="65" t="s">
        <v>2834</v>
      </c>
      <c r="Y914" s="65" t="s">
        <v>2956</v>
      </c>
      <c r="Z914" s="65" t="s">
        <v>129</v>
      </c>
      <c r="AA914" s="65" t="s">
        <v>2834</v>
      </c>
    </row>
    <row r="915" spans="1:27" ht="17.45" customHeight="1">
      <c r="A915" s="131" t="str">
        <f>IF(priority(Main[[#This Row],[Comments]])&lt;&gt;0, priority(Main[[#This Row],[Comments]]),"")</f>
        <v/>
      </c>
      <c r="B915" s="99" t="s">
        <v>2088</v>
      </c>
      <c r="C915" s="65" t="s">
        <v>4</v>
      </c>
      <c r="D915" s="66" t="s">
        <v>2402</v>
      </c>
      <c r="E915" s="67">
        <v>40764.689201388886</v>
      </c>
      <c r="F915" s="67"/>
      <c r="G915" s="64" t="str">
        <f>IF(stdProdLT(Main[[#This Row],[Comments]])=0.1,"N/A",IF(stdProdLT(Main[[#This Row],[Comments]])=0,"",stdProdLT(Main[[#This Row],[Comments]])))</f>
        <v/>
      </c>
      <c r="H915" s="68" t="str">
        <f>IF(AND(Main[[#This Row],[In Stock Date]]&lt;&gt;"",Main[[#This Row],[Revised Due Date]]&lt;&gt;""),Main[[#This Row],[In Stock Date]]-Main[[#This Row],[Revised Due Date]],"")</f>
        <v/>
      </c>
      <c r="I915" s="65" t="s">
        <v>4</v>
      </c>
      <c r="J915" s="65" t="s">
        <v>4</v>
      </c>
      <c r="K915" s="65" t="s">
        <v>4</v>
      </c>
      <c r="L915" s="67"/>
      <c r="M915" s="69" t="str">
        <f>IF(Main[[#This Row],[Tech Start Date]]&lt;1/1/1990,"",IF(Main[[#This Row],[Class]]="C",WORKDAY(Main[[#This Row],[Tech Start Date]],9),IF(Main[[#This Row],[Class]]="B", WORKDAY(Main[[#This Row],[Tech Start Date]],6),IF(Main[[#This Row],[Class]]="A",WORKDAY(Main[[#This Row],[Tech Start Date]],2),""))))</f>
        <v/>
      </c>
      <c r="N915" s="69" t="str">
        <f>IF(Main[[#This Row],[Tech Start Date]]&lt;1/1/1990,"",IF(Main[[#This Row],[Class]]="C",WORKDAY(Main[[#This Row],[Tech Start Date]],19),IF(Main[[#This Row],[Class]]="B", WORKDAY(Main[[#This Row],[Tech Start Date]],12),IF(Main[[#This Row],[Class]]="A",WORKDAY(Main[[#This Row],[Tech Start Date]],4),""))))</f>
        <v/>
      </c>
      <c r="O915" s="69" t="str">
        <f>IF(Main[[#This Row],[Tech Start Date]]&lt;1/1/1990,"",IF(Main[[#This Row],[Class]]="C",WORKDAY(Main[[#This Row],[Tech Start Date]],23),IF(Main[[#This Row],[Class]]="B", WORKDAY(Main[[#This Row],[Tech Start Date]],15),IF(Main[[#This Row],[Class]]="A",WORKDAY(Main[[#This Row],[Tech Start Date]],5),""))))</f>
        <v/>
      </c>
      <c r="P915" s="69" t="str">
        <f>IF(Main[[#This Row],[Tech Start Date]]&lt;1/1/1990,"",IF(Main[[#This Row],[Class]]="C",WORKDAY(Main[[#This Row],[Tech Start Date]],28),IF(Main[[#This Row],[Class]]="B", WORKDAY(Main[[#This Row],[Tech Start Date]],19),IF(Main[[#This Row],[Class]]="A",WORKDAY(Main[[#This Row],[Tech Start Date]],9),""))))</f>
        <v/>
      </c>
      <c r="Q915" s="67"/>
      <c r="R915" s="67"/>
      <c r="S915" s="65" t="s">
        <v>6</v>
      </c>
      <c r="T915" s="70" t="s">
        <v>4</v>
      </c>
      <c r="U915" s="65" t="s">
        <v>7</v>
      </c>
      <c r="V915" s="65" t="s">
        <v>1918</v>
      </c>
      <c r="W915" s="65" t="s">
        <v>1919</v>
      </c>
      <c r="X915" s="65" t="s">
        <v>306</v>
      </c>
      <c r="Y915" s="65" t="s">
        <v>4</v>
      </c>
      <c r="Z915" s="65" t="s">
        <v>4</v>
      </c>
      <c r="AA915" s="65" t="s">
        <v>4</v>
      </c>
    </row>
    <row r="916" spans="1:27" ht="17.45" customHeight="1">
      <c r="A916" s="131" t="str">
        <f>IF(priority(Main[[#This Row],[Comments]])&lt;&gt;0, priority(Main[[#This Row],[Comments]]),"")</f>
        <v/>
      </c>
      <c r="B916" s="99" t="s">
        <v>1734</v>
      </c>
      <c r="C916" s="65" t="s">
        <v>4</v>
      </c>
      <c r="D916" s="66" t="s">
        <v>788</v>
      </c>
      <c r="E916" s="67">
        <v>40371.351643518516</v>
      </c>
      <c r="F916" s="67"/>
      <c r="G916" s="64" t="str">
        <f>IF(stdProdLT(Main[[#This Row],[Comments]])=0.1,"N/A",IF(stdProdLT(Main[[#This Row],[Comments]])=0,"",stdProdLT(Main[[#This Row],[Comments]])))</f>
        <v/>
      </c>
      <c r="H916" s="68" t="str">
        <f>IF(AND(Main[[#This Row],[In Stock Date]]&lt;&gt;"",Main[[#This Row],[Revised Due Date]]&lt;&gt;""),Main[[#This Row],[In Stock Date]]-Main[[#This Row],[Revised Due Date]],"")</f>
        <v/>
      </c>
      <c r="I916" s="65" t="s">
        <v>4</v>
      </c>
      <c r="J916" s="65" t="s">
        <v>4</v>
      </c>
      <c r="K916" s="65" t="s">
        <v>4</v>
      </c>
      <c r="L916" s="67"/>
      <c r="M916" s="69" t="str">
        <f>IF(Main[[#This Row],[Tech Start Date]]&lt;1/1/1990,"",IF(Main[[#This Row],[Class]]="C",WORKDAY(Main[[#This Row],[Tech Start Date]],9),IF(Main[[#This Row],[Class]]="B", WORKDAY(Main[[#This Row],[Tech Start Date]],6),IF(Main[[#This Row],[Class]]="A",WORKDAY(Main[[#This Row],[Tech Start Date]],2),""))))</f>
        <v/>
      </c>
      <c r="N916" s="69" t="str">
        <f>IF(Main[[#This Row],[Tech Start Date]]&lt;1/1/1990,"",IF(Main[[#This Row],[Class]]="C",WORKDAY(Main[[#This Row],[Tech Start Date]],19),IF(Main[[#This Row],[Class]]="B", WORKDAY(Main[[#This Row],[Tech Start Date]],12),IF(Main[[#This Row],[Class]]="A",WORKDAY(Main[[#This Row],[Tech Start Date]],4),""))))</f>
        <v/>
      </c>
      <c r="O916" s="69" t="str">
        <f>IF(Main[[#This Row],[Tech Start Date]]&lt;1/1/1990,"",IF(Main[[#This Row],[Class]]="C",WORKDAY(Main[[#This Row],[Tech Start Date]],23),IF(Main[[#This Row],[Class]]="B", WORKDAY(Main[[#This Row],[Tech Start Date]],15),IF(Main[[#This Row],[Class]]="A",WORKDAY(Main[[#This Row],[Tech Start Date]],5),""))))</f>
        <v/>
      </c>
      <c r="P916" s="69" t="str">
        <f>IF(Main[[#This Row],[Tech Start Date]]&lt;1/1/1990,"",IF(Main[[#This Row],[Class]]="C",WORKDAY(Main[[#This Row],[Tech Start Date]],28),IF(Main[[#This Row],[Class]]="B", WORKDAY(Main[[#This Row],[Tech Start Date]],19),IF(Main[[#This Row],[Class]]="A",WORKDAY(Main[[#This Row],[Tech Start Date]],9),""))))</f>
        <v/>
      </c>
      <c r="Q916" s="67">
        <v>40385</v>
      </c>
      <c r="R916" s="67"/>
      <c r="S916" s="65" t="s">
        <v>6</v>
      </c>
      <c r="T916" s="70" t="s">
        <v>4</v>
      </c>
      <c r="U916" s="65" t="s">
        <v>7</v>
      </c>
      <c r="V916" s="65" t="s">
        <v>1917</v>
      </c>
      <c r="W916" s="65" t="s">
        <v>1919</v>
      </c>
      <c r="X916" s="65" t="s">
        <v>102</v>
      </c>
      <c r="Y916" s="65" t="s">
        <v>3038</v>
      </c>
      <c r="Z916" s="65" t="s">
        <v>4</v>
      </c>
      <c r="AA916" s="65" t="s">
        <v>3408</v>
      </c>
    </row>
    <row r="917" spans="1:27" ht="17.45" customHeight="1">
      <c r="A917" s="131" t="str">
        <f>IF(priority(Main[[#This Row],[Comments]])&lt;&gt;0, priority(Main[[#This Row],[Comments]]),"")</f>
        <v/>
      </c>
      <c r="B917" s="99" t="s">
        <v>1759</v>
      </c>
      <c r="C917" s="65" t="s">
        <v>4</v>
      </c>
      <c r="D917" s="66" t="s">
        <v>796</v>
      </c>
      <c r="E917" s="67"/>
      <c r="F917" s="67"/>
      <c r="G917" s="64" t="str">
        <f>IF(stdProdLT(Main[[#This Row],[Comments]])=0.1,"N/A",IF(stdProdLT(Main[[#This Row],[Comments]])=0,"",stdProdLT(Main[[#This Row],[Comments]])))</f>
        <v/>
      </c>
      <c r="H917" s="68" t="str">
        <f>IF(AND(Main[[#This Row],[In Stock Date]]&lt;&gt;"",Main[[#This Row],[Revised Due Date]]&lt;&gt;""),Main[[#This Row],[In Stock Date]]-Main[[#This Row],[Revised Due Date]],"")</f>
        <v/>
      </c>
      <c r="I917" s="65" t="s">
        <v>4</v>
      </c>
      <c r="J917" s="65" t="s">
        <v>4</v>
      </c>
      <c r="K917" s="65" t="s">
        <v>4</v>
      </c>
      <c r="L917" s="67"/>
      <c r="M917" s="69" t="str">
        <f>IF(Main[[#This Row],[Tech Start Date]]&lt;1/1/1990,"",IF(Main[[#This Row],[Class]]="C",WORKDAY(Main[[#This Row],[Tech Start Date]],9),IF(Main[[#This Row],[Class]]="B", WORKDAY(Main[[#This Row],[Tech Start Date]],6),IF(Main[[#This Row],[Class]]="A",WORKDAY(Main[[#This Row],[Tech Start Date]],2),""))))</f>
        <v/>
      </c>
      <c r="N917" s="69" t="str">
        <f>IF(Main[[#This Row],[Tech Start Date]]&lt;1/1/1990,"",IF(Main[[#This Row],[Class]]="C",WORKDAY(Main[[#This Row],[Tech Start Date]],19),IF(Main[[#This Row],[Class]]="B", WORKDAY(Main[[#This Row],[Tech Start Date]],12),IF(Main[[#This Row],[Class]]="A",WORKDAY(Main[[#This Row],[Tech Start Date]],4),""))))</f>
        <v/>
      </c>
      <c r="O917" s="69" t="str">
        <f>IF(Main[[#This Row],[Tech Start Date]]&lt;1/1/1990,"",IF(Main[[#This Row],[Class]]="C",WORKDAY(Main[[#This Row],[Tech Start Date]],23),IF(Main[[#This Row],[Class]]="B", WORKDAY(Main[[#This Row],[Tech Start Date]],15),IF(Main[[#This Row],[Class]]="A",WORKDAY(Main[[#This Row],[Tech Start Date]],5),""))))</f>
        <v/>
      </c>
      <c r="P917" s="69" t="str">
        <f>IF(Main[[#This Row],[Tech Start Date]]&lt;1/1/1990,"",IF(Main[[#This Row],[Class]]="C",WORKDAY(Main[[#This Row],[Tech Start Date]],28),IF(Main[[#This Row],[Class]]="B", WORKDAY(Main[[#This Row],[Tech Start Date]],19),IF(Main[[#This Row],[Class]]="A",WORKDAY(Main[[#This Row],[Tech Start Date]],9),""))))</f>
        <v/>
      </c>
      <c r="Q917" s="67"/>
      <c r="R917" s="67"/>
      <c r="S917" s="65" t="s">
        <v>23</v>
      </c>
      <c r="T917" s="70" t="s">
        <v>4</v>
      </c>
      <c r="U917" s="65" t="s">
        <v>14</v>
      </c>
      <c r="V917" s="65" t="s">
        <v>1920</v>
      </c>
      <c r="W917" s="65" t="s">
        <v>1921</v>
      </c>
      <c r="X917" s="65" t="s">
        <v>306</v>
      </c>
      <c r="Y917" s="65" t="s">
        <v>4</v>
      </c>
      <c r="Z917" s="65" t="s">
        <v>4</v>
      </c>
      <c r="AA917" s="65" t="s">
        <v>4</v>
      </c>
    </row>
    <row r="918" spans="1:27" ht="17.45" customHeight="1">
      <c r="A918" s="131" t="str">
        <f>IF(priority(Main[[#This Row],[Comments]])&lt;&gt;0, priority(Main[[#This Row],[Comments]]),"")</f>
        <v/>
      </c>
      <c r="B918" s="99" t="s">
        <v>1760</v>
      </c>
      <c r="C918" s="65" t="s">
        <v>122</v>
      </c>
      <c r="D918" s="66" t="s">
        <v>797</v>
      </c>
      <c r="E918" s="67"/>
      <c r="F918" s="67"/>
      <c r="G918" s="64" t="str">
        <f>IF(stdProdLT(Main[[#This Row],[Comments]])=0.1,"N/A",IF(stdProdLT(Main[[#This Row],[Comments]])=0,"",stdProdLT(Main[[#This Row],[Comments]])))</f>
        <v/>
      </c>
      <c r="H918" s="68" t="str">
        <f>IF(AND(Main[[#This Row],[In Stock Date]]&lt;&gt;"",Main[[#This Row],[Revised Due Date]]&lt;&gt;""),Main[[#This Row],[In Stock Date]]-Main[[#This Row],[Revised Due Date]],"")</f>
        <v/>
      </c>
      <c r="I918" s="65" t="s">
        <v>4</v>
      </c>
      <c r="J918" s="65" t="s">
        <v>4</v>
      </c>
      <c r="K918" s="65" t="s">
        <v>4</v>
      </c>
      <c r="L918" s="67"/>
      <c r="M918" s="69" t="str">
        <f>IF(Main[[#This Row],[Tech Start Date]]&lt;1/1/1990,"",IF(Main[[#This Row],[Class]]="C",WORKDAY(Main[[#This Row],[Tech Start Date]],9),IF(Main[[#This Row],[Class]]="B", WORKDAY(Main[[#This Row],[Tech Start Date]],6),IF(Main[[#This Row],[Class]]="A",WORKDAY(Main[[#This Row],[Tech Start Date]],2),""))))</f>
        <v/>
      </c>
      <c r="N918" s="69" t="str">
        <f>IF(Main[[#This Row],[Tech Start Date]]&lt;1/1/1990,"",IF(Main[[#This Row],[Class]]="C",WORKDAY(Main[[#This Row],[Tech Start Date]],19),IF(Main[[#This Row],[Class]]="B", WORKDAY(Main[[#This Row],[Tech Start Date]],12),IF(Main[[#This Row],[Class]]="A",WORKDAY(Main[[#This Row],[Tech Start Date]],4),""))))</f>
        <v/>
      </c>
      <c r="O918" s="69" t="str">
        <f>IF(Main[[#This Row],[Tech Start Date]]&lt;1/1/1990,"",IF(Main[[#This Row],[Class]]="C",WORKDAY(Main[[#This Row],[Tech Start Date]],23),IF(Main[[#This Row],[Class]]="B", WORKDAY(Main[[#This Row],[Tech Start Date]],15),IF(Main[[#This Row],[Class]]="A",WORKDAY(Main[[#This Row],[Tech Start Date]],5),""))))</f>
        <v/>
      </c>
      <c r="P918" s="69" t="str">
        <f>IF(Main[[#This Row],[Tech Start Date]]&lt;1/1/1990,"",IF(Main[[#This Row],[Class]]="C",WORKDAY(Main[[#This Row],[Tech Start Date]],28),IF(Main[[#This Row],[Class]]="B", WORKDAY(Main[[#This Row],[Tech Start Date]],19),IF(Main[[#This Row],[Class]]="A",WORKDAY(Main[[#This Row],[Tech Start Date]],9),""))))</f>
        <v/>
      </c>
      <c r="Q918" s="67">
        <v>40245</v>
      </c>
      <c r="R918" s="67"/>
      <c r="S918" s="65" t="s">
        <v>11</v>
      </c>
      <c r="T918" s="70" t="s">
        <v>4</v>
      </c>
      <c r="U918" s="65" t="s">
        <v>14</v>
      </c>
      <c r="V918" s="65" t="s">
        <v>1920</v>
      </c>
      <c r="W918" s="65" t="s">
        <v>1919</v>
      </c>
      <c r="X918" s="65" t="s">
        <v>2878</v>
      </c>
      <c r="Y918" s="65" t="s">
        <v>4</v>
      </c>
      <c r="Z918" s="65" t="s">
        <v>4</v>
      </c>
      <c r="AA918" s="65" t="s">
        <v>2878</v>
      </c>
    </row>
    <row r="919" spans="1:27" ht="17.45" customHeight="1">
      <c r="A919" s="131" t="str">
        <f>IF(priority(Main[[#This Row],[Comments]])&lt;&gt;0, priority(Main[[#This Row],[Comments]]),"")</f>
        <v/>
      </c>
      <c r="B919" s="99" t="s">
        <v>1736</v>
      </c>
      <c r="C919" s="65" t="s">
        <v>4</v>
      </c>
      <c r="D919" s="66" t="s">
        <v>789</v>
      </c>
      <c r="E919" s="67"/>
      <c r="F919" s="67"/>
      <c r="G919" s="64" t="str">
        <f>IF(stdProdLT(Main[[#This Row],[Comments]])=0.1,"N/A",IF(stdProdLT(Main[[#This Row],[Comments]])=0,"",stdProdLT(Main[[#This Row],[Comments]])))</f>
        <v/>
      </c>
      <c r="H919" s="68" t="str">
        <f>IF(AND(Main[[#This Row],[In Stock Date]]&lt;&gt;"",Main[[#This Row],[Revised Due Date]]&lt;&gt;""),Main[[#This Row],[In Stock Date]]-Main[[#This Row],[Revised Due Date]],"")</f>
        <v/>
      </c>
      <c r="I919" s="65" t="s">
        <v>4</v>
      </c>
      <c r="J919" s="65" t="s">
        <v>28</v>
      </c>
      <c r="K919" s="71" t="s">
        <v>4</v>
      </c>
      <c r="L919" s="67"/>
      <c r="M919" s="69" t="str">
        <f>IF(Main[[#This Row],[Tech Start Date]]&lt;1/1/1990,"",IF(Main[[#This Row],[Class]]="C",WORKDAY(Main[[#This Row],[Tech Start Date]],9),IF(Main[[#This Row],[Class]]="B", WORKDAY(Main[[#This Row],[Tech Start Date]],6),IF(Main[[#This Row],[Class]]="A",WORKDAY(Main[[#This Row],[Tech Start Date]],2),""))))</f>
        <v/>
      </c>
      <c r="N919" s="69" t="str">
        <f>IF(Main[[#This Row],[Tech Start Date]]&lt;1/1/1990,"",IF(Main[[#This Row],[Class]]="C",WORKDAY(Main[[#This Row],[Tech Start Date]],19),IF(Main[[#This Row],[Class]]="B", WORKDAY(Main[[#This Row],[Tech Start Date]],12),IF(Main[[#This Row],[Class]]="A",WORKDAY(Main[[#This Row],[Tech Start Date]],4),""))))</f>
        <v/>
      </c>
      <c r="O919" s="69" t="str">
        <f>IF(Main[[#This Row],[Tech Start Date]]&lt;1/1/1990,"",IF(Main[[#This Row],[Class]]="C",WORKDAY(Main[[#This Row],[Tech Start Date]],23),IF(Main[[#This Row],[Class]]="B", WORKDAY(Main[[#This Row],[Tech Start Date]],15),IF(Main[[#This Row],[Class]]="A",WORKDAY(Main[[#This Row],[Tech Start Date]],5),""))))</f>
        <v/>
      </c>
      <c r="P919" s="69" t="str">
        <f>IF(Main[[#This Row],[Tech Start Date]]&lt;1/1/1990,"",IF(Main[[#This Row],[Class]]="C",WORKDAY(Main[[#This Row],[Tech Start Date]],28),IF(Main[[#This Row],[Class]]="B", WORKDAY(Main[[#This Row],[Tech Start Date]],19),IF(Main[[#This Row],[Class]]="A",WORKDAY(Main[[#This Row],[Tech Start Date]],9),""))))</f>
        <v/>
      </c>
      <c r="Q919" s="67">
        <v>40466</v>
      </c>
      <c r="R919" s="67"/>
      <c r="S919" s="65" t="s">
        <v>6</v>
      </c>
      <c r="T919" s="70" t="s">
        <v>4</v>
      </c>
      <c r="U919" s="65" t="s">
        <v>14</v>
      </c>
      <c r="V919" s="65" t="s">
        <v>1917</v>
      </c>
      <c r="W919" s="65" t="s">
        <v>1921</v>
      </c>
      <c r="X919" s="65" t="s">
        <v>909</v>
      </c>
      <c r="Y919" s="65" t="s">
        <v>3023</v>
      </c>
      <c r="Z919" s="65" t="s">
        <v>129</v>
      </c>
      <c r="AA919" s="65" t="s">
        <v>909</v>
      </c>
    </row>
    <row r="920" spans="1:27" ht="17.45" customHeight="1">
      <c r="A920" s="131" t="str">
        <f>IF(priority(Main[[#This Row],[Comments]])&lt;&gt;0, priority(Main[[#This Row],[Comments]]),"")</f>
        <v/>
      </c>
      <c r="B920" s="99" t="s">
        <v>3344</v>
      </c>
      <c r="C920" s="65" t="s">
        <v>4</v>
      </c>
      <c r="D920" s="66" t="s">
        <v>3629</v>
      </c>
      <c r="E920" s="67">
        <v>40938.727824074071</v>
      </c>
      <c r="F920" s="67"/>
      <c r="G920" s="64" t="str">
        <f>IF(stdProdLT(Main[[#This Row],[Comments]])=0.1,"N/A",IF(stdProdLT(Main[[#This Row],[Comments]])=0,"",stdProdLT(Main[[#This Row],[Comments]])))</f>
        <v/>
      </c>
      <c r="H920" s="68" t="str">
        <f>IF(AND(Main[[#This Row],[In Stock Date]]&lt;&gt;"",Main[[#This Row],[Revised Due Date]]&lt;&gt;""),Main[[#This Row],[In Stock Date]]-Main[[#This Row],[Revised Due Date]],"")</f>
        <v/>
      </c>
      <c r="I920" s="65" t="s">
        <v>81</v>
      </c>
      <c r="J920" s="65" t="s">
        <v>52</v>
      </c>
      <c r="K920" s="71" t="s">
        <v>1926</v>
      </c>
      <c r="L920" s="67"/>
      <c r="M920" s="69" t="str">
        <f>IF(Main[[#This Row],[Tech Start Date]]&lt;1/1/1990,"",IF(Main[[#This Row],[Class]]="C",WORKDAY(Main[[#This Row],[Tech Start Date]],9),IF(Main[[#This Row],[Class]]="B", WORKDAY(Main[[#This Row],[Tech Start Date]],6),IF(Main[[#This Row],[Class]]="A",WORKDAY(Main[[#This Row],[Tech Start Date]],2),""))))</f>
        <v/>
      </c>
      <c r="N920" s="69" t="str">
        <f>IF(Main[[#This Row],[Tech Start Date]]&lt;1/1/1990,"",IF(Main[[#This Row],[Class]]="C",WORKDAY(Main[[#This Row],[Tech Start Date]],19),IF(Main[[#This Row],[Class]]="B", WORKDAY(Main[[#This Row],[Tech Start Date]],12),IF(Main[[#This Row],[Class]]="A",WORKDAY(Main[[#This Row],[Tech Start Date]],4),""))))</f>
        <v/>
      </c>
      <c r="O920" s="69" t="str">
        <f>IF(Main[[#This Row],[Tech Start Date]]&lt;1/1/1990,"",IF(Main[[#This Row],[Class]]="C",WORKDAY(Main[[#This Row],[Tech Start Date]],23),IF(Main[[#This Row],[Class]]="B", WORKDAY(Main[[#This Row],[Tech Start Date]],15),IF(Main[[#This Row],[Class]]="A",WORKDAY(Main[[#This Row],[Tech Start Date]],5),""))))</f>
        <v/>
      </c>
      <c r="P920" s="69" t="str">
        <f>IF(Main[[#This Row],[Tech Start Date]]&lt;1/1/1990,"",IF(Main[[#This Row],[Class]]="C",WORKDAY(Main[[#This Row],[Tech Start Date]],28),IF(Main[[#This Row],[Class]]="B", WORKDAY(Main[[#This Row],[Tech Start Date]],19),IF(Main[[#This Row],[Class]]="A",WORKDAY(Main[[#This Row],[Tech Start Date]],9),""))))</f>
        <v/>
      </c>
      <c r="Q920" s="67">
        <v>40970</v>
      </c>
      <c r="R920" s="67"/>
      <c r="S920" s="65" t="s">
        <v>6</v>
      </c>
      <c r="T920" s="70" t="s">
        <v>4</v>
      </c>
      <c r="U920" s="65" t="s">
        <v>29</v>
      </c>
      <c r="V920" s="65" t="s">
        <v>1920</v>
      </c>
      <c r="W920" s="65" t="s">
        <v>1921</v>
      </c>
      <c r="X920" s="65" t="s">
        <v>2825</v>
      </c>
      <c r="Y920" s="65" t="s">
        <v>2938</v>
      </c>
      <c r="Z920" s="65" t="s">
        <v>30</v>
      </c>
      <c r="AA920" s="65" t="s">
        <v>2825</v>
      </c>
    </row>
    <row r="921" spans="1:27" ht="17.45" customHeight="1">
      <c r="A921" s="131" t="str">
        <f>IF(priority(Main[[#This Row],[Comments]])&lt;&gt;0, priority(Main[[#This Row],[Comments]]),"")</f>
        <v/>
      </c>
      <c r="B921" s="99" t="s">
        <v>1739</v>
      </c>
      <c r="C921" s="65" t="s">
        <v>4</v>
      </c>
      <c r="D921" s="66" t="s">
        <v>430</v>
      </c>
      <c r="E921" s="67"/>
      <c r="F921" s="67"/>
      <c r="G921" s="64" t="str">
        <f>IF(stdProdLT(Main[[#This Row],[Comments]])=0.1,"N/A",IF(stdProdLT(Main[[#This Row],[Comments]])=0,"",stdProdLT(Main[[#This Row],[Comments]])))</f>
        <v/>
      </c>
      <c r="H921" s="68" t="str">
        <f>IF(AND(Main[[#This Row],[In Stock Date]]&lt;&gt;"",Main[[#This Row],[Revised Due Date]]&lt;&gt;""),Main[[#This Row],[In Stock Date]]-Main[[#This Row],[Revised Due Date]],"")</f>
        <v/>
      </c>
      <c r="I921" s="65" t="s">
        <v>4</v>
      </c>
      <c r="J921" s="65" t="s">
        <v>4</v>
      </c>
      <c r="K921" s="65" t="s">
        <v>4</v>
      </c>
      <c r="L921" s="67"/>
      <c r="M921" s="69" t="str">
        <f>IF(Main[[#This Row],[Tech Start Date]]&lt;1/1/1990,"",IF(Main[[#This Row],[Class]]="C",WORKDAY(Main[[#This Row],[Tech Start Date]],9),IF(Main[[#This Row],[Class]]="B", WORKDAY(Main[[#This Row],[Tech Start Date]],6),IF(Main[[#This Row],[Class]]="A",WORKDAY(Main[[#This Row],[Tech Start Date]],2),""))))</f>
        <v/>
      </c>
      <c r="N921" s="69" t="str">
        <f>IF(Main[[#This Row],[Tech Start Date]]&lt;1/1/1990,"",IF(Main[[#This Row],[Class]]="C",WORKDAY(Main[[#This Row],[Tech Start Date]],19),IF(Main[[#This Row],[Class]]="B", WORKDAY(Main[[#This Row],[Tech Start Date]],12),IF(Main[[#This Row],[Class]]="A",WORKDAY(Main[[#This Row],[Tech Start Date]],4),""))))</f>
        <v/>
      </c>
      <c r="O921" s="69" t="str">
        <f>IF(Main[[#This Row],[Tech Start Date]]&lt;1/1/1990,"",IF(Main[[#This Row],[Class]]="C",WORKDAY(Main[[#This Row],[Tech Start Date]],23),IF(Main[[#This Row],[Class]]="B", WORKDAY(Main[[#This Row],[Tech Start Date]],15),IF(Main[[#This Row],[Class]]="A",WORKDAY(Main[[#This Row],[Tech Start Date]],5),""))))</f>
        <v/>
      </c>
      <c r="P921" s="69" t="str">
        <f>IF(Main[[#This Row],[Tech Start Date]]&lt;1/1/1990,"",IF(Main[[#This Row],[Class]]="C",WORKDAY(Main[[#This Row],[Tech Start Date]],28),IF(Main[[#This Row],[Class]]="B", WORKDAY(Main[[#This Row],[Tech Start Date]],19),IF(Main[[#This Row],[Class]]="A",WORKDAY(Main[[#This Row],[Tech Start Date]],9),""))))</f>
        <v/>
      </c>
      <c r="Q921" s="67"/>
      <c r="R921" s="67"/>
      <c r="S921" s="65" t="s">
        <v>6</v>
      </c>
      <c r="T921" s="70" t="s">
        <v>4</v>
      </c>
      <c r="U921" s="65" t="s">
        <v>14</v>
      </c>
      <c r="V921" s="65" t="s">
        <v>1920</v>
      </c>
      <c r="W921" s="65" t="s">
        <v>1921</v>
      </c>
      <c r="X921" s="65" t="s">
        <v>30</v>
      </c>
      <c r="Y921" s="65" t="s">
        <v>2963</v>
      </c>
      <c r="Z921" s="65" t="s">
        <v>4</v>
      </c>
      <c r="AA921" s="65" t="s">
        <v>30</v>
      </c>
    </row>
    <row r="922" spans="1:27" ht="17.45" customHeight="1">
      <c r="A922" s="131" t="str">
        <f>IF(priority(Main[[#This Row],[Comments]])&lt;&gt;0, priority(Main[[#This Row],[Comments]]),"")</f>
        <v/>
      </c>
      <c r="B922" s="99" t="s">
        <v>1740</v>
      </c>
      <c r="C922" s="65" t="s">
        <v>436</v>
      </c>
      <c r="D922" s="66" t="s">
        <v>791</v>
      </c>
      <c r="E922" s="67"/>
      <c r="F922" s="67"/>
      <c r="G922" s="64" t="str">
        <f>IF(stdProdLT(Main[[#This Row],[Comments]])=0.1,"N/A",IF(stdProdLT(Main[[#This Row],[Comments]])=0,"",stdProdLT(Main[[#This Row],[Comments]])))</f>
        <v/>
      </c>
      <c r="H922" s="68" t="str">
        <f>IF(AND(Main[[#This Row],[In Stock Date]]&lt;&gt;"",Main[[#This Row],[Revised Due Date]]&lt;&gt;""),Main[[#This Row],[In Stock Date]]-Main[[#This Row],[Revised Due Date]],"")</f>
        <v/>
      </c>
      <c r="I922" s="65" t="s">
        <v>4</v>
      </c>
      <c r="J922" s="65" t="s">
        <v>4</v>
      </c>
      <c r="K922" s="71" t="s">
        <v>4</v>
      </c>
      <c r="L922" s="67"/>
      <c r="M922" s="69" t="str">
        <f>IF(Main[[#This Row],[Tech Start Date]]&lt;1/1/1990,"",IF(Main[[#This Row],[Class]]="C",WORKDAY(Main[[#This Row],[Tech Start Date]],9),IF(Main[[#This Row],[Class]]="B", WORKDAY(Main[[#This Row],[Tech Start Date]],6),IF(Main[[#This Row],[Class]]="A",WORKDAY(Main[[#This Row],[Tech Start Date]],2),""))))</f>
        <v/>
      </c>
      <c r="N922" s="69" t="str">
        <f>IF(Main[[#This Row],[Tech Start Date]]&lt;1/1/1990,"",IF(Main[[#This Row],[Class]]="C",WORKDAY(Main[[#This Row],[Tech Start Date]],19),IF(Main[[#This Row],[Class]]="B", WORKDAY(Main[[#This Row],[Tech Start Date]],12),IF(Main[[#This Row],[Class]]="A",WORKDAY(Main[[#This Row],[Tech Start Date]],4),""))))</f>
        <v/>
      </c>
      <c r="O922" s="69" t="str">
        <f>IF(Main[[#This Row],[Tech Start Date]]&lt;1/1/1990,"",IF(Main[[#This Row],[Class]]="C",WORKDAY(Main[[#This Row],[Tech Start Date]],23),IF(Main[[#This Row],[Class]]="B", WORKDAY(Main[[#This Row],[Tech Start Date]],15),IF(Main[[#This Row],[Class]]="A",WORKDAY(Main[[#This Row],[Tech Start Date]],5),""))))</f>
        <v/>
      </c>
      <c r="P922" s="69" t="str">
        <f>IF(Main[[#This Row],[Tech Start Date]]&lt;1/1/1990,"",IF(Main[[#This Row],[Class]]="C",WORKDAY(Main[[#This Row],[Tech Start Date]],28),IF(Main[[#This Row],[Class]]="B", WORKDAY(Main[[#This Row],[Tech Start Date]],19),IF(Main[[#This Row],[Class]]="A",WORKDAY(Main[[#This Row],[Tech Start Date]],9),""))))</f>
        <v/>
      </c>
      <c r="Q922" s="67"/>
      <c r="R922" s="67"/>
      <c r="S922" s="65" t="s">
        <v>11</v>
      </c>
      <c r="T922" s="70" t="s">
        <v>4</v>
      </c>
      <c r="U922" s="65" t="s">
        <v>14</v>
      </c>
      <c r="V922" s="65" t="s">
        <v>1917</v>
      </c>
      <c r="W922" s="65" t="s">
        <v>1925</v>
      </c>
      <c r="X922" s="65" t="s">
        <v>2859</v>
      </c>
      <c r="Y922" s="65" t="s">
        <v>2997</v>
      </c>
      <c r="Z922" s="65" t="s">
        <v>4</v>
      </c>
      <c r="AA922" s="65" t="s">
        <v>2859</v>
      </c>
    </row>
    <row r="923" spans="1:27" ht="17.45" customHeight="1">
      <c r="A923" s="131" t="str">
        <f>IF(priority(Main[[#This Row],[Comments]])&lt;&gt;0, priority(Main[[#This Row],[Comments]]),"")</f>
        <v/>
      </c>
      <c r="B923" s="99" t="s">
        <v>1741</v>
      </c>
      <c r="C923" s="65" t="s">
        <v>4</v>
      </c>
      <c r="D923" s="66" t="s">
        <v>792</v>
      </c>
      <c r="E923" s="67">
        <v>40479.428263888891</v>
      </c>
      <c r="F923" s="67"/>
      <c r="G923" s="64" t="str">
        <f>IF(stdProdLT(Main[[#This Row],[Comments]])=0.1,"N/A",IF(stdProdLT(Main[[#This Row],[Comments]])=0,"",stdProdLT(Main[[#This Row],[Comments]])))</f>
        <v/>
      </c>
      <c r="H923" s="68" t="str">
        <f>IF(AND(Main[[#This Row],[In Stock Date]]&lt;&gt;"",Main[[#This Row],[Revised Due Date]]&lt;&gt;""),Main[[#This Row],[In Stock Date]]-Main[[#This Row],[Revised Due Date]],"")</f>
        <v/>
      </c>
      <c r="I923" s="65" t="s">
        <v>30</v>
      </c>
      <c r="J923" s="65" t="s">
        <v>28</v>
      </c>
      <c r="K923" s="65" t="s">
        <v>1926</v>
      </c>
      <c r="L923" s="67"/>
      <c r="M923" s="69" t="str">
        <f>IF(Main[[#This Row],[Tech Start Date]]&lt;1/1/1990,"",IF(Main[[#This Row],[Class]]="C",WORKDAY(Main[[#This Row],[Tech Start Date]],9),IF(Main[[#This Row],[Class]]="B", WORKDAY(Main[[#This Row],[Tech Start Date]],6),IF(Main[[#This Row],[Class]]="A",WORKDAY(Main[[#This Row],[Tech Start Date]],2),""))))</f>
        <v/>
      </c>
      <c r="N923" s="69" t="str">
        <f>IF(Main[[#This Row],[Tech Start Date]]&lt;1/1/1990,"",IF(Main[[#This Row],[Class]]="C",WORKDAY(Main[[#This Row],[Tech Start Date]],19),IF(Main[[#This Row],[Class]]="B", WORKDAY(Main[[#This Row],[Tech Start Date]],12),IF(Main[[#This Row],[Class]]="A",WORKDAY(Main[[#This Row],[Tech Start Date]],4),""))))</f>
        <v/>
      </c>
      <c r="O923" s="69" t="str">
        <f>IF(Main[[#This Row],[Tech Start Date]]&lt;1/1/1990,"",IF(Main[[#This Row],[Class]]="C",WORKDAY(Main[[#This Row],[Tech Start Date]],23),IF(Main[[#This Row],[Class]]="B", WORKDAY(Main[[#This Row],[Tech Start Date]],15),IF(Main[[#This Row],[Class]]="A",WORKDAY(Main[[#This Row],[Tech Start Date]],5),""))))</f>
        <v/>
      </c>
      <c r="P923" s="69" t="str">
        <f>IF(Main[[#This Row],[Tech Start Date]]&lt;1/1/1990,"",IF(Main[[#This Row],[Class]]="C",WORKDAY(Main[[#This Row],[Tech Start Date]],28),IF(Main[[#This Row],[Class]]="B", WORKDAY(Main[[#This Row],[Tech Start Date]],19),IF(Main[[#This Row],[Class]]="A",WORKDAY(Main[[#This Row],[Tech Start Date]],9),""))))</f>
        <v/>
      </c>
      <c r="Q923" s="67">
        <v>40512</v>
      </c>
      <c r="R923" s="67"/>
      <c r="S923" s="65" t="s">
        <v>6</v>
      </c>
      <c r="T923" s="70" t="s">
        <v>4</v>
      </c>
      <c r="U923" s="65" t="s">
        <v>534</v>
      </c>
      <c r="V923" s="65" t="s">
        <v>1920</v>
      </c>
      <c r="W923" s="65" t="s">
        <v>1921</v>
      </c>
      <c r="X923" s="65" t="s">
        <v>2897</v>
      </c>
      <c r="Y923" s="65" t="s">
        <v>3108</v>
      </c>
      <c r="Z923" s="65" t="s">
        <v>30</v>
      </c>
      <c r="AA923" s="65" t="s">
        <v>2897</v>
      </c>
    </row>
    <row r="924" spans="1:27" ht="17.45" customHeight="1">
      <c r="A924" s="131" t="str">
        <f>IF(priority(Main[[#This Row],[Comments]])&lt;&gt;0, priority(Main[[#This Row],[Comments]]),"")</f>
        <v/>
      </c>
      <c r="B924" s="99" t="s">
        <v>1742</v>
      </c>
      <c r="C924" s="65" t="s">
        <v>4</v>
      </c>
      <c r="D924" s="66" t="s">
        <v>39</v>
      </c>
      <c r="E924" s="67"/>
      <c r="F924" s="67"/>
      <c r="G924" s="64" t="str">
        <f>IF(stdProdLT(Main[[#This Row],[Comments]])=0.1,"N/A",IF(stdProdLT(Main[[#This Row],[Comments]])=0,"",stdProdLT(Main[[#This Row],[Comments]])))</f>
        <v/>
      </c>
      <c r="H924" s="68" t="str">
        <f>IF(AND(Main[[#This Row],[In Stock Date]]&lt;&gt;"",Main[[#This Row],[Revised Due Date]]&lt;&gt;""),Main[[#This Row],[In Stock Date]]-Main[[#This Row],[Revised Due Date]],"")</f>
        <v/>
      </c>
      <c r="I924" s="65" t="s">
        <v>4</v>
      </c>
      <c r="J924" s="65" t="s">
        <v>4</v>
      </c>
      <c r="K924" s="65" t="s">
        <v>4</v>
      </c>
      <c r="L924" s="67"/>
      <c r="M924" s="69" t="str">
        <f>IF(Main[[#This Row],[Tech Start Date]]&lt;1/1/1990,"",IF(Main[[#This Row],[Class]]="C",WORKDAY(Main[[#This Row],[Tech Start Date]],9),IF(Main[[#This Row],[Class]]="B", WORKDAY(Main[[#This Row],[Tech Start Date]],6),IF(Main[[#This Row],[Class]]="A",WORKDAY(Main[[#This Row],[Tech Start Date]],2),""))))</f>
        <v/>
      </c>
      <c r="N924" s="69" t="str">
        <f>IF(Main[[#This Row],[Tech Start Date]]&lt;1/1/1990,"",IF(Main[[#This Row],[Class]]="C",WORKDAY(Main[[#This Row],[Tech Start Date]],19),IF(Main[[#This Row],[Class]]="B", WORKDAY(Main[[#This Row],[Tech Start Date]],12),IF(Main[[#This Row],[Class]]="A",WORKDAY(Main[[#This Row],[Tech Start Date]],4),""))))</f>
        <v/>
      </c>
      <c r="O924" s="69" t="str">
        <f>IF(Main[[#This Row],[Tech Start Date]]&lt;1/1/1990,"",IF(Main[[#This Row],[Class]]="C",WORKDAY(Main[[#This Row],[Tech Start Date]],23),IF(Main[[#This Row],[Class]]="B", WORKDAY(Main[[#This Row],[Tech Start Date]],15),IF(Main[[#This Row],[Class]]="A",WORKDAY(Main[[#This Row],[Tech Start Date]],5),""))))</f>
        <v/>
      </c>
      <c r="P924" s="69" t="str">
        <f>IF(Main[[#This Row],[Tech Start Date]]&lt;1/1/1990,"",IF(Main[[#This Row],[Class]]="C",WORKDAY(Main[[#This Row],[Tech Start Date]],28),IF(Main[[#This Row],[Class]]="B", WORKDAY(Main[[#This Row],[Tech Start Date]],19),IF(Main[[#This Row],[Class]]="A",WORKDAY(Main[[#This Row],[Tech Start Date]],9),""))))</f>
        <v/>
      </c>
      <c r="Q924" s="67">
        <v>40669</v>
      </c>
      <c r="R924" s="67"/>
      <c r="S924" s="65" t="s">
        <v>6</v>
      </c>
      <c r="T924" s="70" t="s">
        <v>4</v>
      </c>
      <c r="U924" s="65" t="s">
        <v>14</v>
      </c>
      <c r="V924" s="65" t="s">
        <v>1920</v>
      </c>
      <c r="W924" s="65" t="s">
        <v>4</v>
      </c>
      <c r="X924" s="65" t="s">
        <v>2824</v>
      </c>
      <c r="Y924" s="65" t="s">
        <v>2935</v>
      </c>
      <c r="Z924" s="65" t="s">
        <v>4</v>
      </c>
      <c r="AA924" s="65" t="s">
        <v>2824</v>
      </c>
    </row>
    <row r="925" spans="1:27" ht="17.45" customHeight="1">
      <c r="A925" s="131" t="str">
        <f>IF(priority(Main[[#This Row],[Comments]])&lt;&gt;0, priority(Main[[#This Row],[Comments]]),"")</f>
        <v/>
      </c>
      <c r="B925" s="99" t="s">
        <v>1743</v>
      </c>
      <c r="C925" s="65" t="s">
        <v>4</v>
      </c>
      <c r="D925" s="66" t="s">
        <v>793</v>
      </c>
      <c r="E925" s="67"/>
      <c r="F925" s="67"/>
      <c r="G925" s="64" t="str">
        <f>IF(stdProdLT(Main[[#This Row],[Comments]])=0.1,"N/A",IF(stdProdLT(Main[[#This Row],[Comments]])=0,"",stdProdLT(Main[[#This Row],[Comments]])))</f>
        <v/>
      </c>
      <c r="H925" s="68" t="str">
        <f>IF(AND(Main[[#This Row],[In Stock Date]]&lt;&gt;"",Main[[#This Row],[Revised Due Date]]&lt;&gt;""),Main[[#This Row],[In Stock Date]]-Main[[#This Row],[Revised Due Date]],"")</f>
        <v/>
      </c>
      <c r="I925" s="65" t="s">
        <v>4</v>
      </c>
      <c r="J925" s="65" t="s">
        <v>4</v>
      </c>
      <c r="K925" s="65" t="s">
        <v>4</v>
      </c>
      <c r="L925" s="67"/>
      <c r="M925" s="69" t="str">
        <f>IF(Main[[#This Row],[Tech Start Date]]&lt;1/1/1990,"",IF(Main[[#This Row],[Class]]="C",WORKDAY(Main[[#This Row],[Tech Start Date]],9),IF(Main[[#This Row],[Class]]="B", WORKDAY(Main[[#This Row],[Tech Start Date]],6),IF(Main[[#This Row],[Class]]="A",WORKDAY(Main[[#This Row],[Tech Start Date]],2),""))))</f>
        <v/>
      </c>
      <c r="N925" s="69" t="str">
        <f>IF(Main[[#This Row],[Tech Start Date]]&lt;1/1/1990,"",IF(Main[[#This Row],[Class]]="C",WORKDAY(Main[[#This Row],[Tech Start Date]],19),IF(Main[[#This Row],[Class]]="B", WORKDAY(Main[[#This Row],[Tech Start Date]],12),IF(Main[[#This Row],[Class]]="A",WORKDAY(Main[[#This Row],[Tech Start Date]],4),""))))</f>
        <v/>
      </c>
      <c r="O925" s="69" t="str">
        <f>IF(Main[[#This Row],[Tech Start Date]]&lt;1/1/1990,"",IF(Main[[#This Row],[Class]]="C",WORKDAY(Main[[#This Row],[Tech Start Date]],23),IF(Main[[#This Row],[Class]]="B", WORKDAY(Main[[#This Row],[Tech Start Date]],15),IF(Main[[#This Row],[Class]]="A",WORKDAY(Main[[#This Row],[Tech Start Date]],5),""))))</f>
        <v/>
      </c>
      <c r="P925" s="69" t="str">
        <f>IF(Main[[#This Row],[Tech Start Date]]&lt;1/1/1990,"",IF(Main[[#This Row],[Class]]="C",WORKDAY(Main[[#This Row],[Tech Start Date]],28),IF(Main[[#This Row],[Class]]="B", WORKDAY(Main[[#This Row],[Tech Start Date]],19),IF(Main[[#This Row],[Class]]="A",WORKDAY(Main[[#This Row],[Tech Start Date]],9),""))))</f>
        <v/>
      </c>
      <c r="Q925" s="67"/>
      <c r="R925" s="67"/>
      <c r="S925" s="65" t="s">
        <v>17</v>
      </c>
      <c r="T925" s="70" t="s">
        <v>4</v>
      </c>
      <c r="U925" s="65" t="s">
        <v>14</v>
      </c>
      <c r="V925" s="65" t="s">
        <v>1920</v>
      </c>
      <c r="W925" s="65" t="s">
        <v>4</v>
      </c>
      <c r="X925" s="65" t="s">
        <v>306</v>
      </c>
      <c r="Y925" s="65" t="s">
        <v>4</v>
      </c>
      <c r="Z925" s="65" t="s">
        <v>4</v>
      </c>
      <c r="AA925" s="65" t="s">
        <v>654</v>
      </c>
    </row>
    <row r="926" spans="1:27" ht="17.45" customHeight="1">
      <c r="A926" s="131" t="str">
        <f>IF(priority(Main[[#This Row],[Comments]])&lt;&gt;0, priority(Main[[#This Row],[Comments]]),"")</f>
        <v/>
      </c>
      <c r="B926" s="99" t="s">
        <v>1490</v>
      </c>
      <c r="C926" s="65" t="s">
        <v>37</v>
      </c>
      <c r="D926" s="66" t="s">
        <v>2396</v>
      </c>
      <c r="E926" s="67">
        <v>40682.490115740744</v>
      </c>
      <c r="F926" s="67"/>
      <c r="G926" s="64" t="str">
        <f>IF(stdProdLT(Main[[#This Row],[Comments]])=0.1,"N/A",IF(stdProdLT(Main[[#This Row],[Comments]])=0,"",stdProdLT(Main[[#This Row],[Comments]])))</f>
        <v/>
      </c>
      <c r="H926" s="68" t="str">
        <f>IF(AND(Main[[#This Row],[In Stock Date]]&lt;&gt;"",Main[[#This Row],[Revised Due Date]]&lt;&gt;""),Main[[#This Row],[In Stock Date]]-Main[[#This Row],[Revised Due Date]],"")</f>
        <v/>
      </c>
      <c r="I926" s="65" t="s">
        <v>4</v>
      </c>
      <c r="J926" s="65" t="s">
        <v>4</v>
      </c>
      <c r="K926" s="65" t="s">
        <v>4</v>
      </c>
      <c r="L926" s="67"/>
      <c r="M926" s="69" t="str">
        <f>IF(Main[[#This Row],[Tech Start Date]]&lt;1/1/1990,"",IF(Main[[#This Row],[Class]]="C",WORKDAY(Main[[#This Row],[Tech Start Date]],9),IF(Main[[#This Row],[Class]]="B", WORKDAY(Main[[#This Row],[Tech Start Date]],6),IF(Main[[#This Row],[Class]]="A",WORKDAY(Main[[#This Row],[Tech Start Date]],2),""))))</f>
        <v/>
      </c>
      <c r="N926" s="69" t="str">
        <f>IF(Main[[#This Row],[Tech Start Date]]&lt;1/1/1990,"",IF(Main[[#This Row],[Class]]="C",WORKDAY(Main[[#This Row],[Tech Start Date]],19),IF(Main[[#This Row],[Class]]="B", WORKDAY(Main[[#This Row],[Tech Start Date]],12),IF(Main[[#This Row],[Class]]="A",WORKDAY(Main[[#This Row],[Tech Start Date]],4),""))))</f>
        <v/>
      </c>
      <c r="O926" s="69" t="str">
        <f>IF(Main[[#This Row],[Tech Start Date]]&lt;1/1/1990,"",IF(Main[[#This Row],[Class]]="C",WORKDAY(Main[[#This Row],[Tech Start Date]],23),IF(Main[[#This Row],[Class]]="B", WORKDAY(Main[[#This Row],[Tech Start Date]],15),IF(Main[[#This Row],[Class]]="A",WORKDAY(Main[[#This Row],[Tech Start Date]],5),""))))</f>
        <v/>
      </c>
      <c r="P926" s="69" t="str">
        <f>IF(Main[[#This Row],[Tech Start Date]]&lt;1/1/1990,"",IF(Main[[#This Row],[Class]]="C",WORKDAY(Main[[#This Row],[Tech Start Date]],28),IF(Main[[#This Row],[Class]]="B", WORKDAY(Main[[#This Row],[Tech Start Date]],19),IF(Main[[#This Row],[Class]]="A",WORKDAY(Main[[#This Row],[Tech Start Date]],9),""))))</f>
        <v/>
      </c>
      <c r="Q926" s="67">
        <v>40703</v>
      </c>
      <c r="R926" s="67"/>
      <c r="S926" s="65" t="s">
        <v>6</v>
      </c>
      <c r="T926" s="70" t="s">
        <v>4</v>
      </c>
      <c r="U926" s="65" t="s">
        <v>7</v>
      </c>
      <c r="V926" s="65" t="s">
        <v>1917</v>
      </c>
      <c r="W926" s="65" t="s">
        <v>1928</v>
      </c>
      <c r="X926" s="65" t="s">
        <v>972</v>
      </c>
      <c r="Y926" s="65" t="s">
        <v>3103</v>
      </c>
      <c r="Z926" s="65" t="s">
        <v>4</v>
      </c>
      <c r="AA926" s="65" t="s">
        <v>972</v>
      </c>
    </row>
    <row r="927" spans="1:27" ht="17.45" customHeight="1">
      <c r="A927" s="131" t="str">
        <f>IF(priority(Main[[#This Row],[Comments]])&lt;&gt;0, priority(Main[[#This Row],[Comments]]),"")</f>
        <v/>
      </c>
      <c r="B927" s="99" t="s">
        <v>1745</v>
      </c>
      <c r="C927" s="65" t="s">
        <v>4</v>
      </c>
      <c r="D927" s="66" t="s">
        <v>683</v>
      </c>
      <c r="E927" s="67"/>
      <c r="F927" s="67"/>
      <c r="G927" s="64" t="str">
        <f>IF(stdProdLT(Main[[#This Row],[Comments]])=0.1,"N/A",IF(stdProdLT(Main[[#This Row],[Comments]])=0,"",stdProdLT(Main[[#This Row],[Comments]])))</f>
        <v/>
      </c>
      <c r="H927" s="68" t="str">
        <f>IF(AND(Main[[#This Row],[In Stock Date]]&lt;&gt;"",Main[[#This Row],[Revised Due Date]]&lt;&gt;""),Main[[#This Row],[In Stock Date]]-Main[[#This Row],[Revised Due Date]],"")</f>
        <v/>
      </c>
      <c r="I927" s="65" t="s">
        <v>4</v>
      </c>
      <c r="J927" s="65" t="s">
        <v>4</v>
      </c>
      <c r="K927" s="65" t="s">
        <v>4</v>
      </c>
      <c r="L927" s="67"/>
      <c r="M927" s="69" t="str">
        <f>IF(Main[[#This Row],[Tech Start Date]]&lt;1/1/1990,"",IF(Main[[#This Row],[Class]]="C",WORKDAY(Main[[#This Row],[Tech Start Date]],9),IF(Main[[#This Row],[Class]]="B", WORKDAY(Main[[#This Row],[Tech Start Date]],6),IF(Main[[#This Row],[Class]]="A",WORKDAY(Main[[#This Row],[Tech Start Date]],2),""))))</f>
        <v/>
      </c>
      <c r="N927" s="69" t="str">
        <f>IF(Main[[#This Row],[Tech Start Date]]&lt;1/1/1990,"",IF(Main[[#This Row],[Class]]="C",WORKDAY(Main[[#This Row],[Tech Start Date]],19),IF(Main[[#This Row],[Class]]="B", WORKDAY(Main[[#This Row],[Tech Start Date]],12),IF(Main[[#This Row],[Class]]="A",WORKDAY(Main[[#This Row],[Tech Start Date]],4),""))))</f>
        <v/>
      </c>
      <c r="O927" s="69" t="str">
        <f>IF(Main[[#This Row],[Tech Start Date]]&lt;1/1/1990,"",IF(Main[[#This Row],[Class]]="C",WORKDAY(Main[[#This Row],[Tech Start Date]],23),IF(Main[[#This Row],[Class]]="B", WORKDAY(Main[[#This Row],[Tech Start Date]],15),IF(Main[[#This Row],[Class]]="A",WORKDAY(Main[[#This Row],[Tech Start Date]],5),""))))</f>
        <v/>
      </c>
      <c r="P927" s="69" t="str">
        <f>IF(Main[[#This Row],[Tech Start Date]]&lt;1/1/1990,"",IF(Main[[#This Row],[Class]]="C",WORKDAY(Main[[#This Row],[Tech Start Date]],28),IF(Main[[#This Row],[Class]]="B", WORKDAY(Main[[#This Row],[Tech Start Date]],19),IF(Main[[#This Row],[Class]]="A",WORKDAY(Main[[#This Row],[Tech Start Date]],9),""))))</f>
        <v/>
      </c>
      <c r="Q927" s="67"/>
      <c r="R927" s="67"/>
      <c r="S927" s="65" t="s">
        <v>23</v>
      </c>
      <c r="T927" s="70" t="s">
        <v>4</v>
      </c>
      <c r="U927" s="65" t="s">
        <v>14</v>
      </c>
      <c r="V927" s="65" t="s">
        <v>1920</v>
      </c>
      <c r="W927" s="65" t="s">
        <v>1921</v>
      </c>
      <c r="X927" s="65" t="s">
        <v>417</v>
      </c>
      <c r="Y927" s="65" t="s">
        <v>3109</v>
      </c>
      <c r="Z927" s="65" t="s">
        <v>4</v>
      </c>
      <c r="AA927" s="65" t="s">
        <v>3440</v>
      </c>
    </row>
    <row r="928" spans="1:27" ht="17.45" customHeight="1">
      <c r="A928" s="131" t="str">
        <f>IF(priority(Main[[#This Row],[Comments]])&lt;&gt;0, priority(Main[[#This Row],[Comments]]),"")</f>
        <v/>
      </c>
      <c r="B928" s="99" t="s">
        <v>1857</v>
      </c>
      <c r="C928" s="65" t="s">
        <v>47</v>
      </c>
      <c r="D928" s="66" t="s">
        <v>912</v>
      </c>
      <c r="E928" s="67">
        <v>39937.598483796297</v>
      </c>
      <c r="F928" s="67"/>
      <c r="G928" s="64" t="str">
        <f>IF(stdProdLT(Main[[#This Row],[Comments]])=0.1,"N/A",IF(stdProdLT(Main[[#This Row],[Comments]])=0,"",stdProdLT(Main[[#This Row],[Comments]])))</f>
        <v/>
      </c>
      <c r="H928" s="68" t="str">
        <f>IF(AND(Main[[#This Row],[In Stock Date]]&lt;&gt;"",Main[[#This Row],[Revised Due Date]]&lt;&gt;""),Main[[#This Row],[In Stock Date]]-Main[[#This Row],[Revised Due Date]],"")</f>
        <v/>
      </c>
      <c r="I928" s="65" t="s">
        <v>900</v>
      </c>
      <c r="J928" s="65" t="s">
        <v>4</v>
      </c>
      <c r="K928" s="65" t="s">
        <v>1929</v>
      </c>
      <c r="L928" s="67"/>
      <c r="M928" s="69" t="str">
        <f>IF(Main[[#This Row],[Tech Start Date]]&lt;1/1/1990,"",IF(Main[[#This Row],[Class]]="C",WORKDAY(Main[[#This Row],[Tech Start Date]],9),IF(Main[[#This Row],[Class]]="B", WORKDAY(Main[[#This Row],[Tech Start Date]],6),IF(Main[[#This Row],[Class]]="A",WORKDAY(Main[[#This Row],[Tech Start Date]],2),""))))</f>
        <v/>
      </c>
      <c r="N928" s="69" t="str">
        <f>IF(Main[[#This Row],[Tech Start Date]]&lt;1/1/1990,"",IF(Main[[#This Row],[Class]]="C",WORKDAY(Main[[#This Row],[Tech Start Date]],19),IF(Main[[#This Row],[Class]]="B", WORKDAY(Main[[#This Row],[Tech Start Date]],12),IF(Main[[#This Row],[Class]]="A",WORKDAY(Main[[#This Row],[Tech Start Date]],4),""))))</f>
        <v/>
      </c>
      <c r="O928" s="69" t="str">
        <f>IF(Main[[#This Row],[Tech Start Date]]&lt;1/1/1990,"",IF(Main[[#This Row],[Class]]="C",WORKDAY(Main[[#This Row],[Tech Start Date]],23),IF(Main[[#This Row],[Class]]="B", WORKDAY(Main[[#This Row],[Tech Start Date]],15),IF(Main[[#This Row],[Class]]="A",WORKDAY(Main[[#This Row],[Tech Start Date]],5),""))))</f>
        <v/>
      </c>
      <c r="P928" s="69" t="str">
        <f>IF(Main[[#This Row],[Tech Start Date]]&lt;1/1/1990,"",IF(Main[[#This Row],[Class]]="C",WORKDAY(Main[[#This Row],[Tech Start Date]],28),IF(Main[[#This Row],[Class]]="B", WORKDAY(Main[[#This Row],[Tech Start Date]],19),IF(Main[[#This Row],[Class]]="A",WORKDAY(Main[[#This Row],[Tech Start Date]],9),""))))</f>
        <v/>
      </c>
      <c r="Q928" s="67"/>
      <c r="R928" s="67">
        <v>40945</v>
      </c>
      <c r="S928" s="65" t="s">
        <v>17</v>
      </c>
      <c r="T928" s="70" t="s">
        <v>4</v>
      </c>
      <c r="U928" s="65" t="s">
        <v>29</v>
      </c>
      <c r="V928" s="65" t="s">
        <v>1920</v>
      </c>
      <c r="W928" s="65" t="s">
        <v>1922</v>
      </c>
      <c r="X928" s="65" t="s">
        <v>2833</v>
      </c>
      <c r="Y928" s="65" t="s">
        <v>2954</v>
      </c>
      <c r="Z928" s="65" t="s">
        <v>415</v>
      </c>
      <c r="AA928" s="65" t="s">
        <v>2833</v>
      </c>
    </row>
    <row r="929" spans="1:27" ht="17.45" customHeight="1">
      <c r="A929" s="131" t="str">
        <f>IF(priority(Main[[#This Row],[Comments]])&lt;&gt;0, priority(Main[[#This Row],[Comments]]),"")</f>
        <v/>
      </c>
      <c r="B929" s="99" t="s">
        <v>1746</v>
      </c>
      <c r="C929" s="65" t="s">
        <v>31</v>
      </c>
      <c r="D929" s="66" t="s">
        <v>794</v>
      </c>
      <c r="E929" s="67"/>
      <c r="F929" s="67"/>
      <c r="G929" s="64" t="str">
        <f>IF(stdProdLT(Main[[#This Row],[Comments]])=0.1,"N/A",IF(stdProdLT(Main[[#This Row],[Comments]])=0,"",stdProdLT(Main[[#This Row],[Comments]])))</f>
        <v/>
      </c>
      <c r="H929" s="68" t="str">
        <f>IF(AND(Main[[#This Row],[In Stock Date]]&lt;&gt;"",Main[[#This Row],[Revised Due Date]]&lt;&gt;""),Main[[#This Row],[In Stock Date]]-Main[[#This Row],[Revised Due Date]],"")</f>
        <v/>
      </c>
      <c r="I929" s="65" t="s">
        <v>4</v>
      </c>
      <c r="J929" s="65" t="s">
        <v>4</v>
      </c>
      <c r="K929" s="65" t="s">
        <v>4</v>
      </c>
      <c r="L929" s="67"/>
      <c r="M929" s="69" t="str">
        <f>IF(Main[[#This Row],[Tech Start Date]]&lt;1/1/1990,"",IF(Main[[#This Row],[Class]]="C",WORKDAY(Main[[#This Row],[Tech Start Date]],9),IF(Main[[#This Row],[Class]]="B", WORKDAY(Main[[#This Row],[Tech Start Date]],6),IF(Main[[#This Row],[Class]]="A",WORKDAY(Main[[#This Row],[Tech Start Date]],2),""))))</f>
        <v/>
      </c>
      <c r="N929" s="69" t="str">
        <f>IF(Main[[#This Row],[Tech Start Date]]&lt;1/1/1990,"",IF(Main[[#This Row],[Class]]="C",WORKDAY(Main[[#This Row],[Tech Start Date]],19),IF(Main[[#This Row],[Class]]="B", WORKDAY(Main[[#This Row],[Tech Start Date]],12),IF(Main[[#This Row],[Class]]="A",WORKDAY(Main[[#This Row],[Tech Start Date]],4),""))))</f>
        <v/>
      </c>
      <c r="O929" s="69" t="str">
        <f>IF(Main[[#This Row],[Tech Start Date]]&lt;1/1/1990,"",IF(Main[[#This Row],[Class]]="C",WORKDAY(Main[[#This Row],[Tech Start Date]],23),IF(Main[[#This Row],[Class]]="B", WORKDAY(Main[[#This Row],[Tech Start Date]],15),IF(Main[[#This Row],[Class]]="A",WORKDAY(Main[[#This Row],[Tech Start Date]],5),""))))</f>
        <v/>
      </c>
      <c r="P929" s="69" t="str">
        <f>IF(Main[[#This Row],[Tech Start Date]]&lt;1/1/1990,"",IF(Main[[#This Row],[Class]]="C",WORKDAY(Main[[#This Row],[Tech Start Date]],28),IF(Main[[#This Row],[Class]]="B", WORKDAY(Main[[#This Row],[Tech Start Date]],19),IF(Main[[#This Row],[Class]]="A",WORKDAY(Main[[#This Row],[Tech Start Date]],9),""))))</f>
        <v/>
      </c>
      <c r="Q929" s="67">
        <v>40318</v>
      </c>
      <c r="R929" s="67"/>
      <c r="S929" s="65" t="s">
        <v>11</v>
      </c>
      <c r="T929" s="70" t="s">
        <v>4</v>
      </c>
      <c r="U929" s="65" t="s">
        <v>14</v>
      </c>
      <c r="V929" s="65" t="s">
        <v>1927</v>
      </c>
      <c r="W929" s="65" t="s">
        <v>1919</v>
      </c>
      <c r="X929" s="65" t="s">
        <v>2836</v>
      </c>
      <c r="Y929" s="65" t="s">
        <v>4</v>
      </c>
      <c r="Z929" s="65" t="s">
        <v>4</v>
      </c>
      <c r="AA929" s="65" t="s">
        <v>2836</v>
      </c>
    </row>
    <row r="930" spans="1:27" ht="17.45" customHeight="1">
      <c r="A930" s="131" t="str">
        <f>IF(priority(Main[[#This Row],[Comments]])&lt;&gt;0, priority(Main[[#This Row],[Comments]]),"")</f>
        <v/>
      </c>
      <c r="B930" s="99" t="s">
        <v>1772</v>
      </c>
      <c r="C930" s="65" t="s">
        <v>4</v>
      </c>
      <c r="D930" s="66" t="s">
        <v>806</v>
      </c>
      <c r="E930" s="67"/>
      <c r="F930" s="67"/>
      <c r="G930" s="64" t="str">
        <f>IF(stdProdLT(Main[[#This Row],[Comments]])=0.1,"N/A",IF(stdProdLT(Main[[#This Row],[Comments]])=0,"",stdProdLT(Main[[#This Row],[Comments]])))</f>
        <v/>
      </c>
      <c r="H930" s="68" t="str">
        <f>IF(AND(Main[[#This Row],[In Stock Date]]&lt;&gt;"",Main[[#This Row],[Revised Due Date]]&lt;&gt;""),Main[[#This Row],[In Stock Date]]-Main[[#This Row],[Revised Due Date]],"")</f>
        <v/>
      </c>
      <c r="I930" s="65" t="s">
        <v>4</v>
      </c>
      <c r="J930" s="65" t="s">
        <v>4</v>
      </c>
      <c r="K930" s="65" t="s">
        <v>4</v>
      </c>
      <c r="L930" s="67"/>
      <c r="M930" s="69" t="str">
        <f>IF(Main[[#This Row],[Tech Start Date]]&lt;1/1/1990,"",IF(Main[[#This Row],[Class]]="C",WORKDAY(Main[[#This Row],[Tech Start Date]],9),IF(Main[[#This Row],[Class]]="B", WORKDAY(Main[[#This Row],[Tech Start Date]],6),IF(Main[[#This Row],[Class]]="A",WORKDAY(Main[[#This Row],[Tech Start Date]],2),""))))</f>
        <v/>
      </c>
      <c r="N930" s="69" t="str">
        <f>IF(Main[[#This Row],[Tech Start Date]]&lt;1/1/1990,"",IF(Main[[#This Row],[Class]]="C",WORKDAY(Main[[#This Row],[Tech Start Date]],19),IF(Main[[#This Row],[Class]]="B", WORKDAY(Main[[#This Row],[Tech Start Date]],12),IF(Main[[#This Row],[Class]]="A",WORKDAY(Main[[#This Row],[Tech Start Date]],4),""))))</f>
        <v/>
      </c>
      <c r="O930" s="69" t="str">
        <f>IF(Main[[#This Row],[Tech Start Date]]&lt;1/1/1990,"",IF(Main[[#This Row],[Class]]="C",WORKDAY(Main[[#This Row],[Tech Start Date]],23),IF(Main[[#This Row],[Class]]="B", WORKDAY(Main[[#This Row],[Tech Start Date]],15),IF(Main[[#This Row],[Class]]="A",WORKDAY(Main[[#This Row],[Tech Start Date]],5),""))))</f>
        <v/>
      </c>
      <c r="P930" s="69" t="str">
        <f>IF(Main[[#This Row],[Tech Start Date]]&lt;1/1/1990,"",IF(Main[[#This Row],[Class]]="C",WORKDAY(Main[[#This Row],[Tech Start Date]],28),IF(Main[[#This Row],[Class]]="B", WORKDAY(Main[[#This Row],[Tech Start Date]],19),IF(Main[[#This Row],[Class]]="A",WORKDAY(Main[[#This Row],[Tech Start Date]],9),""))))</f>
        <v/>
      </c>
      <c r="Q930" s="67"/>
      <c r="R930" s="67"/>
      <c r="S930" s="65" t="s">
        <v>49</v>
      </c>
      <c r="T930" s="70" t="s">
        <v>4</v>
      </c>
      <c r="U930" s="65" t="s">
        <v>14</v>
      </c>
      <c r="V930" s="65" t="s">
        <v>1920</v>
      </c>
      <c r="W930" s="65" t="s">
        <v>1921</v>
      </c>
      <c r="X930" s="65" t="s">
        <v>306</v>
      </c>
      <c r="Y930" s="65" t="s">
        <v>3110</v>
      </c>
      <c r="Z930" s="65" t="s">
        <v>4</v>
      </c>
      <c r="AA930" s="65" t="s">
        <v>306</v>
      </c>
    </row>
    <row r="931" spans="1:27" ht="17.45" customHeight="1">
      <c r="A931" s="131" t="str">
        <f>IF(priority(Main[[#This Row],[Comments]])&lt;&gt;0, priority(Main[[#This Row],[Comments]]),"")</f>
        <v/>
      </c>
      <c r="B931" s="99" t="s">
        <v>3201</v>
      </c>
      <c r="C931" s="65" t="s">
        <v>4</v>
      </c>
      <c r="D931" s="66" t="s">
        <v>3239</v>
      </c>
      <c r="E931" s="67">
        <v>40921.504814814813</v>
      </c>
      <c r="F931" s="67"/>
      <c r="G931" s="64" t="str">
        <f>IF(stdProdLT(Main[[#This Row],[Comments]])=0.1,"N/A",IF(stdProdLT(Main[[#This Row],[Comments]])=0,"",stdProdLT(Main[[#This Row],[Comments]])))</f>
        <v/>
      </c>
      <c r="H931" s="68" t="str">
        <f>IF(AND(Main[[#This Row],[In Stock Date]]&lt;&gt;"",Main[[#This Row],[Revised Due Date]]&lt;&gt;""),Main[[#This Row],[In Stock Date]]-Main[[#This Row],[Revised Due Date]],"")</f>
        <v/>
      </c>
      <c r="I931" s="65" t="s">
        <v>2054</v>
      </c>
      <c r="J931" s="65" t="s">
        <v>28</v>
      </c>
      <c r="K931" s="65" t="s">
        <v>1926</v>
      </c>
      <c r="L931" s="67"/>
      <c r="M931" s="69" t="str">
        <f>IF(Main[[#This Row],[Tech Start Date]]&lt;1/1/1990,"",IF(Main[[#This Row],[Class]]="C",WORKDAY(Main[[#This Row],[Tech Start Date]],9),IF(Main[[#This Row],[Class]]="B", WORKDAY(Main[[#This Row],[Tech Start Date]],6),IF(Main[[#This Row],[Class]]="A",WORKDAY(Main[[#This Row],[Tech Start Date]],2),""))))</f>
        <v/>
      </c>
      <c r="N931" s="69" t="str">
        <f>IF(Main[[#This Row],[Tech Start Date]]&lt;1/1/1990,"",IF(Main[[#This Row],[Class]]="C",WORKDAY(Main[[#This Row],[Tech Start Date]],19),IF(Main[[#This Row],[Class]]="B", WORKDAY(Main[[#This Row],[Tech Start Date]],12),IF(Main[[#This Row],[Class]]="A",WORKDAY(Main[[#This Row],[Tech Start Date]],4),""))))</f>
        <v/>
      </c>
      <c r="O931" s="69" t="str">
        <f>IF(Main[[#This Row],[Tech Start Date]]&lt;1/1/1990,"",IF(Main[[#This Row],[Class]]="C",WORKDAY(Main[[#This Row],[Tech Start Date]],23),IF(Main[[#This Row],[Class]]="B", WORKDAY(Main[[#This Row],[Tech Start Date]],15),IF(Main[[#This Row],[Class]]="A",WORKDAY(Main[[#This Row],[Tech Start Date]],5),""))))</f>
        <v/>
      </c>
      <c r="P931" s="69" t="str">
        <f>IF(Main[[#This Row],[Tech Start Date]]&lt;1/1/1990,"",IF(Main[[#This Row],[Class]]="C",WORKDAY(Main[[#This Row],[Tech Start Date]],28),IF(Main[[#This Row],[Class]]="B", WORKDAY(Main[[#This Row],[Tech Start Date]],19),IF(Main[[#This Row],[Class]]="A",WORKDAY(Main[[#This Row],[Tech Start Date]],9),""))))</f>
        <v/>
      </c>
      <c r="Q931" s="67">
        <v>40939</v>
      </c>
      <c r="R931" s="67"/>
      <c r="S931" s="65" t="s">
        <v>6</v>
      </c>
      <c r="T931" s="70" t="s">
        <v>4</v>
      </c>
      <c r="U931" s="65" t="s">
        <v>29</v>
      </c>
      <c r="V931" s="65" t="s">
        <v>1920</v>
      </c>
      <c r="W931" s="65" t="s">
        <v>1921</v>
      </c>
      <c r="X931" s="65" t="s">
        <v>30</v>
      </c>
      <c r="Y931" s="65" t="s">
        <v>3202</v>
      </c>
      <c r="Z931" s="65" t="s">
        <v>30</v>
      </c>
      <c r="AA931" s="65" t="s">
        <v>2909</v>
      </c>
    </row>
    <row r="932" spans="1:27" ht="17.45" customHeight="1">
      <c r="A932" s="131" t="str">
        <f>IF(priority(Main[[#This Row],[Comments]])&lt;&gt;0, priority(Main[[#This Row],[Comments]]),"")</f>
        <v/>
      </c>
      <c r="B932" s="99" t="s">
        <v>3267</v>
      </c>
      <c r="C932" s="65" t="s">
        <v>4</v>
      </c>
      <c r="D932" s="66" t="s">
        <v>3268</v>
      </c>
      <c r="E932" s="67"/>
      <c r="F932" s="67"/>
      <c r="G932" s="64" t="str">
        <f>IF(stdProdLT(Main[[#This Row],[Comments]])=0.1,"N/A",IF(stdProdLT(Main[[#This Row],[Comments]])=0,"",stdProdLT(Main[[#This Row],[Comments]])))</f>
        <v/>
      </c>
      <c r="H932" s="68" t="str">
        <f>IF(AND(Main[[#This Row],[In Stock Date]]&lt;&gt;"",Main[[#This Row],[Revised Due Date]]&lt;&gt;""),Main[[#This Row],[In Stock Date]]-Main[[#This Row],[Revised Due Date]],"")</f>
        <v/>
      </c>
      <c r="I932" s="65" t="s">
        <v>4</v>
      </c>
      <c r="J932" s="65" t="s">
        <v>4</v>
      </c>
      <c r="K932" s="65" t="s">
        <v>4</v>
      </c>
      <c r="L932" s="67"/>
      <c r="M932" s="69" t="str">
        <f>IF(Main[[#This Row],[Tech Start Date]]&lt;1/1/1990,"",IF(Main[[#This Row],[Class]]="C",WORKDAY(Main[[#This Row],[Tech Start Date]],9),IF(Main[[#This Row],[Class]]="B", WORKDAY(Main[[#This Row],[Tech Start Date]],6),IF(Main[[#This Row],[Class]]="A",WORKDAY(Main[[#This Row],[Tech Start Date]],2),""))))</f>
        <v/>
      </c>
      <c r="N932" s="69" t="str">
        <f>IF(Main[[#This Row],[Tech Start Date]]&lt;1/1/1990,"",IF(Main[[#This Row],[Class]]="C",WORKDAY(Main[[#This Row],[Tech Start Date]],19),IF(Main[[#This Row],[Class]]="B", WORKDAY(Main[[#This Row],[Tech Start Date]],12),IF(Main[[#This Row],[Class]]="A",WORKDAY(Main[[#This Row],[Tech Start Date]],4),""))))</f>
        <v/>
      </c>
      <c r="O932" s="69" t="str">
        <f>IF(Main[[#This Row],[Tech Start Date]]&lt;1/1/1990,"",IF(Main[[#This Row],[Class]]="C",WORKDAY(Main[[#This Row],[Tech Start Date]],23),IF(Main[[#This Row],[Class]]="B", WORKDAY(Main[[#This Row],[Tech Start Date]],15),IF(Main[[#This Row],[Class]]="A",WORKDAY(Main[[#This Row],[Tech Start Date]],5),""))))</f>
        <v/>
      </c>
      <c r="P932" s="69" t="str">
        <f>IF(Main[[#This Row],[Tech Start Date]]&lt;1/1/1990,"",IF(Main[[#This Row],[Class]]="C",WORKDAY(Main[[#This Row],[Tech Start Date]],28),IF(Main[[#This Row],[Class]]="B", WORKDAY(Main[[#This Row],[Tech Start Date]],19),IF(Main[[#This Row],[Class]]="A",WORKDAY(Main[[#This Row],[Tech Start Date]],9),""))))</f>
        <v/>
      </c>
      <c r="Q932" s="67"/>
      <c r="R932" s="67"/>
      <c r="S932" s="65" t="s">
        <v>17</v>
      </c>
      <c r="T932" s="70" t="s">
        <v>4</v>
      </c>
      <c r="U932" s="65" t="s">
        <v>12</v>
      </c>
      <c r="V932" s="65" t="s">
        <v>1920</v>
      </c>
      <c r="W932" s="65" t="s">
        <v>4</v>
      </c>
      <c r="X932" s="65" t="s">
        <v>1979</v>
      </c>
      <c r="Y932" s="65" t="s">
        <v>4</v>
      </c>
      <c r="Z932" s="65" t="s">
        <v>4</v>
      </c>
      <c r="AA932" s="65" t="s">
        <v>4</v>
      </c>
    </row>
    <row r="933" spans="1:27" ht="17.45" customHeight="1">
      <c r="A933" s="131" t="str">
        <f>IF(priority(Main[[#This Row],[Comments]])&lt;&gt;0, priority(Main[[#This Row],[Comments]]),"")</f>
        <v/>
      </c>
      <c r="B933" s="99" t="s">
        <v>1773</v>
      </c>
      <c r="C933" s="65" t="s">
        <v>4</v>
      </c>
      <c r="D933" s="66" t="s">
        <v>807</v>
      </c>
      <c r="E933" s="67"/>
      <c r="F933" s="67"/>
      <c r="G933" s="64" t="str">
        <f>IF(stdProdLT(Main[[#This Row],[Comments]])=0.1,"N/A",IF(stdProdLT(Main[[#This Row],[Comments]])=0,"",stdProdLT(Main[[#This Row],[Comments]])))</f>
        <v/>
      </c>
      <c r="H933" s="68" t="str">
        <f>IF(AND(Main[[#This Row],[In Stock Date]]&lt;&gt;"",Main[[#This Row],[Revised Due Date]]&lt;&gt;""),Main[[#This Row],[In Stock Date]]-Main[[#This Row],[Revised Due Date]],"")</f>
        <v/>
      </c>
      <c r="I933" s="65" t="s">
        <v>4</v>
      </c>
      <c r="J933" s="65" t="s">
        <v>4</v>
      </c>
      <c r="K933" s="65" t="s">
        <v>4</v>
      </c>
      <c r="L933" s="67"/>
      <c r="M933" s="69" t="str">
        <f>IF(Main[[#This Row],[Tech Start Date]]&lt;1/1/1990,"",IF(Main[[#This Row],[Class]]="C",WORKDAY(Main[[#This Row],[Tech Start Date]],9),IF(Main[[#This Row],[Class]]="B", WORKDAY(Main[[#This Row],[Tech Start Date]],6),IF(Main[[#This Row],[Class]]="A",WORKDAY(Main[[#This Row],[Tech Start Date]],2),""))))</f>
        <v/>
      </c>
      <c r="N933" s="69" t="str">
        <f>IF(Main[[#This Row],[Tech Start Date]]&lt;1/1/1990,"",IF(Main[[#This Row],[Class]]="C",WORKDAY(Main[[#This Row],[Tech Start Date]],19),IF(Main[[#This Row],[Class]]="B", WORKDAY(Main[[#This Row],[Tech Start Date]],12),IF(Main[[#This Row],[Class]]="A",WORKDAY(Main[[#This Row],[Tech Start Date]],4),""))))</f>
        <v/>
      </c>
      <c r="O933" s="69" t="str">
        <f>IF(Main[[#This Row],[Tech Start Date]]&lt;1/1/1990,"",IF(Main[[#This Row],[Class]]="C",WORKDAY(Main[[#This Row],[Tech Start Date]],23),IF(Main[[#This Row],[Class]]="B", WORKDAY(Main[[#This Row],[Tech Start Date]],15),IF(Main[[#This Row],[Class]]="A",WORKDAY(Main[[#This Row],[Tech Start Date]],5),""))))</f>
        <v/>
      </c>
      <c r="P933" s="69" t="str">
        <f>IF(Main[[#This Row],[Tech Start Date]]&lt;1/1/1990,"",IF(Main[[#This Row],[Class]]="C",WORKDAY(Main[[#This Row],[Tech Start Date]],28),IF(Main[[#This Row],[Class]]="B", WORKDAY(Main[[#This Row],[Tech Start Date]],19),IF(Main[[#This Row],[Class]]="A",WORKDAY(Main[[#This Row],[Tech Start Date]],9),""))))</f>
        <v/>
      </c>
      <c r="Q933" s="67"/>
      <c r="R933" s="67"/>
      <c r="S933" s="65" t="s">
        <v>6</v>
      </c>
      <c r="T933" s="70" t="s">
        <v>4</v>
      </c>
      <c r="U933" s="65" t="s">
        <v>12</v>
      </c>
      <c r="V933" s="65" t="s">
        <v>1917</v>
      </c>
      <c r="W933" s="65" t="s">
        <v>1921</v>
      </c>
      <c r="X933" s="65" t="s">
        <v>879</v>
      </c>
      <c r="Y933" s="65" t="s">
        <v>3015</v>
      </c>
      <c r="Z933" s="65" t="s">
        <v>4</v>
      </c>
      <c r="AA933" s="65" t="s">
        <v>879</v>
      </c>
    </row>
    <row r="934" spans="1:27" ht="17.45" customHeight="1">
      <c r="A934" s="131" t="str">
        <f>IF(priority(Main[[#This Row],[Comments]])&lt;&gt;0, priority(Main[[#This Row],[Comments]]),"")</f>
        <v/>
      </c>
      <c r="B934" s="99" t="s">
        <v>1748</v>
      </c>
      <c r="C934" s="65" t="s">
        <v>284</v>
      </c>
      <c r="D934" s="66" t="s">
        <v>798</v>
      </c>
      <c r="E934" s="67"/>
      <c r="F934" s="67"/>
      <c r="G934" s="64" t="str">
        <f>IF(stdProdLT(Main[[#This Row],[Comments]])=0.1,"N/A",IF(stdProdLT(Main[[#This Row],[Comments]])=0,"",stdProdLT(Main[[#This Row],[Comments]])))</f>
        <v/>
      </c>
      <c r="H934" s="68" t="str">
        <f>IF(AND(Main[[#This Row],[In Stock Date]]&lt;&gt;"",Main[[#This Row],[Revised Due Date]]&lt;&gt;""),Main[[#This Row],[In Stock Date]]-Main[[#This Row],[Revised Due Date]],"")</f>
        <v/>
      </c>
      <c r="I934" s="65" t="s">
        <v>4</v>
      </c>
      <c r="J934" s="65" t="s">
        <v>4</v>
      </c>
      <c r="K934" s="65" t="s">
        <v>4</v>
      </c>
      <c r="L934" s="67"/>
      <c r="M934" s="69" t="str">
        <f>IF(Main[[#This Row],[Tech Start Date]]&lt;1/1/1990,"",IF(Main[[#This Row],[Class]]="C",WORKDAY(Main[[#This Row],[Tech Start Date]],9),IF(Main[[#This Row],[Class]]="B", WORKDAY(Main[[#This Row],[Tech Start Date]],6),IF(Main[[#This Row],[Class]]="A",WORKDAY(Main[[#This Row],[Tech Start Date]],2),""))))</f>
        <v/>
      </c>
      <c r="N934" s="69" t="str">
        <f>IF(Main[[#This Row],[Tech Start Date]]&lt;1/1/1990,"",IF(Main[[#This Row],[Class]]="C",WORKDAY(Main[[#This Row],[Tech Start Date]],19),IF(Main[[#This Row],[Class]]="B", WORKDAY(Main[[#This Row],[Tech Start Date]],12),IF(Main[[#This Row],[Class]]="A",WORKDAY(Main[[#This Row],[Tech Start Date]],4),""))))</f>
        <v/>
      </c>
      <c r="O934" s="69" t="str">
        <f>IF(Main[[#This Row],[Tech Start Date]]&lt;1/1/1990,"",IF(Main[[#This Row],[Class]]="C",WORKDAY(Main[[#This Row],[Tech Start Date]],23),IF(Main[[#This Row],[Class]]="B", WORKDAY(Main[[#This Row],[Tech Start Date]],15),IF(Main[[#This Row],[Class]]="A",WORKDAY(Main[[#This Row],[Tech Start Date]],5),""))))</f>
        <v/>
      </c>
      <c r="P934" s="69" t="str">
        <f>IF(Main[[#This Row],[Tech Start Date]]&lt;1/1/1990,"",IF(Main[[#This Row],[Class]]="C",WORKDAY(Main[[#This Row],[Tech Start Date]],28),IF(Main[[#This Row],[Class]]="B", WORKDAY(Main[[#This Row],[Tech Start Date]],19),IF(Main[[#This Row],[Class]]="A",WORKDAY(Main[[#This Row],[Tech Start Date]],9),""))))</f>
        <v/>
      </c>
      <c r="Q934" s="67">
        <v>40134</v>
      </c>
      <c r="R934" s="67"/>
      <c r="S934" s="65" t="s">
        <v>11</v>
      </c>
      <c r="T934" s="70" t="s">
        <v>4</v>
      </c>
      <c r="U934" s="65" t="s">
        <v>14</v>
      </c>
      <c r="V934" s="65" t="s">
        <v>1927</v>
      </c>
      <c r="W934" s="65" t="s">
        <v>1925</v>
      </c>
      <c r="X934" s="65" t="s">
        <v>2823</v>
      </c>
      <c r="Y934" s="65" t="s">
        <v>4</v>
      </c>
      <c r="Z934" s="65" t="s">
        <v>4</v>
      </c>
      <c r="AA934" s="65" t="s">
        <v>2823</v>
      </c>
    </row>
    <row r="935" spans="1:27" ht="17.45" customHeight="1">
      <c r="A935" s="131" t="str">
        <f>IF(priority(Main[[#This Row],[Comments]])&lt;&gt;0, priority(Main[[#This Row],[Comments]]),"")</f>
        <v/>
      </c>
      <c r="B935" s="99" t="s">
        <v>1749</v>
      </c>
      <c r="C935" s="65" t="s">
        <v>4</v>
      </c>
      <c r="D935" s="66" t="s">
        <v>799</v>
      </c>
      <c r="E935" s="67"/>
      <c r="F935" s="67">
        <v>40598</v>
      </c>
      <c r="G935" s="64" t="str">
        <f>IF(stdProdLT(Main[[#This Row],[Comments]])=0.1,"N/A",IF(stdProdLT(Main[[#This Row],[Comments]])=0,"",stdProdLT(Main[[#This Row],[Comments]])))</f>
        <v/>
      </c>
      <c r="H935" s="68" t="str">
        <f>IF(AND(Main[[#This Row],[In Stock Date]]&lt;&gt;"",Main[[#This Row],[Revised Due Date]]&lt;&gt;""),Main[[#This Row],[In Stock Date]]-Main[[#This Row],[Revised Due Date]],"")</f>
        <v/>
      </c>
      <c r="I935" s="65" t="s">
        <v>4</v>
      </c>
      <c r="J935" s="65" t="s">
        <v>4</v>
      </c>
      <c r="K935" s="71" t="s">
        <v>4</v>
      </c>
      <c r="L935" s="67"/>
      <c r="M935" s="69" t="str">
        <f>IF(Main[[#This Row],[Tech Start Date]]&lt;1/1/1990,"",IF(Main[[#This Row],[Class]]="C",WORKDAY(Main[[#This Row],[Tech Start Date]],9),IF(Main[[#This Row],[Class]]="B", WORKDAY(Main[[#This Row],[Tech Start Date]],6),IF(Main[[#This Row],[Class]]="A",WORKDAY(Main[[#This Row],[Tech Start Date]],2),""))))</f>
        <v/>
      </c>
      <c r="N935" s="69" t="str">
        <f>IF(Main[[#This Row],[Tech Start Date]]&lt;1/1/1990,"",IF(Main[[#This Row],[Class]]="C",WORKDAY(Main[[#This Row],[Tech Start Date]],19),IF(Main[[#This Row],[Class]]="B", WORKDAY(Main[[#This Row],[Tech Start Date]],12),IF(Main[[#This Row],[Class]]="A",WORKDAY(Main[[#This Row],[Tech Start Date]],4),""))))</f>
        <v/>
      </c>
      <c r="O935" s="69" t="str">
        <f>IF(Main[[#This Row],[Tech Start Date]]&lt;1/1/1990,"",IF(Main[[#This Row],[Class]]="C",WORKDAY(Main[[#This Row],[Tech Start Date]],23),IF(Main[[#This Row],[Class]]="B", WORKDAY(Main[[#This Row],[Tech Start Date]],15),IF(Main[[#This Row],[Class]]="A",WORKDAY(Main[[#This Row],[Tech Start Date]],5),""))))</f>
        <v/>
      </c>
      <c r="P935" s="69" t="str">
        <f>IF(Main[[#This Row],[Tech Start Date]]&lt;1/1/1990,"",IF(Main[[#This Row],[Class]]="C",WORKDAY(Main[[#This Row],[Tech Start Date]],28),IF(Main[[#This Row],[Class]]="B", WORKDAY(Main[[#This Row],[Tech Start Date]],19),IF(Main[[#This Row],[Class]]="A",WORKDAY(Main[[#This Row],[Tech Start Date]],9),""))))</f>
        <v/>
      </c>
      <c r="Q935" s="67">
        <v>40598</v>
      </c>
      <c r="R935" s="67"/>
      <c r="S935" s="65" t="s">
        <v>11</v>
      </c>
      <c r="T935" s="70" t="s">
        <v>4</v>
      </c>
      <c r="U935" s="65" t="s">
        <v>14</v>
      </c>
      <c r="V935" s="65" t="s">
        <v>1927</v>
      </c>
      <c r="W935" s="65" t="s">
        <v>1923</v>
      </c>
      <c r="X935" s="65" t="s">
        <v>2854</v>
      </c>
      <c r="Y935" s="65" t="s">
        <v>2985</v>
      </c>
      <c r="Z935" s="65" t="s">
        <v>4</v>
      </c>
      <c r="AA935" s="65" t="s">
        <v>2854</v>
      </c>
    </row>
    <row r="936" spans="1:27" ht="17.45" customHeight="1">
      <c r="A936" s="131" t="str">
        <f>IF(priority(Main[[#This Row],[Comments]])&lt;&gt;0, priority(Main[[#This Row],[Comments]]),"")</f>
        <v/>
      </c>
      <c r="B936" s="99" t="s">
        <v>1750</v>
      </c>
      <c r="C936" s="65" t="s">
        <v>436</v>
      </c>
      <c r="D936" s="66" t="s">
        <v>791</v>
      </c>
      <c r="E936" s="67"/>
      <c r="F936" s="67"/>
      <c r="G936" s="64" t="str">
        <f>IF(stdProdLT(Main[[#This Row],[Comments]])=0.1,"N/A",IF(stdProdLT(Main[[#This Row],[Comments]])=0,"",stdProdLT(Main[[#This Row],[Comments]])))</f>
        <v/>
      </c>
      <c r="H936" s="68" t="str">
        <f>IF(AND(Main[[#This Row],[In Stock Date]]&lt;&gt;"",Main[[#This Row],[Revised Due Date]]&lt;&gt;""),Main[[#This Row],[In Stock Date]]-Main[[#This Row],[Revised Due Date]],"")</f>
        <v/>
      </c>
      <c r="I936" s="65" t="s">
        <v>4</v>
      </c>
      <c r="J936" s="65" t="s">
        <v>4</v>
      </c>
      <c r="K936" s="65" t="s">
        <v>4</v>
      </c>
      <c r="L936" s="67"/>
      <c r="M936" s="69" t="str">
        <f>IF(Main[[#This Row],[Tech Start Date]]&lt;1/1/1990,"",IF(Main[[#This Row],[Class]]="C",WORKDAY(Main[[#This Row],[Tech Start Date]],9),IF(Main[[#This Row],[Class]]="B", WORKDAY(Main[[#This Row],[Tech Start Date]],6),IF(Main[[#This Row],[Class]]="A",WORKDAY(Main[[#This Row],[Tech Start Date]],2),""))))</f>
        <v/>
      </c>
      <c r="N936" s="69" t="str">
        <f>IF(Main[[#This Row],[Tech Start Date]]&lt;1/1/1990,"",IF(Main[[#This Row],[Class]]="C",WORKDAY(Main[[#This Row],[Tech Start Date]],19),IF(Main[[#This Row],[Class]]="B", WORKDAY(Main[[#This Row],[Tech Start Date]],12),IF(Main[[#This Row],[Class]]="A",WORKDAY(Main[[#This Row],[Tech Start Date]],4),""))))</f>
        <v/>
      </c>
      <c r="O936" s="69" t="str">
        <f>IF(Main[[#This Row],[Tech Start Date]]&lt;1/1/1990,"",IF(Main[[#This Row],[Class]]="C",WORKDAY(Main[[#This Row],[Tech Start Date]],23),IF(Main[[#This Row],[Class]]="B", WORKDAY(Main[[#This Row],[Tech Start Date]],15),IF(Main[[#This Row],[Class]]="A",WORKDAY(Main[[#This Row],[Tech Start Date]],5),""))))</f>
        <v/>
      </c>
      <c r="P936" s="69" t="str">
        <f>IF(Main[[#This Row],[Tech Start Date]]&lt;1/1/1990,"",IF(Main[[#This Row],[Class]]="C",WORKDAY(Main[[#This Row],[Tech Start Date]],28),IF(Main[[#This Row],[Class]]="B", WORKDAY(Main[[#This Row],[Tech Start Date]],19),IF(Main[[#This Row],[Class]]="A",WORKDAY(Main[[#This Row],[Tech Start Date]],9),""))))</f>
        <v/>
      </c>
      <c r="Q936" s="67"/>
      <c r="R936" s="67"/>
      <c r="S936" s="65" t="s">
        <v>11</v>
      </c>
      <c r="T936" s="70" t="s">
        <v>4</v>
      </c>
      <c r="U936" s="65" t="s">
        <v>14</v>
      </c>
      <c r="V936" s="65" t="s">
        <v>1917</v>
      </c>
      <c r="W936" s="65" t="s">
        <v>1925</v>
      </c>
      <c r="X936" s="65" t="s">
        <v>2859</v>
      </c>
      <c r="Y936" s="65" t="s">
        <v>2997</v>
      </c>
      <c r="Z936" s="65" t="s">
        <v>4</v>
      </c>
      <c r="AA936" s="65" t="s">
        <v>2859</v>
      </c>
    </row>
    <row r="937" spans="1:27" ht="17.45" customHeight="1">
      <c r="A937" s="131" t="str">
        <f>IF(priority(Main[[#This Row],[Comments]])&lt;&gt;0, priority(Main[[#This Row],[Comments]]),"")</f>
        <v/>
      </c>
      <c r="B937" s="99" t="s">
        <v>1752</v>
      </c>
      <c r="C937" s="65" t="s">
        <v>4</v>
      </c>
      <c r="D937" s="66" t="s">
        <v>800</v>
      </c>
      <c r="E937" s="67"/>
      <c r="F937" s="67"/>
      <c r="G937" s="64" t="str">
        <f>IF(stdProdLT(Main[[#This Row],[Comments]])=0.1,"N/A",IF(stdProdLT(Main[[#This Row],[Comments]])=0,"",stdProdLT(Main[[#This Row],[Comments]])))</f>
        <v/>
      </c>
      <c r="H937" s="68" t="str">
        <f>IF(AND(Main[[#This Row],[In Stock Date]]&lt;&gt;"",Main[[#This Row],[Revised Due Date]]&lt;&gt;""),Main[[#This Row],[In Stock Date]]-Main[[#This Row],[Revised Due Date]],"")</f>
        <v/>
      </c>
      <c r="I937" s="65" t="s">
        <v>4</v>
      </c>
      <c r="J937" s="65" t="s">
        <v>4</v>
      </c>
      <c r="K937" s="71" t="s">
        <v>4</v>
      </c>
      <c r="L937" s="67"/>
      <c r="M937" s="69" t="str">
        <f>IF(Main[[#This Row],[Tech Start Date]]&lt;1/1/1990,"",IF(Main[[#This Row],[Class]]="C",WORKDAY(Main[[#This Row],[Tech Start Date]],9),IF(Main[[#This Row],[Class]]="B", WORKDAY(Main[[#This Row],[Tech Start Date]],6),IF(Main[[#This Row],[Class]]="A",WORKDAY(Main[[#This Row],[Tech Start Date]],2),""))))</f>
        <v/>
      </c>
      <c r="N937" s="69" t="str">
        <f>IF(Main[[#This Row],[Tech Start Date]]&lt;1/1/1990,"",IF(Main[[#This Row],[Class]]="C",WORKDAY(Main[[#This Row],[Tech Start Date]],19),IF(Main[[#This Row],[Class]]="B", WORKDAY(Main[[#This Row],[Tech Start Date]],12),IF(Main[[#This Row],[Class]]="A",WORKDAY(Main[[#This Row],[Tech Start Date]],4),""))))</f>
        <v/>
      </c>
      <c r="O937" s="69" t="str">
        <f>IF(Main[[#This Row],[Tech Start Date]]&lt;1/1/1990,"",IF(Main[[#This Row],[Class]]="C",WORKDAY(Main[[#This Row],[Tech Start Date]],23),IF(Main[[#This Row],[Class]]="B", WORKDAY(Main[[#This Row],[Tech Start Date]],15),IF(Main[[#This Row],[Class]]="A",WORKDAY(Main[[#This Row],[Tech Start Date]],5),""))))</f>
        <v/>
      </c>
      <c r="P937" s="69" t="str">
        <f>IF(Main[[#This Row],[Tech Start Date]]&lt;1/1/1990,"",IF(Main[[#This Row],[Class]]="C",WORKDAY(Main[[#This Row],[Tech Start Date]],28),IF(Main[[#This Row],[Class]]="B", WORKDAY(Main[[#This Row],[Tech Start Date]],19),IF(Main[[#This Row],[Class]]="A",WORKDAY(Main[[#This Row],[Tech Start Date]],9),""))))</f>
        <v/>
      </c>
      <c r="Q937" s="67"/>
      <c r="R937" s="67"/>
      <c r="S937" s="65" t="s">
        <v>23</v>
      </c>
      <c r="T937" s="70" t="s">
        <v>4</v>
      </c>
      <c r="U937" s="65" t="s">
        <v>14</v>
      </c>
      <c r="V937" s="65" t="s">
        <v>1927</v>
      </c>
      <c r="W937" s="65" t="s">
        <v>1921</v>
      </c>
      <c r="X937" s="65" t="s">
        <v>417</v>
      </c>
      <c r="Y937" s="65" t="s">
        <v>3112</v>
      </c>
      <c r="Z937" s="65" t="s">
        <v>4</v>
      </c>
      <c r="AA937" s="65" t="s">
        <v>417</v>
      </c>
    </row>
    <row r="938" spans="1:27" ht="17.45" customHeight="1">
      <c r="A938" s="131" t="str">
        <f>IF(priority(Main[[#This Row],[Comments]])&lt;&gt;0, priority(Main[[#This Row],[Comments]]),"")</f>
        <v/>
      </c>
      <c r="B938" s="99" t="s">
        <v>3630</v>
      </c>
      <c r="C938" s="65" t="s">
        <v>3253</v>
      </c>
      <c r="D938" s="66" t="s">
        <v>3192</v>
      </c>
      <c r="E938" s="67">
        <v>40962.070138888892</v>
      </c>
      <c r="F938" s="67">
        <v>41105</v>
      </c>
      <c r="G938" s="64" t="str">
        <f>IF(stdProdLT(Main[[#This Row],[Comments]])=0.1,"N/A",IF(stdProdLT(Main[[#This Row],[Comments]])=0,"",stdProdLT(Main[[#This Row],[Comments]])))</f>
        <v/>
      </c>
      <c r="H938" s="68" t="str">
        <f>IF(AND(Main[[#This Row],[In Stock Date]]&lt;&gt;"",Main[[#This Row],[Revised Due Date]]&lt;&gt;""),Main[[#This Row],[In Stock Date]]-Main[[#This Row],[Revised Due Date]],"")</f>
        <v/>
      </c>
      <c r="I938" s="65" t="s">
        <v>4</v>
      </c>
      <c r="J938" s="65" t="s">
        <v>4</v>
      </c>
      <c r="K938" s="65" t="s">
        <v>4</v>
      </c>
      <c r="L938" s="67"/>
      <c r="M938" s="69" t="str">
        <f>IF(Main[[#This Row],[Tech Start Date]]&lt;1/1/1990,"",IF(Main[[#This Row],[Class]]="C",WORKDAY(Main[[#This Row],[Tech Start Date]],9),IF(Main[[#This Row],[Class]]="B", WORKDAY(Main[[#This Row],[Tech Start Date]],6),IF(Main[[#This Row],[Class]]="A",WORKDAY(Main[[#This Row],[Tech Start Date]],2),""))))</f>
        <v/>
      </c>
      <c r="N938" s="69" t="str">
        <f>IF(Main[[#This Row],[Tech Start Date]]&lt;1/1/1990,"",IF(Main[[#This Row],[Class]]="C",WORKDAY(Main[[#This Row],[Tech Start Date]],19),IF(Main[[#This Row],[Class]]="B", WORKDAY(Main[[#This Row],[Tech Start Date]],12),IF(Main[[#This Row],[Class]]="A",WORKDAY(Main[[#This Row],[Tech Start Date]],4),""))))</f>
        <v/>
      </c>
      <c r="O938" s="69" t="str">
        <f>IF(Main[[#This Row],[Tech Start Date]]&lt;1/1/1990,"",IF(Main[[#This Row],[Class]]="C",WORKDAY(Main[[#This Row],[Tech Start Date]],23),IF(Main[[#This Row],[Class]]="B", WORKDAY(Main[[#This Row],[Tech Start Date]],15),IF(Main[[#This Row],[Class]]="A",WORKDAY(Main[[#This Row],[Tech Start Date]],5),""))))</f>
        <v/>
      </c>
      <c r="P938" s="69" t="str">
        <f>IF(Main[[#This Row],[Tech Start Date]]&lt;1/1/1990,"",IF(Main[[#This Row],[Class]]="C",WORKDAY(Main[[#This Row],[Tech Start Date]],28),IF(Main[[#This Row],[Class]]="B", WORKDAY(Main[[#This Row],[Tech Start Date]],19),IF(Main[[#This Row],[Class]]="A",WORKDAY(Main[[#This Row],[Tech Start Date]],9),""))))</f>
        <v/>
      </c>
      <c r="Q938" s="67">
        <v>41105</v>
      </c>
      <c r="R938" s="67"/>
      <c r="S938" s="65" t="s">
        <v>11</v>
      </c>
      <c r="T938" s="70" t="s">
        <v>4</v>
      </c>
      <c r="U938" s="65" t="s">
        <v>7</v>
      </c>
      <c r="V938" s="65" t="s">
        <v>1920</v>
      </c>
      <c r="W938" s="65" t="s">
        <v>1928</v>
      </c>
      <c r="X938" s="65" t="s">
        <v>2852</v>
      </c>
      <c r="Y938" s="65" t="s">
        <v>3252</v>
      </c>
      <c r="Z938" s="65" t="s">
        <v>4</v>
      </c>
      <c r="AA938" s="65" t="s">
        <v>2852</v>
      </c>
    </row>
    <row r="939" spans="1:27" ht="17.45" customHeight="1">
      <c r="A939" s="131" t="str">
        <f>IF(priority(Main[[#This Row],[Comments]])&lt;&gt;0, priority(Main[[#This Row],[Comments]]),"")</f>
        <v/>
      </c>
      <c r="B939" s="99" t="s">
        <v>1098</v>
      </c>
      <c r="C939" s="65" t="s">
        <v>4</v>
      </c>
      <c r="D939" s="66" t="s">
        <v>145</v>
      </c>
      <c r="E939" s="67"/>
      <c r="F939" s="67"/>
      <c r="G939" s="64" t="str">
        <f>IF(stdProdLT(Main[[#This Row],[Comments]])=0.1,"N/A",IF(stdProdLT(Main[[#This Row],[Comments]])=0,"",stdProdLT(Main[[#This Row],[Comments]])))</f>
        <v/>
      </c>
      <c r="H939" s="68" t="str">
        <f>IF(AND(Main[[#This Row],[In Stock Date]]&lt;&gt;"",Main[[#This Row],[Revised Due Date]]&lt;&gt;""),Main[[#This Row],[In Stock Date]]-Main[[#This Row],[Revised Due Date]],"")</f>
        <v/>
      </c>
      <c r="I939" s="65" t="s">
        <v>4</v>
      </c>
      <c r="J939" s="65" t="s">
        <v>4</v>
      </c>
      <c r="K939" s="65" t="s">
        <v>4</v>
      </c>
      <c r="L939" s="67"/>
      <c r="M939" s="69" t="str">
        <f>IF(Main[[#This Row],[Tech Start Date]]&lt;1/1/1990,"",IF(Main[[#This Row],[Class]]="C",WORKDAY(Main[[#This Row],[Tech Start Date]],9),IF(Main[[#This Row],[Class]]="B", WORKDAY(Main[[#This Row],[Tech Start Date]],6),IF(Main[[#This Row],[Class]]="A",WORKDAY(Main[[#This Row],[Tech Start Date]],2),""))))</f>
        <v/>
      </c>
      <c r="N939" s="69" t="str">
        <f>IF(Main[[#This Row],[Tech Start Date]]&lt;1/1/1990,"",IF(Main[[#This Row],[Class]]="C",WORKDAY(Main[[#This Row],[Tech Start Date]],19),IF(Main[[#This Row],[Class]]="B", WORKDAY(Main[[#This Row],[Tech Start Date]],12),IF(Main[[#This Row],[Class]]="A",WORKDAY(Main[[#This Row],[Tech Start Date]],4),""))))</f>
        <v/>
      </c>
      <c r="O939" s="69" t="str">
        <f>IF(Main[[#This Row],[Tech Start Date]]&lt;1/1/1990,"",IF(Main[[#This Row],[Class]]="C",WORKDAY(Main[[#This Row],[Tech Start Date]],23),IF(Main[[#This Row],[Class]]="B", WORKDAY(Main[[#This Row],[Tech Start Date]],15),IF(Main[[#This Row],[Class]]="A",WORKDAY(Main[[#This Row],[Tech Start Date]],5),""))))</f>
        <v/>
      </c>
      <c r="P939" s="69" t="str">
        <f>IF(Main[[#This Row],[Tech Start Date]]&lt;1/1/1990,"",IF(Main[[#This Row],[Class]]="C",WORKDAY(Main[[#This Row],[Tech Start Date]],28),IF(Main[[#This Row],[Class]]="B", WORKDAY(Main[[#This Row],[Tech Start Date]],19),IF(Main[[#This Row],[Class]]="A",WORKDAY(Main[[#This Row],[Tech Start Date]],9),""))))</f>
        <v/>
      </c>
      <c r="Q939" s="67"/>
      <c r="R939" s="67"/>
      <c r="S939" s="65" t="s">
        <v>17</v>
      </c>
      <c r="T939" s="70" t="s">
        <v>4</v>
      </c>
      <c r="U939" s="65" t="s">
        <v>14</v>
      </c>
      <c r="V939" s="65" t="s">
        <v>1932</v>
      </c>
      <c r="W939" s="65" t="s">
        <v>1919</v>
      </c>
      <c r="X939" s="65" t="s">
        <v>2913</v>
      </c>
      <c r="Y939" s="65" t="s">
        <v>3111</v>
      </c>
      <c r="Z939" s="65" t="s">
        <v>4</v>
      </c>
      <c r="AA939" s="65" t="s">
        <v>2913</v>
      </c>
    </row>
    <row r="940" spans="1:27" ht="17.45" customHeight="1">
      <c r="A940" s="131" t="str">
        <f>IF(priority(Main[[#This Row],[Comments]])&lt;&gt;0, priority(Main[[#This Row],[Comments]]),"")</f>
        <v/>
      </c>
      <c r="B940" s="99" t="s">
        <v>1684</v>
      </c>
      <c r="C940" s="65" t="s">
        <v>37</v>
      </c>
      <c r="D940" s="66" t="s">
        <v>2397</v>
      </c>
      <c r="E940" s="67">
        <v>40682.483831018515</v>
      </c>
      <c r="F940" s="67"/>
      <c r="G940" s="64" t="str">
        <f>IF(stdProdLT(Main[[#This Row],[Comments]])=0.1,"N/A",IF(stdProdLT(Main[[#This Row],[Comments]])=0,"",stdProdLT(Main[[#This Row],[Comments]])))</f>
        <v/>
      </c>
      <c r="H940" s="68" t="str">
        <f>IF(AND(Main[[#This Row],[In Stock Date]]&lt;&gt;"",Main[[#This Row],[Revised Due Date]]&lt;&gt;""),Main[[#This Row],[In Stock Date]]-Main[[#This Row],[Revised Due Date]],"")</f>
        <v/>
      </c>
      <c r="I940" s="65" t="s">
        <v>4</v>
      </c>
      <c r="J940" s="65" t="s">
        <v>4</v>
      </c>
      <c r="K940" s="65" t="s">
        <v>4</v>
      </c>
      <c r="L940" s="67"/>
      <c r="M940" s="69" t="str">
        <f>IF(Main[[#This Row],[Tech Start Date]]&lt;1/1/1990,"",IF(Main[[#This Row],[Class]]="C",WORKDAY(Main[[#This Row],[Tech Start Date]],9),IF(Main[[#This Row],[Class]]="B", WORKDAY(Main[[#This Row],[Tech Start Date]],6),IF(Main[[#This Row],[Class]]="A",WORKDAY(Main[[#This Row],[Tech Start Date]],2),""))))</f>
        <v/>
      </c>
      <c r="N940" s="69" t="str">
        <f>IF(Main[[#This Row],[Tech Start Date]]&lt;1/1/1990,"",IF(Main[[#This Row],[Class]]="C",WORKDAY(Main[[#This Row],[Tech Start Date]],19),IF(Main[[#This Row],[Class]]="B", WORKDAY(Main[[#This Row],[Tech Start Date]],12),IF(Main[[#This Row],[Class]]="A",WORKDAY(Main[[#This Row],[Tech Start Date]],4),""))))</f>
        <v/>
      </c>
      <c r="O940" s="69" t="str">
        <f>IF(Main[[#This Row],[Tech Start Date]]&lt;1/1/1990,"",IF(Main[[#This Row],[Class]]="C",WORKDAY(Main[[#This Row],[Tech Start Date]],23),IF(Main[[#This Row],[Class]]="B", WORKDAY(Main[[#This Row],[Tech Start Date]],15),IF(Main[[#This Row],[Class]]="A",WORKDAY(Main[[#This Row],[Tech Start Date]],5),""))))</f>
        <v/>
      </c>
      <c r="P940" s="69" t="str">
        <f>IF(Main[[#This Row],[Tech Start Date]]&lt;1/1/1990,"",IF(Main[[#This Row],[Class]]="C",WORKDAY(Main[[#This Row],[Tech Start Date]],28),IF(Main[[#This Row],[Class]]="B", WORKDAY(Main[[#This Row],[Tech Start Date]],19),IF(Main[[#This Row],[Class]]="A",WORKDAY(Main[[#This Row],[Tech Start Date]],9),""))))</f>
        <v/>
      </c>
      <c r="Q940" s="67">
        <v>40700</v>
      </c>
      <c r="R940" s="67"/>
      <c r="S940" s="65" t="s">
        <v>6</v>
      </c>
      <c r="T940" s="70" t="s">
        <v>4</v>
      </c>
      <c r="U940" s="65" t="s">
        <v>534</v>
      </c>
      <c r="V940" s="65" t="s">
        <v>1917</v>
      </c>
      <c r="W940" s="65" t="s">
        <v>1928</v>
      </c>
      <c r="X940" s="65" t="s">
        <v>972</v>
      </c>
      <c r="Y940" s="65" t="s">
        <v>3103</v>
      </c>
      <c r="Z940" s="65" t="s">
        <v>4</v>
      </c>
      <c r="AA940" s="65" t="s">
        <v>972</v>
      </c>
    </row>
    <row r="941" spans="1:27" ht="17.45" customHeight="1">
      <c r="A941" s="131" t="str">
        <f>IF(priority(Main[[#This Row],[Comments]])&lt;&gt;0, priority(Main[[#This Row],[Comments]]),"")</f>
        <v/>
      </c>
      <c r="B941" s="99" t="s">
        <v>1753</v>
      </c>
      <c r="C941" s="65" t="s">
        <v>694</v>
      </c>
      <c r="D941" s="66" t="s">
        <v>695</v>
      </c>
      <c r="E941" s="67"/>
      <c r="F941" s="67"/>
      <c r="G941" s="64" t="str">
        <f>IF(stdProdLT(Main[[#This Row],[Comments]])=0.1,"N/A",IF(stdProdLT(Main[[#This Row],[Comments]])=0,"",stdProdLT(Main[[#This Row],[Comments]])))</f>
        <v/>
      </c>
      <c r="H941" s="68" t="str">
        <f>IF(AND(Main[[#This Row],[In Stock Date]]&lt;&gt;"",Main[[#This Row],[Revised Due Date]]&lt;&gt;""),Main[[#This Row],[In Stock Date]]-Main[[#This Row],[Revised Due Date]],"")</f>
        <v/>
      </c>
      <c r="I941" s="65" t="s">
        <v>4</v>
      </c>
      <c r="J941" s="65" t="s">
        <v>4</v>
      </c>
      <c r="K941" s="65" t="s">
        <v>4</v>
      </c>
      <c r="L941" s="67"/>
      <c r="M941" s="69" t="str">
        <f>IF(Main[[#This Row],[Tech Start Date]]&lt;1/1/1990,"",IF(Main[[#This Row],[Class]]="C",WORKDAY(Main[[#This Row],[Tech Start Date]],9),IF(Main[[#This Row],[Class]]="B", WORKDAY(Main[[#This Row],[Tech Start Date]],6),IF(Main[[#This Row],[Class]]="A",WORKDAY(Main[[#This Row],[Tech Start Date]],2),""))))</f>
        <v/>
      </c>
      <c r="N941" s="69" t="str">
        <f>IF(Main[[#This Row],[Tech Start Date]]&lt;1/1/1990,"",IF(Main[[#This Row],[Class]]="C",WORKDAY(Main[[#This Row],[Tech Start Date]],19),IF(Main[[#This Row],[Class]]="B", WORKDAY(Main[[#This Row],[Tech Start Date]],12),IF(Main[[#This Row],[Class]]="A",WORKDAY(Main[[#This Row],[Tech Start Date]],4),""))))</f>
        <v/>
      </c>
      <c r="O941" s="69" t="str">
        <f>IF(Main[[#This Row],[Tech Start Date]]&lt;1/1/1990,"",IF(Main[[#This Row],[Class]]="C",WORKDAY(Main[[#This Row],[Tech Start Date]],23),IF(Main[[#This Row],[Class]]="B", WORKDAY(Main[[#This Row],[Tech Start Date]],15),IF(Main[[#This Row],[Class]]="A",WORKDAY(Main[[#This Row],[Tech Start Date]],5),""))))</f>
        <v/>
      </c>
      <c r="P941" s="69" t="str">
        <f>IF(Main[[#This Row],[Tech Start Date]]&lt;1/1/1990,"",IF(Main[[#This Row],[Class]]="C",WORKDAY(Main[[#This Row],[Tech Start Date]],28),IF(Main[[#This Row],[Class]]="B", WORKDAY(Main[[#This Row],[Tech Start Date]],19),IF(Main[[#This Row],[Class]]="A",WORKDAY(Main[[#This Row],[Tech Start Date]],9),""))))</f>
        <v/>
      </c>
      <c r="Q941" s="67">
        <v>40672</v>
      </c>
      <c r="R941" s="67"/>
      <c r="S941" s="65" t="s">
        <v>11</v>
      </c>
      <c r="T941" s="70" t="s">
        <v>4</v>
      </c>
      <c r="U941" s="65" t="s">
        <v>12</v>
      </c>
      <c r="V941" s="65" t="s">
        <v>1917</v>
      </c>
      <c r="W941" s="65" t="s">
        <v>1919</v>
      </c>
      <c r="X941" s="65" t="s">
        <v>2914</v>
      </c>
      <c r="Y941" s="65" t="s">
        <v>4</v>
      </c>
      <c r="Z941" s="65" t="s">
        <v>4</v>
      </c>
      <c r="AA941" s="65" t="s">
        <v>2914</v>
      </c>
    </row>
    <row r="942" spans="1:27" ht="17.45" customHeight="1">
      <c r="A942" s="131" t="str">
        <f>IF(priority(Main[[#This Row],[Comments]])&lt;&gt;0, priority(Main[[#This Row],[Comments]]),"")</f>
        <v/>
      </c>
      <c r="B942" s="99" t="s">
        <v>1754</v>
      </c>
      <c r="C942" s="65" t="s">
        <v>4</v>
      </c>
      <c r="D942" s="66" t="s">
        <v>801</v>
      </c>
      <c r="E942" s="67"/>
      <c r="F942" s="67"/>
      <c r="G942" s="64" t="str">
        <f>IF(stdProdLT(Main[[#This Row],[Comments]])=0.1,"N/A",IF(stdProdLT(Main[[#This Row],[Comments]])=0,"",stdProdLT(Main[[#This Row],[Comments]])))</f>
        <v/>
      </c>
      <c r="H942" s="68" t="str">
        <f>IF(AND(Main[[#This Row],[In Stock Date]]&lt;&gt;"",Main[[#This Row],[Revised Due Date]]&lt;&gt;""),Main[[#This Row],[In Stock Date]]-Main[[#This Row],[Revised Due Date]],"")</f>
        <v/>
      </c>
      <c r="I942" s="65" t="s">
        <v>4</v>
      </c>
      <c r="J942" s="65" t="s">
        <v>28</v>
      </c>
      <c r="K942" s="65" t="s">
        <v>1926</v>
      </c>
      <c r="L942" s="67"/>
      <c r="M942" s="69" t="str">
        <f>IF(Main[[#This Row],[Tech Start Date]]&lt;1/1/1990,"",IF(Main[[#This Row],[Class]]="C",WORKDAY(Main[[#This Row],[Tech Start Date]],9),IF(Main[[#This Row],[Class]]="B", WORKDAY(Main[[#This Row],[Tech Start Date]],6),IF(Main[[#This Row],[Class]]="A",WORKDAY(Main[[#This Row],[Tech Start Date]],2),""))))</f>
        <v/>
      </c>
      <c r="N942" s="69" t="str">
        <f>IF(Main[[#This Row],[Tech Start Date]]&lt;1/1/1990,"",IF(Main[[#This Row],[Class]]="C",WORKDAY(Main[[#This Row],[Tech Start Date]],19),IF(Main[[#This Row],[Class]]="B", WORKDAY(Main[[#This Row],[Tech Start Date]],12),IF(Main[[#This Row],[Class]]="A",WORKDAY(Main[[#This Row],[Tech Start Date]],4),""))))</f>
        <v/>
      </c>
      <c r="O942" s="69" t="str">
        <f>IF(Main[[#This Row],[Tech Start Date]]&lt;1/1/1990,"",IF(Main[[#This Row],[Class]]="C",WORKDAY(Main[[#This Row],[Tech Start Date]],23),IF(Main[[#This Row],[Class]]="B", WORKDAY(Main[[#This Row],[Tech Start Date]],15),IF(Main[[#This Row],[Class]]="A",WORKDAY(Main[[#This Row],[Tech Start Date]],5),""))))</f>
        <v/>
      </c>
      <c r="P942" s="69" t="str">
        <f>IF(Main[[#This Row],[Tech Start Date]]&lt;1/1/1990,"",IF(Main[[#This Row],[Class]]="C",WORKDAY(Main[[#This Row],[Tech Start Date]],28),IF(Main[[#This Row],[Class]]="B", WORKDAY(Main[[#This Row],[Tech Start Date]],19),IF(Main[[#This Row],[Class]]="A",WORKDAY(Main[[#This Row],[Tech Start Date]],9),""))))</f>
        <v/>
      </c>
      <c r="Q942" s="67">
        <v>40672</v>
      </c>
      <c r="R942" s="67"/>
      <c r="S942" s="65" t="s">
        <v>6</v>
      </c>
      <c r="T942" s="70" t="s">
        <v>4</v>
      </c>
      <c r="U942" s="65" t="s">
        <v>14</v>
      </c>
      <c r="V942" s="65" t="s">
        <v>1920</v>
      </c>
      <c r="W942" s="65" t="s">
        <v>1919</v>
      </c>
      <c r="X942" s="65" t="s">
        <v>2828</v>
      </c>
      <c r="Y942" s="65" t="s">
        <v>2944</v>
      </c>
      <c r="Z942" s="65" t="s">
        <v>530</v>
      </c>
      <c r="AA942" s="65" t="s">
        <v>2828</v>
      </c>
    </row>
    <row r="943" spans="1:27" ht="17.45" customHeight="1">
      <c r="A943" s="131" t="str">
        <f>IF(priority(Main[[#This Row],[Comments]])&lt;&gt;0, priority(Main[[#This Row],[Comments]]),"")</f>
        <v/>
      </c>
      <c r="B943" s="99" t="s">
        <v>2712</v>
      </c>
      <c r="C943" s="65" t="s">
        <v>47</v>
      </c>
      <c r="D943" s="66" t="s">
        <v>3338</v>
      </c>
      <c r="E943" s="67">
        <v>40893.759675925925</v>
      </c>
      <c r="F943" s="67"/>
      <c r="G943" s="64" t="str">
        <f>IF(stdProdLT(Main[[#This Row],[Comments]])=0.1,"N/A",IF(stdProdLT(Main[[#This Row],[Comments]])=0,"",stdProdLT(Main[[#This Row],[Comments]])))</f>
        <v/>
      </c>
      <c r="H943" s="68" t="str">
        <f>IF(AND(Main[[#This Row],[In Stock Date]]&lt;&gt;"",Main[[#This Row],[Revised Due Date]]&lt;&gt;""),Main[[#This Row],[In Stock Date]]-Main[[#This Row],[Revised Due Date]],"")</f>
        <v/>
      </c>
      <c r="I943" s="65" t="s">
        <v>4</v>
      </c>
      <c r="J943" s="65" t="s">
        <v>4</v>
      </c>
      <c r="K943" s="65" t="s">
        <v>4</v>
      </c>
      <c r="L943" s="67"/>
      <c r="M943" s="69" t="str">
        <f>IF(Main[[#This Row],[Tech Start Date]]&lt;1/1/1990,"",IF(Main[[#This Row],[Class]]="C",WORKDAY(Main[[#This Row],[Tech Start Date]],9),IF(Main[[#This Row],[Class]]="B", WORKDAY(Main[[#This Row],[Tech Start Date]],6),IF(Main[[#This Row],[Class]]="A",WORKDAY(Main[[#This Row],[Tech Start Date]],2),""))))</f>
        <v/>
      </c>
      <c r="N943" s="69" t="str">
        <f>IF(Main[[#This Row],[Tech Start Date]]&lt;1/1/1990,"",IF(Main[[#This Row],[Class]]="C",WORKDAY(Main[[#This Row],[Tech Start Date]],19),IF(Main[[#This Row],[Class]]="B", WORKDAY(Main[[#This Row],[Tech Start Date]],12),IF(Main[[#This Row],[Class]]="A",WORKDAY(Main[[#This Row],[Tech Start Date]],4),""))))</f>
        <v/>
      </c>
      <c r="O943" s="69" t="str">
        <f>IF(Main[[#This Row],[Tech Start Date]]&lt;1/1/1990,"",IF(Main[[#This Row],[Class]]="C",WORKDAY(Main[[#This Row],[Tech Start Date]],23),IF(Main[[#This Row],[Class]]="B", WORKDAY(Main[[#This Row],[Tech Start Date]],15),IF(Main[[#This Row],[Class]]="A",WORKDAY(Main[[#This Row],[Tech Start Date]],5),""))))</f>
        <v/>
      </c>
      <c r="P943" s="69" t="str">
        <f>IF(Main[[#This Row],[Tech Start Date]]&lt;1/1/1990,"",IF(Main[[#This Row],[Class]]="C",WORKDAY(Main[[#This Row],[Tech Start Date]],28),IF(Main[[#This Row],[Class]]="B", WORKDAY(Main[[#This Row],[Tech Start Date]],19),IF(Main[[#This Row],[Class]]="A",WORKDAY(Main[[#This Row],[Tech Start Date]],9),""))))</f>
        <v/>
      </c>
      <c r="Q943" s="67">
        <v>40924</v>
      </c>
      <c r="R943" s="67"/>
      <c r="S943" s="65" t="s">
        <v>6</v>
      </c>
      <c r="T943" s="70" t="s">
        <v>4</v>
      </c>
      <c r="U943" s="65" t="s">
        <v>29</v>
      </c>
      <c r="V943" s="65" t="s">
        <v>2288</v>
      </c>
      <c r="W943" s="65" t="s">
        <v>4</v>
      </c>
      <c r="X943" s="65" t="s">
        <v>2871</v>
      </c>
      <c r="Y943" s="65" t="s">
        <v>3016</v>
      </c>
      <c r="Z943" s="65" t="s">
        <v>4</v>
      </c>
      <c r="AA943" s="65" t="s">
        <v>2871</v>
      </c>
    </row>
    <row r="944" spans="1:27" ht="17.45" customHeight="1">
      <c r="A944" s="131" t="str">
        <f>IF(priority(Main[[#This Row],[Comments]])&lt;&gt;0, priority(Main[[#This Row],[Comments]]),"")</f>
        <v/>
      </c>
      <c r="B944" s="99" t="s">
        <v>3339</v>
      </c>
      <c r="C944" s="65" t="s">
        <v>47</v>
      </c>
      <c r="D944" s="66" t="s">
        <v>3340</v>
      </c>
      <c r="E944" s="67">
        <v>40938.416261574072</v>
      </c>
      <c r="F944" s="67"/>
      <c r="G944" s="64" t="str">
        <f>IF(stdProdLT(Main[[#This Row],[Comments]])=0.1,"N/A",IF(stdProdLT(Main[[#This Row],[Comments]])=0,"",stdProdLT(Main[[#This Row],[Comments]])))</f>
        <v/>
      </c>
      <c r="H944" s="68" t="str">
        <f>IF(AND(Main[[#This Row],[In Stock Date]]&lt;&gt;"",Main[[#This Row],[Revised Due Date]]&lt;&gt;""),Main[[#This Row],[In Stock Date]]-Main[[#This Row],[Revised Due Date]],"")</f>
        <v/>
      </c>
      <c r="I944" s="65" t="s">
        <v>4</v>
      </c>
      <c r="J944" s="65" t="s">
        <v>4</v>
      </c>
      <c r="K944" s="65" t="s">
        <v>4</v>
      </c>
      <c r="L944" s="67"/>
      <c r="M944" s="69" t="str">
        <f>IF(Main[[#This Row],[Tech Start Date]]&lt;1/1/1990,"",IF(Main[[#This Row],[Class]]="C",WORKDAY(Main[[#This Row],[Tech Start Date]],9),IF(Main[[#This Row],[Class]]="B", WORKDAY(Main[[#This Row],[Tech Start Date]],6),IF(Main[[#This Row],[Class]]="A",WORKDAY(Main[[#This Row],[Tech Start Date]],2),""))))</f>
        <v/>
      </c>
      <c r="N944" s="69" t="str">
        <f>IF(Main[[#This Row],[Tech Start Date]]&lt;1/1/1990,"",IF(Main[[#This Row],[Class]]="C",WORKDAY(Main[[#This Row],[Tech Start Date]],19),IF(Main[[#This Row],[Class]]="B", WORKDAY(Main[[#This Row],[Tech Start Date]],12),IF(Main[[#This Row],[Class]]="A",WORKDAY(Main[[#This Row],[Tech Start Date]],4),""))))</f>
        <v/>
      </c>
      <c r="O944" s="69" t="str">
        <f>IF(Main[[#This Row],[Tech Start Date]]&lt;1/1/1990,"",IF(Main[[#This Row],[Class]]="C",WORKDAY(Main[[#This Row],[Tech Start Date]],23),IF(Main[[#This Row],[Class]]="B", WORKDAY(Main[[#This Row],[Tech Start Date]],15),IF(Main[[#This Row],[Class]]="A",WORKDAY(Main[[#This Row],[Tech Start Date]],5),""))))</f>
        <v/>
      </c>
      <c r="P944" s="69" t="str">
        <f>IF(Main[[#This Row],[Tech Start Date]]&lt;1/1/1990,"",IF(Main[[#This Row],[Class]]="C",WORKDAY(Main[[#This Row],[Tech Start Date]],28),IF(Main[[#This Row],[Class]]="B", WORKDAY(Main[[#This Row],[Tech Start Date]],19),IF(Main[[#This Row],[Class]]="A",WORKDAY(Main[[#This Row],[Tech Start Date]],9),""))))</f>
        <v/>
      </c>
      <c r="Q944" s="67">
        <v>40575</v>
      </c>
      <c r="R944" s="67"/>
      <c r="S944" s="65" t="s">
        <v>6</v>
      </c>
      <c r="T944" s="70" t="s">
        <v>4</v>
      </c>
      <c r="U944" s="65" t="s">
        <v>7</v>
      </c>
      <c r="V944" s="65" t="s">
        <v>2288</v>
      </c>
      <c r="W944" s="65" t="s">
        <v>4</v>
      </c>
      <c r="X944" s="65" t="s">
        <v>2871</v>
      </c>
      <c r="Y944" s="65" t="s">
        <v>3016</v>
      </c>
      <c r="Z944" s="65" t="s">
        <v>4</v>
      </c>
      <c r="AA944" s="65" t="s">
        <v>2871</v>
      </c>
    </row>
    <row r="945" spans="1:27" ht="17.45" customHeight="1">
      <c r="A945" s="131" t="str">
        <f>IF(priority(Main[[#This Row],[Comments]])&lt;&gt;0, priority(Main[[#This Row],[Comments]]),"")</f>
        <v/>
      </c>
      <c r="B945" s="99" t="s">
        <v>1755</v>
      </c>
      <c r="C945" s="65" t="s">
        <v>72</v>
      </c>
      <c r="D945" s="66" t="s">
        <v>802</v>
      </c>
      <c r="E945" s="67"/>
      <c r="F945" s="67"/>
      <c r="G945" s="64" t="str">
        <f>IF(stdProdLT(Main[[#This Row],[Comments]])=0.1,"N/A",IF(stdProdLT(Main[[#This Row],[Comments]])=0,"",stdProdLT(Main[[#This Row],[Comments]])))</f>
        <v/>
      </c>
      <c r="H945" s="68" t="str">
        <f>IF(AND(Main[[#This Row],[In Stock Date]]&lt;&gt;"",Main[[#This Row],[Revised Due Date]]&lt;&gt;""),Main[[#This Row],[In Stock Date]]-Main[[#This Row],[Revised Due Date]],"")</f>
        <v/>
      </c>
      <c r="I945" s="65" t="s">
        <v>4</v>
      </c>
      <c r="J945" s="65" t="s">
        <v>52</v>
      </c>
      <c r="K945" s="65" t="s">
        <v>4</v>
      </c>
      <c r="L945" s="67"/>
      <c r="M945" s="69" t="str">
        <f>IF(Main[[#This Row],[Tech Start Date]]&lt;1/1/1990,"",IF(Main[[#This Row],[Class]]="C",WORKDAY(Main[[#This Row],[Tech Start Date]],9),IF(Main[[#This Row],[Class]]="B", WORKDAY(Main[[#This Row],[Tech Start Date]],6),IF(Main[[#This Row],[Class]]="A",WORKDAY(Main[[#This Row],[Tech Start Date]],2),""))))</f>
        <v/>
      </c>
      <c r="N945" s="69" t="str">
        <f>IF(Main[[#This Row],[Tech Start Date]]&lt;1/1/1990,"",IF(Main[[#This Row],[Class]]="C",WORKDAY(Main[[#This Row],[Tech Start Date]],19),IF(Main[[#This Row],[Class]]="B", WORKDAY(Main[[#This Row],[Tech Start Date]],12),IF(Main[[#This Row],[Class]]="A",WORKDAY(Main[[#This Row],[Tech Start Date]],4),""))))</f>
        <v/>
      </c>
      <c r="O945" s="69" t="str">
        <f>IF(Main[[#This Row],[Tech Start Date]]&lt;1/1/1990,"",IF(Main[[#This Row],[Class]]="C",WORKDAY(Main[[#This Row],[Tech Start Date]],23),IF(Main[[#This Row],[Class]]="B", WORKDAY(Main[[#This Row],[Tech Start Date]],15),IF(Main[[#This Row],[Class]]="A",WORKDAY(Main[[#This Row],[Tech Start Date]],5),""))))</f>
        <v/>
      </c>
      <c r="P945" s="69" t="str">
        <f>IF(Main[[#This Row],[Tech Start Date]]&lt;1/1/1990,"",IF(Main[[#This Row],[Class]]="C",WORKDAY(Main[[#This Row],[Tech Start Date]],28),IF(Main[[#This Row],[Class]]="B", WORKDAY(Main[[#This Row],[Tech Start Date]],19),IF(Main[[#This Row],[Class]]="A",WORKDAY(Main[[#This Row],[Tech Start Date]],9),""))))</f>
        <v/>
      </c>
      <c r="Q945" s="67">
        <v>40482</v>
      </c>
      <c r="R945" s="67"/>
      <c r="S945" s="65" t="s">
        <v>11</v>
      </c>
      <c r="T945" s="70" t="s">
        <v>4</v>
      </c>
      <c r="U945" s="65" t="s">
        <v>14</v>
      </c>
      <c r="V945" s="65" t="s">
        <v>1920</v>
      </c>
      <c r="W945" s="65" t="s">
        <v>1925</v>
      </c>
      <c r="X945" s="65" t="s">
        <v>2907</v>
      </c>
      <c r="Y945" s="65" t="s">
        <v>2984</v>
      </c>
      <c r="Z945" s="65" t="s">
        <v>2054</v>
      </c>
      <c r="AA945" s="65" t="s">
        <v>2853</v>
      </c>
    </row>
    <row r="946" spans="1:27" ht="17.45" customHeight="1">
      <c r="A946" s="131" t="str">
        <f>IF(priority(Main[[#This Row],[Comments]])&lt;&gt;0, priority(Main[[#This Row],[Comments]]),"")</f>
        <v/>
      </c>
      <c r="B946" s="99" t="s">
        <v>1756</v>
      </c>
      <c r="C946" s="65" t="s">
        <v>4</v>
      </c>
      <c r="D946" s="66" t="s">
        <v>803</v>
      </c>
      <c r="E946" s="67"/>
      <c r="F946" s="67"/>
      <c r="G946" s="64" t="str">
        <f>IF(stdProdLT(Main[[#This Row],[Comments]])=0.1,"N/A",IF(stdProdLT(Main[[#This Row],[Comments]])=0,"",stdProdLT(Main[[#This Row],[Comments]])))</f>
        <v/>
      </c>
      <c r="H946" s="68" t="str">
        <f>IF(AND(Main[[#This Row],[In Stock Date]]&lt;&gt;"",Main[[#This Row],[Revised Due Date]]&lt;&gt;""),Main[[#This Row],[In Stock Date]]-Main[[#This Row],[Revised Due Date]],"")</f>
        <v/>
      </c>
      <c r="I946" s="65" t="s">
        <v>399</v>
      </c>
      <c r="J946" s="65" t="s">
        <v>4</v>
      </c>
      <c r="K946" s="71" t="s">
        <v>4</v>
      </c>
      <c r="L946" s="67"/>
      <c r="M946" s="69" t="str">
        <f>IF(Main[[#This Row],[Tech Start Date]]&lt;1/1/1990,"",IF(Main[[#This Row],[Class]]="C",WORKDAY(Main[[#This Row],[Tech Start Date]],9),IF(Main[[#This Row],[Class]]="B", WORKDAY(Main[[#This Row],[Tech Start Date]],6),IF(Main[[#This Row],[Class]]="A",WORKDAY(Main[[#This Row],[Tech Start Date]],2),""))))</f>
        <v/>
      </c>
      <c r="N946" s="69" t="str">
        <f>IF(Main[[#This Row],[Tech Start Date]]&lt;1/1/1990,"",IF(Main[[#This Row],[Class]]="C",WORKDAY(Main[[#This Row],[Tech Start Date]],19),IF(Main[[#This Row],[Class]]="B", WORKDAY(Main[[#This Row],[Tech Start Date]],12),IF(Main[[#This Row],[Class]]="A",WORKDAY(Main[[#This Row],[Tech Start Date]],4),""))))</f>
        <v/>
      </c>
      <c r="O946" s="69" t="str">
        <f>IF(Main[[#This Row],[Tech Start Date]]&lt;1/1/1990,"",IF(Main[[#This Row],[Class]]="C",WORKDAY(Main[[#This Row],[Tech Start Date]],23),IF(Main[[#This Row],[Class]]="B", WORKDAY(Main[[#This Row],[Tech Start Date]],15),IF(Main[[#This Row],[Class]]="A",WORKDAY(Main[[#This Row],[Tech Start Date]],5),""))))</f>
        <v/>
      </c>
      <c r="P946" s="69" t="str">
        <f>IF(Main[[#This Row],[Tech Start Date]]&lt;1/1/1990,"",IF(Main[[#This Row],[Class]]="C",WORKDAY(Main[[#This Row],[Tech Start Date]],28),IF(Main[[#This Row],[Class]]="B", WORKDAY(Main[[#This Row],[Tech Start Date]],19),IF(Main[[#This Row],[Class]]="A",WORKDAY(Main[[#This Row],[Tech Start Date]],9),""))))</f>
        <v/>
      </c>
      <c r="Q946" s="67">
        <v>40359</v>
      </c>
      <c r="R946" s="67"/>
      <c r="S946" s="65" t="s">
        <v>11</v>
      </c>
      <c r="T946" s="70" t="s">
        <v>4</v>
      </c>
      <c r="U946" s="65" t="s">
        <v>14</v>
      </c>
      <c r="V946" s="65" t="s">
        <v>1920</v>
      </c>
      <c r="W946" s="65" t="s">
        <v>1923</v>
      </c>
      <c r="X946" s="65" t="s">
        <v>2887</v>
      </c>
      <c r="Y946" s="65" t="s">
        <v>3036</v>
      </c>
      <c r="Z946" s="65" t="s">
        <v>306</v>
      </c>
      <c r="AA946" s="65" t="s">
        <v>2887</v>
      </c>
    </row>
    <row r="947" spans="1:27" ht="17.45" customHeight="1">
      <c r="A947" s="131" t="str">
        <f>IF(priority(Main[[#This Row],[Comments]])&lt;&gt;0, priority(Main[[#This Row],[Comments]]),"")</f>
        <v/>
      </c>
      <c r="B947" s="99" t="s">
        <v>1757</v>
      </c>
      <c r="C947" s="65" t="s">
        <v>42</v>
      </c>
      <c r="D947" s="66" t="s">
        <v>804</v>
      </c>
      <c r="E947" s="67">
        <v>39932.448611111111</v>
      </c>
      <c r="F947" s="67"/>
      <c r="G947" s="64" t="str">
        <f>IF(stdProdLT(Main[[#This Row],[Comments]])=0.1,"N/A",IF(stdProdLT(Main[[#This Row],[Comments]])=0,"",stdProdLT(Main[[#This Row],[Comments]])))</f>
        <v/>
      </c>
      <c r="H947" s="68" t="str">
        <f>IF(AND(Main[[#This Row],[In Stock Date]]&lt;&gt;"",Main[[#This Row],[Revised Due Date]]&lt;&gt;""),Main[[#This Row],[In Stock Date]]-Main[[#This Row],[Revised Due Date]],"")</f>
        <v/>
      </c>
      <c r="I947" s="65" t="s">
        <v>4</v>
      </c>
      <c r="J947" s="65" t="s">
        <v>4</v>
      </c>
      <c r="K947" s="71" t="s">
        <v>4</v>
      </c>
      <c r="L947" s="67"/>
      <c r="M947" s="69" t="str">
        <f>IF(Main[[#This Row],[Tech Start Date]]&lt;1/1/1990,"",IF(Main[[#This Row],[Class]]="C",WORKDAY(Main[[#This Row],[Tech Start Date]],9),IF(Main[[#This Row],[Class]]="B", WORKDAY(Main[[#This Row],[Tech Start Date]],6),IF(Main[[#This Row],[Class]]="A",WORKDAY(Main[[#This Row],[Tech Start Date]],2),""))))</f>
        <v/>
      </c>
      <c r="N947" s="69" t="str">
        <f>IF(Main[[#This Row],[Tech Start Date]]&lt;1/1/1990,"",IF(Main[[#This Row],[Class]]="C",WORKDAY(Main[[#This Row],[Tech Start Date]],19),IF(Main[[#This Row],[Class]]="B", WORKDAY(Main[[#This Row],[Tech Start Date]],12),IF(Main[[#This Row],[Class]]="A",WORKDAY(Main[[#This Row],[Tech Start Date]],4),""))))</f>
        <v/>
      </c>
      <c r="O947" s="69" t="str">
        <f>IF(Main[[#This Row],[Tech Start Date]]&lt;1/1/1990,"",IF(Main[[#This Row],[Class]]="C",WORKDAY(Main[[#This Row],[Tech Start Date]],23),IF(Main[[#This Row],[Class]]="B", WORKDAY(Main[[#This Row],[Tech Start Date]],15),IF(Main[[#This Row],[Class]]="A",WORKDAY(Main[[#This Row],[Tech Start Date]],5),""))))</f>
        <v/>
      </c>
      <c r="P947" s="69" t="str">
        <f>IF(Main[[#This Row],[Tech Start Date]]&lt;1/1/1990,"",IF(Main[[#This Row],[Class]]="C",WORKDAY(Main[[#This Row],[Tech Start Date]],28),IF(Main[[#This Row],[Class]]="B", WORKDAY(Main[[#This Row],[Tech Start Date]],19),IF(Main[[#This Row],[Class]]="A",WORKDAY(Main[[#This Row],[Tech Start Date]],9),""))))</f>
        <v/>
      </c>
      <c r="Q947" s="67"/>
      <c r="R947" s="67"/>
      <c r="S947" s="65" t="s">
        <v>17</v>
      </c>
      <c r="T947" s="70" t="s">
        <v>4</v>
      </c>
      <c r="U947" s="65" t="s">
        <v>7</v>
      </c>
      <c r="V947" s="65" t="s">
        <v>1920</v>
      </c>
      <c r="W947" s="65" t="s">
        <v>4</v>
      </c>
      <c r="X947" s="65" t="s">
        <v>399</v>
      </c>
      <c r="Y947" s="65" t="s">
        <v>4</v>
      </c>
      <c r="Z947" s="65" t="s">
        <v>4</v>
      </c>
      <c r="AA947" s="65" t="s">
        <v>4</v>
      </c>
    </row>
    <row r="948" spans="1:27" ht="17.45" customHeight="1">
      <c r="A948" s="131" t="str">
        <f>IF(priority(Main[[#This Row],[Comments]])&lt;&gt;0, priority(Main[[#This Row],[Comments]]),"")</f>
        <v/>
      </c>
      <c r="B948" s="99" t="s">
        <v>1716</v>
      </c>
      <c r="C948" s="65" t="s">
        <v>4</v>
      </c>
      <c r="D948" s="66" t="s">
        <v>766</v>
      </c>
      <c r="E948" s="67"/>
      <c r="F948" s="67"/>
      <c r="G948" s="64" t="str">
        <f>IF(stdProdLT(Main[[#This Row],[Comments]])=0.1,"N/A",IF(stdProdLT(Main[[#This Row],[Comments]])=0,"",stdProdLT(Main[[#This Row],[Comments]])))</f>
        <v/>
      </c>
      <c r="H948" s="68" t="str">
        <f>IF(AND(Main[[#This Row],[In Stock Date]]&lt;&gt;"",Main[[#This Row],[Revised Due Date]]&lt;&gt;""),Main[[#This Row],[In Stock Date]]-Main[[#This Row],[Revised Due Date]],"")</f>
        <v/>
      </c>
      <c r="I948" s="65" t="s">
        <v>399</v>
      </c>
      <c r="J948" s="65" t="s">
        <v>75</v>
      </c>
      <c r="K948" s="65" t="s">
        <v>4</v>
      </c>
      <c r="L948" s="67"/>
      <c r="M948" s="69" t="str">
        <f>IF(Main[[#This Row],[Tech Start Date]]&lt;1/1/1990,"",IF(Main[[#This Row],[Class]]="C",WORKDAY(Main[[#This Row],[Tech Start Date]],9),IF(Main[[#This Row],[Class]]="B", WORKDAY(Main[[#This Row],[Tech Start Date]],6),IF(Main[[#This Row],[Class]]="A",WORKDAY(Main[[#This Row],[Tech Start Date]],2),""))))</f>
        <v/>
      </c>
      <c r="N948" s="69" t="str">
        <f>IF(Main[[#This Row],[Tech Start Date]]&lt;1/1/1990,"",IF(Main[[#This Row],[Class]]="C",WORKDAY(Main[[#This Row],[Tech Start Date]],19),IF(Main[[#This Row],[Class]]="B", WORKDAY(Main[[#This Row],[Tech Start Date]],12),IF(Main[[#This Row],[Class]]="A",WORKDAY(Main[[#This Row],[Tech Start Date]],4),""))))</f>
        <v/>
      </c>
      <c r="O948" s="69" t="str">
        <f>IF(Main[[#This Row],[Tech Start Date]]&lt;1/1/1990,"",IF(Main[[#This Row],[Class]]="C",WORKDAY(Main[[#This Row],[Tech Start Date]],23),IF(Main[[#This Row],[Class]]="B", WORKDAY(Main[[#This Row],[Tech Start Date]],15),IF(Main[[#This Row],[Class]]="A",WORKDAY(Main[[#This Row],[Tech Start Date]],5),""))))</f>
        <v/>
      </c>
      <c r="P948" s="69" t="str">
        <f>IF(Main[[#This Row],[Tech Start Date]]&lt;1/1/1990,"",IF(Main[[#This Row],[Class]]="C",WORKDAY(Main[[#This Row],[Tech Start Date]],28),IF(Main[[#This Row],[Class]]="B", WORKDAY(Main[[#This Row],[Tech Start Date]],19),IF(Main[[#This Row],[Class]]="A",WORKDAY(Main[[#This Row],[Tech Start Date]],9),""))))</f>
        <v/>
      </c>
      <c r="Q948" s="67">
        <v>40401</v>
      </c>
      <c r="R948" s="67"/>
      <c r="S948" s="65" t="s">
        <v>6</v>
      </c>
      <c r="T948" s="70" t="s">
        <v>4</v>
      </c>
      <c r="U948" s="65" t="s">
        <v>14</v>
      </c>
      <c r="V948" s="65" t="s">
        <v>1920</v>
      </c>
      <c r="W948" s="65" t="s">
        <v>1921</v>
      </c>
      <c r="X948" s="65" t="s">
        <v>399</v>
      </c>
      <c r="Y948" s="65" t="s">
        <v>4</v>
      </c>
      <c r="Z948" s="65" t="s">
        <v>306</v>
      </c>
      <c r="AA948" s="65" t="s">
        <v>4</v>
      </c>
    </row>
    <row r="949" spans="1:27" ht="17.45" customHeight="1">
      <c r="A949" s="131" t="str">
        <f>IF(priority(Main[[#This Row],[Comments]])&lt;&gt;0, priority(Main[[#This Row],[Comments]]),"")</f>
        <v/>
      </c>
      <c r="B949" s="99" t="s">
        <v>1717</v>
      </c>
      <c r="C949" s="65" t="s">
        <v>4</v>
      </c>
      <c r="D949" s="66" t="s">
        <v>768</v>
      </c>
      <c r="E949" s="67">
        <v>40647.40420138889</v>
      </c>
      <c r="F949" s="67"/>
      <c r="G949" s="64" t="str">
        <f>IF(stdProdLT(Main[[#This Row],[Comments]])=0.1,"N/A",IF(stdProdLT(Main[[#This Row],[Comments]])=0,"",stdProdLT(Main[[#This Row],[Comments]])))</f>
        <v/>
      </c>
      <c r="H949" s="68" t="str">
        <f>IF(AND(Main[[#This Row],[In Stock Date]]&lt;&gt;"",Main[[#This Row],[Revised Due Date]]&lt;&gt;""),Main[[#This Row],[In Stock Date]]-Main[[#This Row],[Revised Due Date]],"")</f>
        <v/>
      </c>
      <c r="I949" s="65" t="s">
        <v>4</v>
      </c>
      <c r="J949" s="65" t="s">
        <v>4</v>
      </c>
      <c r="K949" s="65" t="s">
        <v>4</v>
      </c>
      <c r="L949" s="67"/>
      <c r="M949" s="69" t="str">
        <f>IF(Main[[#This Row],[Tech Start Date]]&lt;1/1/1990,"",IF(Main[[#This Row],[Class]]="C",WORKDAY(Main[[#This Row],[Tech Start Date]],9),IF(Main[[#This Row],[Class]]="B", WORKDAY(Main[[#This Row],[Tech Start Date]],6),IF(Main[[#This Row],[Class]]="A",WORKDAY(Main[[#This Row],[Tech Start Date]],2),""))))</f>
        <v/>
      </c>
      <c r="N949" s="69" t="str">
        <f>IF(Main[[#This Row],[Tech Start Date]]&lt;1/1/1990,"",IF(Main[[#This Row],[Class]]="C",WORKDAY(Main[[#This Row],[Tech Start Date]],19),IF(Main[[#This Row],[Class]]="B", WORKDAY(Main[[#This Row],[Tech Start Date]],12),IF(Main[[#This Row],[Class]]="A",WORKDAY(Main[[#This Row],[Tech Start Date]],4),""))))</f>
        <v/>
      </c>
      <c r="O949" s="69" t="str">
        <f>IF(Main[[#This Row],[Tech Start Date]]&lt;1/1/1990,"",IF(Main[[#This Row],[Class]]="C",WORKDAY(Main[[#This Row],[Tech Start Date]],23),IF(Main[[#This Row],[Class]]="B", WORKDAY(Main[[#This Row],[Tech Start Date]],15),IF(Main[[#This Row],[Class]]="A",WORKDAY(Main[[#This Row],[Tech Start Date]],5),""))))</f>
        <v/>
      </c>
      <c r="P949" s="69" t="str">
        <f>IF(Main[[#This Row],[Tech Start Date]]&lt;1/1/1990,"",IF(Main[[#This Row],[Class]]="C",WORKDAY(Main[[#This Row],[Tech Start Date]],28),IF(Main[[#This Row],[Class]]="B", WORKDAY(Main[[#This Row],[Tech Start Date]],19),IF(Main[[#This Row],[Class]]="A",WORKDAY(Main[[#This Row],[Tech Start Date]],9),""))))</f>
        <v/>
      </c>
      <c r="Q949" s="67">
        <v>40676</v>
      </c>
      <c r="R949" s="67"/>
      <c r="S949" s="65" t="s">
        <v>6</v>
      </c>
      <c r="T949" s="70" t="s">
        <v>4</v>
      </c>
      <c r="U949" s="65" t="s">
        <v>7</v>
      </c>
      <c r="V949" s="65" t="s">
        <v>1917</v>
      </c>
      <c r="W949" s="65" t="s">
        <v>4</v>
      </c>
      <c r="X949" s="65" t="s">
        <v>2828</v>
      </c>
      <c r="Y949" s="65" t="s">
        <v>2944</v>
      </c>
      <c r="Z949" s="65" t="s">
        <v>4</v>
      </c>
      <c r="AA949" s="65" t="s">
        <v>2828</v>
      </c>
    </row>
    <row r="950" spans="1:27" ht="17.45" customHeight="1">
      <c r="A950" s="131" t="str">
        <f>IF(priority(Main[[#This Row],[Comments]])&lt;&gt;0, priority(Main[[#This Row],[Comments]]),"")</f>
        <v/>
      </c>
      <c r="B950" s="99" t="s">
        <v>1828</v>
      </c>
      <c r="C950" s="65" t="s">
        <v>47</v>
      </c>
      <c r="D950" s="66" t="s">
        <v>878</v>
      </c>
      <c r="E950" s="67">
        <v>39937.613564814812</v>
      </c>
      <c r="F950" s="67"/>
      <c r="G950" s="64" t="str">
        <f>IF(stdProdLT(Main[[#This Row],[Comments]])=0.1,"N/A",IF(stdProdLT(Main[[#This Row],[Comments]])=0,"",stdProdLT(Main[[#This Row],[Comments]])))</f>
        <v/>
      </c>
      <c r="H950" s="68" t="str">
        <f>IF(AND(Main[[#This Row],[In Stock Date]]&lt;&gt;"",Main[[#This Row],[Revised Due Date]]&lt;&gt;""),Main[[#This Row],[In Stock Date]]-Main[[#This Row],[Revised Due Date]],"")</f>
        <v/>
      </c>
      <c r="I950" s="65" t="s">
        <v>879</v>
      </c>
      <c r="J950" s="65" t="s">
        <v>4</v>
      </c>
      <c r="K950" s="65" t="s">
        <v>1929</v>
      </c>
      <c r="L950" s="67"/>
      <c r="M950" s="69" t="str">
        <f>IF(Main[[#This Row],[Tech Start Date]]&lt;1/1/1990,"",IF(Main[[#This Row],[Class]]="C",WORKDAY(Main[[#This Row],[Tech Start Date]],9),IF(Main[[#This Row],[Class]]="B", WORKDAY(Main[[#This Row],[Tech Start Date]],6),IF(Main[[#This Row],[Class]]="A",WORKDAY(Main[[#This Row],[Tech Start Date]],2),""))))</f>
        <v/>
      </c>
      <c r="N950" s="69" t="str">
        <f>IF(Main[[#This Row],[Tech Start Date]]&lt;1/1/1990,"",IF(Main[[#This Row],[Class]]="C",WORKDAY(Main[[#This Row],[Tech Start Date]],19),IF(Main[[#This Row],[Class]]="B", WORKDAY(Main[[#This Row],[Tech Start Date]],12),IF(Main[[#This Row],[Class]]="A",WORKDAY(Main[[#This Row],[Tech Start Date]],4),""))))</f>
        <v/>
      </c>
      <c r="O950" s="69" t="str">
        <f>IF(Main[[#This Row],[Tech Start Date]]&lt;1/1/1990,"",IF(Main[[#This Row],[Class]]="C",WORKDAY(Main[[#This Row],[Tech Start Date]],23),IF(Main[[#This Row],[Class]]="B", WORKDAY(Main[[#This Row],[Tech Start Date]],15),IF(Main[[#This Row],[Class]]="A",WORKDAY(Main[[#This Row],[Tech Start Date]],5),""))))</f>
        <v/>
      </c>
      <c r="P950" s="69" t="str">
        <f>IF(Main[[#This Row],[Tech Start Date]]&lt;1/1/1990,"",IF(Main[[#This Row],[Class]]="C",WORKDAY(Main[[#This Row],[Tech Start Date]],28),IF(Main[[#This Row],[Class]]="B", WORKDAY(Main[[#This Row],[Tech Start Date]],19),IF(Main[[#This Row],[Class]]="A",WORKDAY(Main[[#This Row],[Tech Start Date]],9),""))))</f>
        <v/>
      </c>
      <c r="Q950" s="67">
        <v>40267</v>
      </c>
      <c r="R950" s="67">
        <v>40359</v>
      </c>
      <c r="S950" s="65" t="s">
        <v>17</v>
      </c>
      <c r="T950" s="70" t="s">
        <v>4</v>
      </c>
      <c r="U950" s="65" t="s">
        <v>29</v>
      </c>
      <c r="V950" s="65" t="s">
        <v>1917</v>
      </c>
      <c r="W950" s="65" t="s">
        <v>1921</v>
      </c>
      <c r="X950" s="65" t="s">
        <v>306</v>
      </c>
      <c r="Y950" s="65" t="s">
        <v>2947</v>
      </c>
      <c r="Z950" s="65" t="s">
        <v>4</v>
      </c>
      <c r="AA950" s="65" t="s">
        <v>3388</v>
      </c>
    </row>
    <row r="951" spans="1:27" ht="17.45" customHeight="1">
      <c r="A951" s="131" t="str">
        <f>IF(priority(Main[[#This Row],[Comments]])&lt;&gt;0, priority(Main[[#This Row],[Comments]]),"")</f>
        <v/>
      </c>
      <c r="B951" s="99" t="s">
        <v>1718</v>
      </c>
      <c r="C951" s="65" t="s">
        <v>4</v>
      </c>
      <c r="D951" s="66" t="s">
        <v>509</v>
      </c>
      <c r="E951" s="67"/>
      <c r="F951" s="67"/>
      <c r="G951" s="64" t="str">
        <f>IF(stdProdLT(Main[[#This Row],[Comments]])=0.1,"N/A",IF(stdProdLT(Main[[#This Row],[Comments]])=0,"",stdProdLT(Main[[#This Row],[Comments]])))</f>
        <v/>
      </c>
      <c r="H951" s="68" t="str">
        <f>IF(AND(Main[[#This Row],[In Stock Date]]&lt;&gt;"",Main[[#This Row],[Revised Due Date]]&lt;&gt;""),Main[[#This Row],[In Stock Date]]-Main[[#This Row],[Revised Due Date]],"")</f>
        <v/>
      </c>
      <c r="I951" s="65" t="s">
        <v>4</v>
      </c>
      <c r="J951" s="65" t="s">
        <v>4</v>
      </c>
      <c r="K951" s="65" t="s">
        <v>4</v>
      </c>
      <c r="L951" s="67"/>
      <c r="M951" s="69" t="str">
        <f>IF(Main[[#This Row],[Tech Start Date]]&lt;1/1/1990,"",IF(Main[[#This Row],[Class]]="C",WORKDAY(Main[[#This Row],[Tech Start Date]],9),IF(Main[[#This Row],[Class]]="B", WORKDAY(Main[[#This Row],[Tech Start Date]],6),IF(Main[[#This Row],[Class]]="A",WORKDAY(Main[[#This Row],[Tech Start Date]],2),""))))</f>
        <v/>
      </c>
      <c r="N951" s="69" t="str">
        <f>IF(Main[[#This Row],[Tech Start Date]]&lt;1/1/1990,"",IF(Main[[#This Row],[Class]]="C",WORKDAY(Main[[#This Row],[Tech Start Date]],19),IF(Main[[#This Row],[Class]]="B", WORKDAY(Main[[#This Row],[Tech Start Date]],12),IF(Main[[#This Row],[Class]]="A",WORKDAY(Main[[#This Row],[Tech Start Date]],4),""))))</f>
        <v/>
      </c>
      <c r="O951" s="69" t="str">
        <f>IF(Main[[#This Row],[Tech Start Date]]&lt;1/1/1990,"",IF(Main[[#This Row],[Class]]="C",WORKDAY(Main[[#This Row],[Tech Start Date]],23),IF(Main[[#This Row],[Class]]="B", WORKDAY(Main[[#This Row],[Tech Start Date]],15),IF(Main[[#This Row],[Class]]="A",WORKDAY(Main[[#This Row],[Tech Start Date]],5),""))))</f>
        <v/>
      </c>
      <c r="P951" s="69" t="str">
        <f>IF(Main[[#This Row],[Tech Start Date]]&lt;1/1/1990,"",IF(Main[[#This Row],[Class]]="C",WORKDAY(Main[[#This Row],[Tech Start Date]],28),IF(Main[[#This Row],[Class]]="B", WORKDAY(Main[[#This Row],[Tech Start Date]],19),IF(Main[[#This Row],[Class]]="A",WORKDAY(Main[[#This Row],[Tech Start Date]],9),""))))</f>
        <v/>
      </c>
      <c r="Q951" s="67"/>
      <c r="R951" s="67"/>
      <c r="S951" s="65" t="s">
        <v>4</v>
      </c>
      <c r="T951" s="70" t="s">
        <v>4</v>
      </c>
      <c r="U951" s="65" t="s">
        <v>14</v>
      </c>
      <c r="V951" s="65" t="s">
        <v>1920</v>
      </c>
      <c r="W951" s="65" t="s">
        <v>4</v>
      </c>
      <c r="X951" s="65" t="s">
        <v>2884</v>
      </c>
      <c r="Y951" s="65" t="s">
        <v>3032</v>
      </c>
      <c r="Z951" s="65" t="s">
        <v>4</v>
      </c>
      <c r="AA951" s="65" t="s">
        <v>2884</v>
      </c>
    </row>
    <row r="952" spans="1:27" ht="17.45" customHeight="1">
      <c r="A952" s="131" t="str">
        <f>IF(priority(Main[[#This Row],[Comments]])&lt;&gt;0, priority(Main[[#This Row],[Comments]]),"")</f>
        <v/>
      </c>
      <c r="B952" s="99" t="s">
        <v>1719</v>
      </c>
      <c r="C952" s="65" t="s">
        <v>277</v>
      </c>
      <c r="D952" s="66" t="s">
        <v>772</v>
      </c>
      <c r="E952" s="67"/>
      <c r="F952" s="67">
        <v>40602</v>
      </c>
      <c r="G952" s="64" t="str">
        <f>IF(stdProdLT(Main[[#This Row],[Comments]])=0.1,"N/A",IF(stdProdLT(Main[[#This Row],[Comments]])=0,"",stdProdLT(Main[[#This Row],[Comments]])))</f>
        <v/>
      </c>
      <c r="H952" s="68" t="str">
        <f>IF(AND(Main[[#This Row],[In Stock Date]]&lt;&gt;"",Main[[#This Row],[Revised Due Date]]&lt;&gt;""),Main[[#This Row],[In Stock Date]]-Main[[#This Row],[Revised Due Date]],"")</f>
        <v/>
      </c>
      <c r="I952" s="65" t="s">
        <v>4</v>
      </c>
      <c r="J952" s="65" t="s">
        <v>4</v>
      </c>
      <c r="K952" s="65" t="s">
        <v>4</v>
      </c>
      <c r="L952" s="67"/>
      <c r="M952" s="69" t="str">
        <f>IF(Main[[#This Row],[Tech Start Date]]&lt;1/1/1990,"",IF(Main[[#This Row],[Class]]="C",WORKDAY(Main[[#This Row],[Tech Start Date]],9),IF(Main[[#This Row],[Class]]="B", WORKDAY(Main[[#This Row],[Tech Start Date]],6),IF(Main[[#This Row],[Class]]="A",WORKDAY(Main[[#This Row],[Tech Start Date]],2),""))))</f>
        <v/>
      </c>
      <c r="N952" s="69" t="str">
        <f>IF(Main[[#This Row],[Tech Start Date]]&lt;1/1/1990,"",IF(Main[[#This Row],[Class]]="C",WORKDAY(Main[[#This Row],[Tech Start Date]],19),IF(Main[[#This Row],[Class]]="B", WORKDAY(Main[[#This Row],[Tech Start Date]],12),IF(Main[[#This Row],[Class]]="A",WORKDAY(Main[[#This Row],[Tech Start Date]],4),""))))</f>
        <v/>
      </c>
      <c r="O952" s="69" t="str">
        <f>IF(Main[[#This Row],[Tech Start Date]]&lt;1/1/1990,"",IF(Main[[#This Row],[Class]]="C",WORKDAY(Main[[#This Row],[Tech Start Date]],23),IF(Main[[#This Row],[Class]]="B", WORKDAY(Main[[#This Row],[Tech Start Date]],15),IF(Main[[#This Row],[Class]]="A",WORKDAY(Main[[#This Row],[Tech Start Date]],5),""))))</f>
        <v/>
      </c>
      <c r="P952" s="69" t="str">
        <f>IF(Main[[#This Row],[Tech Start Date]]&lt;1/1/1990,"",IF(Main[[#This Row],[Class]]="C",WORKDAY(Main[[#This Row],[Tech Start Date]],28),IF(Main[[#This Row],[Class]]="B", WORKDAY(Main[[#This Row],[Tech Start Date]],19),IF(Main[[#This Row],[Class]]="A",WORKDAY(Main[[#This Row],[Tech Start Date]],9),""))))</f>
        <v/>
      </c>
      <c r="Q952" s="67">
        <v>40602</v>
      </c>
      <c r="R952" s="67"/>
      <c r="S952" s="65" t="s">
        <v>11</v>
      </c>
      <c r="T952" s="70" t="s">
        <v>4</v>
      </c>
      <c r="U952" s="65" t="s">
        <v>12</v>
      </c>
      <c r="V952" s="65" t="s">
        <v>1918</v>
      </c>
      <c r="W952" s="65" t="s">
        <v>1922</v>
      </c>
      <c r="X952" s="65" t="s">
        <v>2866</v>
      </c>
      <c r="Y952" s="65" t="s">
        <v>4</v>
      </c>
      <c r="Z952" s="65" t="s">
        <v>4</v>
      </c>
      <c r="AA952" s="65" t="s">
        <v>2866</v>
      </c>
    </row>
    <row r="953" spans="1:27" ht="17.45" customHeight="1">
      <c r="A953" s="131" t="str">
        <f>IF(priority(Main[[#This Row],[Comments]])&lt;&gt;0, priority(Main[[#This Row],[Comments]]),"")</f>
        <v/>
      </c>
      <c r="B953" s="99" t="s">
        <v>1720</v>
      </c>
      <c r="C953" s="65" t="s">
        <v>277</v>
      </c>
      <c r="D953" s="66" t="s">
        <v>773</v>
      </c>
      <c r="E953" s="67"/>
      <c r="F953" s="67">
        <v>40602</v>
      </c>
      <c r="G953" s="64" t="str">
        <f>IF(stdProdLT(Main[[#This Row],[Comments]])=0.1,"N/A",IF(stdProdLT(Main[[#This Row],[Comments]])=0,"",stdProdLT(Main[[#This Row],[Comments]])))</f>
        <v/>
      </c>
      <c r="H953" s="68" t="str">
        <f>IF(AND(Main[[#This Row],[In Stock Date]]&lt;&gt;"",Main[[#This Row],[Revised Due Date]]&lt;&gt;""),Main[[#This Row],[In Stock Date]]-Main[[#This Row],[Revised Due Date]],"")</f>
        <v/>
      </c>
      <c r="I953" s="65" t="s">
        <v>4</v>
      </c>
      <c r="J953" s="65" t="s">
        <v>4</v>
      </c>
      <c r="K953" s="65" t="s">
        <v>4</v>
      </c>
      <c r="L953" s="67"/>
      <c r="M953" s="69" t="str">
        <f>IF(Main[[#This Row],[Tech Start Date]]&lt;1/1/1990,"",IF(Main[[#This Row],[Class]]="C",WORKDAY(Main[[#This Row],[Tech Start Date]],9),IF(Main[[#This Row],[Class]]="B", WORKDAY(Main[[#This Row],[Tech Start Date]],6),IF(Main[[#This Row],[Class]]="A",WORKDAY(Main[[#This Row],[Tech Start Date]],2),""))))</f>
        <v/>
      </c>
      <c r="N953" s="69" t="str">
        <f>IF(Main[[#This Row],[Tech Start Date]]&lt;1/1/1990,"",IF(Main[[#This Row],[Class]]="C",WORKDAY(Main[[#This Row],[Tech Start Date]],19),IF(Main[[#This Row],[Class]]="B", WORKDAY(Main[[#This Row],[Tech Start Date]],12),IF(Main[[#This Row],[Class]]="A",WORKDAY(Main[[#This Row],[Tech Start Date]],4),""))))</f>
        <v/>
      </c>
      <c r="O953" s="69" t="str">
        <f>IF(Main[[#This Row],[Tech Start Date]]&lt;1/1/1990,"",IF(Main[[#This Row],[Class]]="C",WORKDAY(Main[[#This Row],[Tech Start Date]],23),IF(Main[[#This Row],[Class]]="B", WORKDAY(Main[[#This Row],[Tech Start Date]],15),IF(Main[[#This Row],[Class]]="A",WORKDAY(Main[[#This Row],[Tech Start Date]],5),""))))</f>
        <v/>
      </c>
      <c r="P953" s="69" t="str">
        <f>IF(Main[[#This Row],[Tech Start Date]]&lt;1/1/1990,"",IF(Main[[#This Row],[Class]]="C",WORKDAY(Main[[#This Row],[Tech Start Date]],28),IF(Main[[#This Row],[Class]]="B", WORKDAY(Main[[#This Row],[Tech Start Date]],19),IF(Main[[#This Row],[Class]]="A",WORKDAY(Main[[#This Row],[Tech Start Date]],9),""))))</f>
        <v/>
      </c>
      <c r="Q953" s="67">
        <v>40602</v>
      </c>
      <c r="R953" s="67"/>
      <c r="S953" s="65" t="s">
        <v>11</v>
      </c>
      <c r="T953" s="70" t="s">
        <v>4</v>
      </c>
      <c r="U953" s="65" t="s">
        <v>12</v>
      </c>
      <c r="V953" s="65" t="s">
        <v>1920</v>
      </c>
      <c r="W953" s="65" t="s">
        <v>1922</v>
      </c>
      <c r="X953" s="65" t="s">
        <v>2866</v>
      </c>
      <c r="Y953" s="65" t="s">
        <v>4</v>
      </c>
      <c r="Z953" s="65" t="s">
        <v>4</v>
      </c>
      <c r="AA953" s="65" t="s">
        <v>2866</v>
      </c>
    </row>
    <row r="954" spans="1:27" ht="17.45" customHeight="1">
      <c r="A954" s="131" t="str">
        <f>IF(priority(Main[[#This Row],[Comments]])&lt;&gt;0, priority(Main[[#This Row],[Comments]]),"")</f>
        <v/>
      </c>
      <c r="B954" s="99" t="s">
        <v>3631</v>
      </c>
      <c r="C954" s="65" t="s">
        <v>95</v>
      </c>
      <c r="D954" s="66" t="s">
        <v>3632</v>
      </c>
      <c r="E954" s="67">
        <v>40959.540810185186</v>
      </c>
      <c r="F954" s="67"/>
      <c r="G954" s="64" t="str">
        <f>IF(stdProdLT(Main[[#This Row],[Comments]])=0.1,"N/A",IF(stdProdLT(Main[[#This Row],[Comments]])=0,"",stdProdLT(Main[[#This Row],[Comments]])))</f>
        <v/>
      </c>
      <c r="H954" s="68" t="str">
        <f>IF(AND(Main[[#This Row],[In Stock Date]]&lt;&gt;"",Main[[#This Row],[Revised Due Date]]&lt;&gt;""),Main[[#This Row],[In Stock Date]]-Main[[#This Row],[Revised Due Date]],"")</f>
        <v/>
      </c>
      <c r="I954" s="65" t="s">
        <v>4</v>
      </c>
      <c r="J954" s="65" t="s">
        <v>4</v>
      </c>
      <c r="K954" s="65" t="s">
        <v>4</v>
      </c>
      <c r="L954" s="67"/>
      <c r="M954" s="69" t="str">
        <f>IF(Main[[#This Row],[Tech Start Date]]&lt;1/1/1990,"",IF(Main[[#This Row],[Class]]="C",WORKDAY(Main[[#This Row],[Tech Start Date]],9),IF(Main[[#This Row],[Class]]="B", WORKDAY(Main[[#This Row],[Tech Start Date]],6),IF(Main[[#This Row],[Class]]="A",WORKDAY(Main[[#This Row],[Tech Start Date]],2),""))))</f>
        <v/>
      </c>
      <c r="N954" s="69" t="str">
        <f>IF(Main[[#This Row],[Tech Start Date]]&lt;1/1/1990,"",IF(Main[[#This Row],[Class]]="C",WORKDAY(Main[[#This Row],[Tech Start Date]],19),IF(Main[[#This Row],[Class]]="B", WORKDAY(Main[[#This Row],[Tech Start Date]],12),IF(Main[[#This Row],[Class]]="A",WORKDAY(Main[[#This Row],[Tech Start Date]],4),""))))</f>
        <v/>
      </c>
      <c r="O954" s="69" t="str">
        <f>IF(Main[[#This Row],[Tech Start Date]]&lt;1/1/1990,"",IF(Main[[#This Row],[Class]]="C",WORKDAY(Main[[#This Row],[Tech Start Date]],23),IF(Main[[#This Row],[Class]]="B", WORKDAY(Main[[#This Row],[Tech Start Date]],15),IF(Main[[#This Row],[Class]]="A",WORKDAY(Main[[#This Row],[Tech Start Date]],5),""))))</f>
        <v/>
      </c>
      <c r="P954" s="69" t="str">
        <f>IF(Main[[#This Row],[Tech Start Date]]&lt;1/1/1990,"",IF(Main[[#This Row],[Class]]="C",WORKDAY(Main[[#This Row],[Tech Start Date]],28),IF(Main[[#This Row],[Class]]="B", WORKDAY(Main[[#This Row],[Tech Start Date]],19),IF(Main[[#This Row],[Class]]="A",WORKDAY(Main[[#This Row],[Tech Start Date]],9),""))))</f>
        <v/>
      </c>
      <c r="Q954" s="67">
        <v>40999</v>
      </c>
      <c r="R954" s="67"/>
      <c r="S954" s="65" t="s">
        <v>17</v>
      </c>
      <c r="T954" s="70" t="s">
        <v>4</v>
      </c>
      <c r="U954" s="65" t="s">
        <v>7</v>
      </c>
      <c r="V954" s="65" t="s">
        <v>1917</v>
      </c>
      <c r="W954" s="65" t="s">
        <v>1919</v>
      </c>
      <c r="X954" s="65" t="s">
        <v>2858</v>
      </c>
      <c r="Y954" s="65" t="s">
        <v>2996</v>
      </c>
      <c r="Z954" s="65" t="s">
        <v>4</v>
      </c>
      <c r="AA954" s="65" t="s">
        <v>2858</v>
      </c>
    </row>
    <row r="955" spans="1:27" ht="17.45" customHeight="1">
      <c r="A955" s="131" t="str">
        <f>IF(priority(Main[[#This Row],[Comments]])&lt;&gt;0, priority(Main[[#This Row],[Comments]]),"")</f>
        <v/>
      </c>
      <c r="B955" s="99" t="s">
        <v>1864</v>
      </c>
      <c r="C955" s="65" t="s">
        <v>31</v>
      </c>
      <c r="D955" s="66" t="s">
        <v>921</v>
      </c>
      <c r="E955" s="67"/>
      <c r="F955" s="67">
        <v>40664</v>
      </c>
      <c r="G955" s="64" t="str">
        <f>IF(stdProdLT(Main[[#This Row],[Comments]])=0.1,"N/A",IF(stdProdLT(Main[[#This Row],[Comments]])=0,"",stdProdLT(Main[[#This Row],[Comments]])))</f>
        <v/>
      </c>
      <c r="H955" s="68">
        <f>IF(AND(Main[[#This Row],[In Stock Date]]&lt;&gt;"",Main[[#This Row],[Revised Due Date]]&lt;&gt;""),Main[[#This Row],[In Stock Date]]-Main[[#This Row],[Revised Due Date]],"")</f>
        <v>87</v>
      </c>
      <c r="I955" s="65" t="s">
        <v>102</v>
      </c>
      <c r="J955" s="65" t="s">
        <v>75</v>
      </c>
      <c r="K955" s="71" t="s">
        <v>1926</v>
      </c>
      <c r="L955" s="67"/>
      <c r="M955" s="69" t="str">
        <f>IF(Main[[#This Row],[Tech Start Date]]&lt;1/1/1990,"",IF(Main[[#This Row],[Class]]="C",WORKDAY(Main[[#This Row],[Tech Start Date]],9),IF(Main[[#This Row],[Class]]="B", WORKDAY(Main[[#This Row],[Tech Start Date]],6),IF(Main[[#This Row],[Class]]="A",WORKDAY(Main[[#This Row],[Tech Start Date]],2),""))))</f>
        <v/>
      </c>
      <c r="N955" s="69" t="str">
        <f>IF(Main[[#This Row],[Tech Start Date]]&lt;1/1/1990,"",IF(Main[[#This Row],[Class]]="C",WORKDAY(Main[[#This Row],[Tech Start Date]],19),IF(Main[[#This Row],[Class]]="B", WORKDAY(Main[[#This Row],[Tech Start Date]],12),IF(Main[[#This Row],[Class]]="A",WORKDAY(Main[[#This Row],[Tech Start Date]],4),""))))</f>
        <v/>
      </c>
      <c r="O955" s="69" t="str">
        <f>IF(Main[[#This Row],[Tech Start Date]]&lt;1/1/1990,"",IF(Main[[#This Row],[Class]]="C",WORKDAY(Main[[#This Row],[Tech Start Date]],23),IF(Main[[#This Row],[Class]]="B", WORKDAY(Main[[#This Row],[Tech Start Date]],15),IF(Main[[#This Row],[Class]]="A",WORKDAY(Main[[#This Row],[Tech Start Date]],5),""))))</f>
        <v/>
      </c>
      <c r="P955" s="69" t="str">
        <f>IF(Main[[#This Row],[Tech Start Date]]&lt;1/1/1990,"",IF(Main[[#This Row],[Class]]="C",WORKDAY(Main[[#This Row],[Tech Start Date]],28),IF(Main[[#This Row],[Class]]="B", WORKDAY(Main[[#This Row],[Tech Start Date]],19),IF(Main[[#This Row],[Class]]="A",WORKDAY(Main[[#This Row],[Tech Start Date]],9),""))))</f>
        <v/>
      </c>
      <c r="Q955" s="67">
        <v>40589</v>
      </c>
      <c r="R955" s="67">
        <v>40577</v>
      </c>
      <c r="S955" s="65" t="s">
        <v>11</v>
      </c>
      <c r="T955" s="70" t="s">
        <v>4</v>
      </c>
      <c r="U955" s="65" t="s">
        <v>14</v>
      </c>
      <c r="V955" s="65" t="s">
        <v>1920</v>
      </c>
      <c r="W955" s="65" t="s">
        <v>1923</v>
      </c>
      <c r="X955" s="65" t="s">
        <v>2831</v>
      </c>
      <c r="Y955" s="65" t="s">
        <v>2973</v>
      </c>
      <c r="Z955" s="65" t="s">
        <v>530</v>
      </c>
      <c r="AA955" s="65" t="s">
        <v>2831</v>
      </c>
    </row>
    <row r="956" spans="1:27" ht="17.45" customHeight="1">
      <c r="A956" s="131" t="str">
        <f>IF(priority(Main[[#This Row],[Comments]])&lt;&gt;0, priority(Main[[#This Row],[Comments]]),"")</f>
        <v/>
      </c>
      <c r="B956" s="99" t="s">
        <v>1724</v>
      </c>
      <c r="C956" s="65" t="s">
        <v>4</v>
      </c>
      <c r="D956" s="66" t="s">
        <v>778</v>
      </c>
      <c r="E956" s="67"/>
      <c r="F956" s="67">
        <v>40025</v>
      </c>
      <c r="G956" s="64" t="str">
        <f>IF(stdProdLT(Main[[#This Row],[Comments]])=0.1,"N/A",IF(stdProdLT(Main[[#This Row],[Comments]])=0,"",stdProdLT(Main[[#This Row],[Comments]])))</f>
        <v/>
      </c>
      <c r="H956" s="68" t="str">
        <f>IF(AND(Main[[#This Row],[In Stock Date]]&lt;&gt;"",Main[[#This Row],[Revised Due Date]]&lt;&gt;""),Main[[#This Row],[In Stock Date]]-Main[[#This Row],[Revised Due Date]],"")</f>
        <v/>
      </c>
      <c r="I956" s="65" t="s">
        <v>4</v>
      </c>
      <c r="J956" s="65" t="s">
        <v>4</v>
      </c>
      <c r="K956" s="65" t="s">
        <v>4</v>
      </c>
      <c r="L956" s="67"/>
      <c r="M956" s="69" t="str">
        <f>IF(Main[[#This Row],[Tech Start Date]]&lt;1/1/1990,"",IF(Main[[#This Row],[Class]]="C",WORKDAY(Main[[#This Row],[Tech Start Date]],9),IF(Main[[#This Row],[Class]]="B", WORKDAY(Main[[#This Row],[Tech Start Date]],6),IF(Main[[#This Row],[Class]]="A",WORKDAY(Main[[#This Row],[Tech Start Date]],2),""))))</f>
        <v/>
      </c>
      <c r="N956" s="69" t="str">
        <f>IF(Main[[#This Row],[Tech Start Date]]&lt;1/1/1990,"",IF(Main[[#This Row],[Class]]="C",WORKDAY(Main[[#This Row],[Tech Start Date]],19),IF(Main[[#This Row],[Class]]="B", WORKDAY(Main[[#This Row],[Tech Start Date]],12),IF(Main[[#This Row],[Class]]="A",WORKDAY(Main[[#This Row],[Tech Start Date]],4),""))))</f>
        <v/>
      </c>
      <c r="O956" s="69" t="str">
        <f>IF(Main[[#This Row],[Tech Start Date]]&lt;1/1/1990,"",IF(Main[[#This Row],[Class]]="C",WORKDAY(Main[[#This Row],[Tech Start Date]],23),IF(Main[[#This Row],[Class]]="B", WORKDAY(Main[[#This Row],[Tech Start Date]],15),IF(Main[[#This Row],[Class]]="A",WORKDAY(Main[[#This Row],[Tech Start Date]],5),""))))</f>
        <v/>
      </c>
      <c r="P956" s="69" t="str">
        <f>IF(Main[[#This Row],[Tech Start Date]]&lt;1/1/1990,"",IF(Main[[#This Row],[Class]]="C",WORKDAY(Main[[#This Row],[Tech Start Date]],28),IF(Main[[#This Row],[Class]]="B", WORKDAY(Main[[#This Row],[Tech Start Date]],19),IF(Main[[#This Row],[Class]]="A",WORKDAY(Main[[#This Row],[Tech Start Date]],9),""))))</f>
        <v/>
      </c>
      <c r="Q956" s="67">
        <v>39963</v>
      </c>
      <c r="R956" s="67"/>
      <c r="S956" s="65" t="s">
        <v>11</v>
      </c>
      <c r="T956" s="70" t="s">
        <v>4</v>
      </c>
      <c r="U956" s="65" t="s">
        <v>14</v>
      </c>
      <c r="V956" s="65" t="s">
        <v>1927</v>
      </c>
      <c r="W956" s="65" t="s">
        <v>1925</v>
      </c>
      <c r="X956" s="65" t="s">
        <v>2869</v>
      </c>
      <c r="Y956" s="65" t="s">
        <v>3075</v>
      </c>
      <c r="Z956" s="65" t="s">
        <v>4</v>
      </c>
      <c r="AA956" s="65" t="s">
        <v>2869</v>
      </c>
    </row>
    <row r="957" spans="1:27" ht="17.45" customHeight="1">
      <c r="A957" s="131" t="str">
        <f>IF(priority(Main[[#This Row],[Comments]])&lt;&gt;0, priority(Main[[#This Row],[Comments]]),"")</f>
        <v/>
      </c>
      <c r="B957" s="99" t="s">
        <v>1725</v>
      </c>
      <c r="C957" s="65" t="s">
        <v>4</v>
      </c>
      <c r="D957" s="66" t="s">
        <v>779</v>
      </c>
      <c r="E957" s="67">
        <v>40506.439513888887</v>
      </c>
      <c r="F957" s="67"/>
      <c r="G957" s="64" t="str">
        <f>IF(stdProdLT(Main[[#This Row],[Comments]])=0.1,"N/A",IF(stdProdLT(Main[[#This Row],[Comments]])=0,"",stdProdLT(Main[[#This Row],[Comments]])))</f>
        <v/>
      </c>
      <c r="H957" s="68" t="str">
        <f>IF(AND(Main[[#This Row],[In Stock Date]]&lt;&gt;"",Main[[#This Row],[Revised Due Date]]&lt;&gt;""),Main[[#This Row],[In Stock Date]]-Main[[#This Row],[Revised Due Date]],"")</f>
        <v/>
      </c>
      <c r="I957" s="65" t="s">
        <v>4</v>
      </c>
      <c r="J957" s="65" t="s">
        <v>28</v>
      </c>
      <c r="K957" s="65" t="s">
        <v>1924</v>
      </c>
      <c r="L957" s="67"/>
      <c r="M957" s="69" t="str">
        <f>IF(Main[[#This Row],[Tech Start Date]]&lt;1/1/1990,"",IF(Main[[#This Row],[Class]]="C",WORKDAY(Main[[#This Row],[Tech Start Date]],9),IF(Main[[#This Row],[Class]]="B", WORKDAY(Main[[#This Row],[Tech Start Date]],6),IF(Main[[#This Row],[Class]]="A",WORKDAY(Main[[#This Row],[Tech Start Date]],2),""))))</f>
        <v/>
      </c>
      <c r="N957" s="69" t="str">
        <f>IF(Main[[#This Row],[Tech Start Date]]&lt;1/1/1990,"",IF(Main[[#This Row],[Class]]="C",WORKDAY(Main[[#This Row],[Tech Start Date]],19),IF(Main[[#This Row],[Class]]="B", WORKDAY(Main[[#This Row],[Tech Start Date]],12),IF(Main[[#This Row],[Class]]="A",WORKDAY(Main[[#This Row],[Tech Start Date]],4),""))))</f>
        <v/>
      </c>
      <c r="O957" s="69" t="str">
        <f>IF(Main[[#This Row],[Tech Start Date]]&lt;1/1/1990,"",IF(Main[[#This Row],[Class]]="C",WORKDAY(Main[[#This Row],[Tech Start Date]],23),IF(Main[[#This Row],[Class]]="B", WORKDAY(Main[[#This Row],[Tech Start Date]],15),IF(Main[[#This Row],[Class]]="A",WORKDAY(Main[[#This Row],[Tech Start Date]],5),""))))</f>
        <v/>
      </c>
      <c r="P957" s="69" t="str">
        <f>IF(Main[[#This Row],[Tech Start Date]]&lt;1/1/1990,"",IF(Main[[#This Row],[Class]]="C",WORKDAY(Main[[#This Row],[Tech Start Date]],28),IF(Main[[#This Row],[Class]]="B", WORKDAY(Main[[#This Row],[Tech Start Date]],19),IF(Main[[#This Row],[Class]]="A",WORKDAY(Main[[#This Row],[Tech Start Date]],9),""))))</f>
        <v/>
      </c>
      <c r="Q957" s="67">
        <v>40555</v>
      </c>
      <c r="R957" s="67"/>
      <c r="S957" s="65" t="s">
        <v>6</v>
      </c>
      <c r="T957" s="70" t="s">
        <v>4</v>
      </c>
      <c r="U957" s="65" t="s">
        <v>7</v>
      </c>
      <c r="V957" s="65" t="s">
        <v>1917</v>
      </c>
      <c r="W957" s="65" t="s">
        <v>1921</v>
      </c>
      <c r="X957" s="65" t="s">
        <v>2827</v>
      </c>
      <c r="Y957" s="65" t="s">
        <v>2942</v>
      </c>
      <c r="Z957" s="65" t="s">
        <v>129</v>
      </c>
      <c r="AA957" s="65" t="s">
        <v>2827</v>
      </c>
    </row>
    <row r="958" spans="1:27" ht="17.45" customHeight="1">
      <c r="A958" s="131" t="str">
        <f>IF(priority(Main[[#This Row],[Comments]])&lt;&gt;0, priority(Main[[#This Row],[Comments]]),"")</f>
        <v/>
      </c>
      <c r="B958" s="99" t="s">
        <v>1711</v>
      </c>
      <c r="C958" s="65" t="s">
        <v>4</v>
      </c>
      <c r="D958" s="66" t="s">
        <v>712</v>
      </c>
      <c r="E958" s="67"/>
      <c r="F958" s="67"/>
      <c r="G958" s="64" t="str">
        <f>IF(stdProdLT(Main[[#This Row],[Comments]])=0.1,"N/A",IF(stdProdLT(Main[[#This Row],[Comments]])=0,"",stdProdLT(Main[[#This Row],[Comments]])))</f>
        <v/>
      </c>
      <c r="H958" s="68" t="str">
        <f>IF(AND(Main[[#This Row],[In Stock Date]]&lt;&gt;"",Main[[#This Row],[Revised Due Date]]&lt;&gt;""),Main[[#This Row],[In Stock Date]]-Main[[#This Row],[Revised Due Date]],"")</f>
        <v/>
      </c>
      <c r="I958" s="65" t="s">
        <v>4</v>
      </c>
      <c r="J958" s="65" t="s">
        <v>28</v>
      </c>
      <c r="K958" s="65" t="s">
        <v>1926</v>
      </c>
      <c r="L958" s="67"/>
      <c r="M958" s="69" t="str">
        <f>IF(Main[[#This Row],[Tech Start Date]]&lt;1/1/1990,"",IF(Main[[#This Row],[Class]]="C",WORKDAY(Main[[#This Row],[Tech Start Date]],9),IF(Main[[#This Row],[Class]]="B", WORKDAY(Main[[#This Row],[Tech Start Date]],6),IF(Main[[#This Row],[Class]]="A",WORKDAY(Main[[#This Row],[Tech Start Date]],2),""))))</f>
        <v/>
      </c>
      <c r="N958" s="69" t="str">
        <f>IF(Main[[#This Row],[Tech Start Date]]&lt;1/1/1990,"",IF(Main[[#This Row],[Class]]="C",WORKDAY(Main[[#This Row],[Tech Start Date]],19),IF(Main[[#This Row],[Class]]="B", WORKDAY(Main[[#This Row],[Tech Start Date]],12),IF(Main[[#This Row],[Class]]="A",WORKDAY(Main[[#This Row],[Tech Start Date]],4),""))))</f>
        <v/>
      </c>
      <c r="O958" s="69" t="str">
        <f>IF(Main[[#This Row],[Tech Start Date]]&lt;1/1/1990,"",IF(Main[[#This Row],[Class]]="C",WORKDAY(Main[[#This Row],[Tech Start Date]],23),IF(Main[[#This Row],[Class]]="B", WORKDAY(Main[[#This Row],[Tech Start Date]],15),IF(Main[[#This Row],[Class]]="A",WORKDAY(Main[[#This Row],[Tech Start Date]],5),""))))</f>
        <v/>
      </c>
      <c r="P958" s="69" t="str">
        <f>IF(Main[[#This Row],[Tech Start Date]]&lt;1/1/1990,"",IF(Main[[#This Row],[Class]]="C",WORKDAY(Main[[#This Row],[Tech Start Date]],28),IF(Main[[#This Row],[Class]]="B", WORKDAY(Main[[#This Row],[Tech Start Date]],19),IF(Main[[#This Row],[Class]]="A",WORKDAY(Main[[#This Row],[Tech Start Date]],9),""))))</f>
        <v/>
      </c>
      <c r="Q958" s="67">
        <v>40647</v>
      </c>
      <c r="R958" s="67"/>
      <c r="S958" s="65" t="s">
        <v>6</v>
      </c>
      <c r="T958" s="70" t="s">
        <v>4</v>
      </c>
      <c r="U958" s="65" t="s">
        <v>14</v>
      </c>
      <c r="V958" s="65" t="s">
        <v>1917</v>
      </c>
      <c r="W958" s="65" t="s">
        <v>1921</v>
      </c>
      <c r="X958" s="65" t="s">
        <v>2827</v>
      </c>
      <c r="Y958" s="65" t="s">
        <v>2942</v>
      </c>
      <c r="Z958" s="65" t="s">
        <v>129</v>
      </c>
      <c r="AA958" s="65" t="s">
        <v>2827</v>
      </c>
    </row>
    <row r="959" spans="1:27" ht="17.45" customHeight="1">
      <c r="A959" s="131" t="str">
        <f>IF(priority(Main[[#This Row],[Comments]])&lt;&gt;0, priority(Main[[#This Row],[Comments]]),"")</f>
        <v/>
      </c>
      <c r="B959" s="99" t="s">
        <v>2076</v>
      </c>
      <c r="C959" s="65" t="s">
        <v>4</v>
      </c>
      <c r="D959" s="66" t="s">
        <v>2394</v>
      </c>
      <c r="E959" s="67">
        <v>40760.555381944447</v>
      </c>
      <c r="F959" s="67"/>
      <c r="G959" s="64" t="str">
        <f>IF(stdProdLT(Main[[#This Row],[Comments]])=0.1,"N/A",IF(stdProdLT(Main[[#This Row],[Comments]])=0,"",stdProdLT(Main[[#This Row],[Comments]])))</f>
        <v/>
      </c>
      <c r="H959" s="68" t="str">
        <f>IF(AND(Main[[#This Row],[In Stock Date]]&lt;&gt;"",Main[[#This Row],[Revised Due Date]]&lt;&gt;""),Main[[#This Row],[In Stock Date]]-Main[[#This Row],[Revised Due Date]],"")</f>
        <v/>
      </c>
      <c r="I959" s="65" t="s">
        <v>4</v>
      </c>
      <c r="J959" s="65" t="s">
        <v>4</v>
      </c>
      <c r="K959" s="65" t="s">
        <v>4</v>
      </c>
      <c r="L959" s="67"/>
      <c r="M959" s="69" t="str">
        <f>IF(Main[[#This Row],[Tech Start Date]]&lt;1/1/1990,"",IF(Main[[#This Row],[Class]]="C",WORKDAY(Main[[#This Row],[Tech Start Date]],9),IF(Main[[#This Row],[Class]]="B", WORKDAY(Main[[#This Row],[Tech Start Date]],6),IF(Main[[#This Row],[Class]]="A",WORKDAY(Main[[#This Row],[Tech Start Date]],2),""))))</f>
        <v/>
      </c>
      <c r="N959" s="69" t="str">
        <f>IF(Main[[#This Row],[Tech Start Date]]&lt;1/1/1990,"",IF(Main[[#This Row],[Class]]="C",WORKDAY(Main[[#This Row],[Tech Start Date]],19),IF(Main[[#This Row],[Class]]="B", WORKDAY(Main[[#This Row],[Tech Start Date]],12),IF(Main[[#This Row],[Class]]="A",WORKDAY(Main[[#This Row],[Tech Start Date]],4),""))))</f>
        <v/>
      </c>
      <c r="O959" s="69" t="str">
        <f>IF(Main[[#This Row],[Tech Start Date]]&lt;1/1/1990,"",IF(Main[[#This Row],[Class]]="C",WORKDAY(Main[[#This Row],[Tech Start Date]],23),IF(Main[[#This Row],[Class]]="B", WORKDAY(Main[[#This Row],[Tech Start Date]],15),IF(Main[[#This Row],[Class]]="A",WORKDAY(Main[[#This Row],[Tech Start Date]],5),""))))</f>
        <v/>
      </c>
      <c r="P959" s="69" t="str">
        <f>IF(Main[[#This Row],[Tech Start Date]]&lt;1/1/1990,"",IF(Main[[#This Row],[Class]]="C",WORKDAY(Main[[#This Row],[Tech Start Date]],28),IF(Main[[#This Row],[Class]]="B", WORKDAY(Main[[#This Row],[Tech Start Date]],19),IF(Main[[#This Row],[Class]]="A",WORKDAY(Main[[#This Row],[Tech Start Date]],9),""))))</f>
        <v/>
      </c>
      <c r="Q959" s="67"/>
      <c r="R959" s="67"/>
      <c r="S959" s="65" t="s">
        <v>6</v>
      </c>
      <c r="T959" s="70" t="s">
        <v>4</v>
      </c>
      <c r="U959" s="65" t="s">
        <v>7</v>
      </c>
      <c r="V959" s="65" t="s">
        <v>1917</v>
      </c>
      <c r="W959" s="65" t="s">
        <v>1921</v>
      </c>
      <c r="X959" s="65" t="s">
        <v>306</v>
      </c>
      <c r="Y959" s="65" t="s">
        <v>4</v>
      </c>
      <c r="Z959" s="65" t="s">
        <v>4</v>
      </c>
      <c r="AA959" s="65" t="s">
        <v>4</v>
      </c>
    </row>
    <row r="960" spans="1:27" ht="17.45" customHeight="1">
      <c r="A960" s="131" t="str">
        <f>IF(priority(Main[[#This Row],[Comments]])&lt;&gt;0, priority(Main[[#This Row],[Comments]]),"")</f>
        <v/>
      </c>
      <c r="B960" s="99" t="s">
        <v>1636</v>
      </c>
      <c r="C960" s="65" t="s">
        <v>4</v>
      </c>
      <c r="D960" s="66" t="s">
        <v>2395</v>
      </c>
      <c r="E960" s="67">
        <v>40567.655532407407</v>
      </c>
      <c r="F960" s="67">
        <v>40602</v>
      </c>
      <c r="G960" s="64" t="str">
        <f>IF(stdProdLT(Main[[#This Row],[Comments]])=0.1,"N/A",IF(stdProdLT(Main[[#This Row],[Comments]])=0,"",stdProdLT(Main[[#This Row],[Comments]])))</f>
        <v/>
      </c>
      <c r="H960" s="68" t="str">
        <f>IF(AND(Main[[#This Row],[In Stock Date]]&lt;&gt;"",Main[[#This Row],[Revised Due Date]]&lt;&gt;""),Main[[#This Row],[In Stock Date]]-Main[[#This Row],[Revised Due Date]],"")</f>
        <v/>
      </c>
      <c r="I960" s="65" t="s">
        <v>914</v>
      </c>
      <c r="J960" s="65" t="s">
        <v>52</v>
      </c>
      <c r="K960" s="65" t="s">
        <v>1926</v>
      </c>
      <c r="L960" s="67"/>
      <c r="M960" s="69" t="str">
        <f>IF(Main[[#This Row],[Tech Start Date]]&lt;1/1/1990,"",IF(Main[[#This Row],[Class]]="C",WORKDAY(Main[[#This Row],[Tech Start Date]],9),IF(Main[[#This Row],[Class]]="B", WORKDAY(Main[[#This Row],[Tech Start Date]],6),IF(Main[[#This Row],[Class]]="A",WORKDAY(Main[[#This Row],[Tech Start Date]],2),""))))</f>
        <v/>
      </c>
      <c r="N960" s="69" t="str">
        <f>IF(Main[[#This Row],[Tech Start Date]]&lt;1/1/1990,"",IF(Main[[#This Row],[Class]]="C",WORKDAY(Main[[#This Row],[Tech Start Date]],19),IF(Main[[#This Row],[Class]]="B", WORKDAY(Main[[#This Row],[Tech Start Date]],12),IF(Main[[#This Row],[Class]]="A",WORKDAY(Main[[#This Row],[Tech Start Date]],4),""))))</f>
        <v/>
      </c>
      <c r="O960" s="69" t="str">
        <f>IF(Main[[#This Row],[Tech Start Date]]&lt;1/1/1990,"",IF(Main[[#This Row],[Class]]="C",WORKDAY(Main[[#This Row],[Tech Start Date]],23),IF(Main[[#This Row],[Class]]="B", WORKDAY(Main[[#This Row],[Tech Start Date]],15),IF(Main[[#This Row],[Class]]="A",WORKDAY(Main[[#This Row],[Tech Start Date]],5),""))))</f>
        <v/>
      </c>
      <c r="P960" s="69" t="str">
        <f>IF(Main[[#This Row],[Tech Start Date]]&lt;1/1/1990,"",IF(Main[[#This Row],[Class]]="C",WORKDAY(Main[[#This Row],[Tech Start Date]],28),IF(Main[[#This Row],[Class]]="B", WORKDAY(Main[[#This Row],[Tech Start Date]],19),IF(Main[[#This Row],[Class]]="A",WORKDAY(Main[[#This Row],[Tech Start Date]],9),""))))</f>
        <v/>
      </c>
      <c r="Q960" s="67">
        <v>40602</v>
      </c>
      <c r="R960" s="67"/>
      <c r="S960" s="65" t="s">
        <v>6</v>
      </c>
      <c r="T960" s="70" t="s">
        <v>4</v>
      </c>
      <c r="U960" s="65" t="s">
        <v>29</v>
      </c>
      <c r="V960" s="65" t="s">
        <v>1917</v>
      </c>
      <c r="W960" s="65" t="s">
        <v>1919</v>
      </c>
      <c r="X960" s="65" t="s">
        <v>2824</v>
      </c>
      <c r="Y960" s="65" t="s">
        <v>2935</v>
      </c>
      <c r="Z960" s="65" t="s">
        <v>129</v>
      </c>
      <c r="AA960" s="65" t="s">
        <v>2824</v>
      </c>
    </row>
    <row r="961" spans="1:27" ht="17.45" customHeight="1">
      <c r="A961" s="131" t="str">
        <f>IF(priority(Main[[#This Row],[Comments]])&lt;&gt;0, priority(Main[[#This Row],[Comments]]),"")</f>
        <v/>
      </c>
      <c r="B961" s="99" t="s">
        <v>1713</v>
      </c>
      <c r="C961" s="65" t="s">
        <v>4</v>
      </c>
      <c r="D961" s="66" t="s">
        <v>771</v>
      </c>
      <c r="E961" s="67"/>
      <c r="F961" s="67"/>
      <c r="G961" s="64" t="str">
        <f>IF(stdProdLT(Main[[#This Row],[Comments]])=0.1,"N/A",IF(stdProdLT(Main[[#This Row],[Comments]])=0,"",stdProdLT(Main[[#This Row],[Comments]])))</f>
        <v/>
      </c>
      <c r="H961" s="68" t="str">
        <f>IF(AND(Main[[#This Row],[In Stock Date]]&lt;&gt;"",Main[[#This Row],[Revised Due Date]]&lt;&gt;""),Main[[#This Row],[In Stock Date]]-Main[[#This Row],[Revised Due Date]],"")</f>
        <v/>
      </c>
      <c r="I961" s="65" t="s">
        <v>4</v>
      </c>
      <c r="J961" s="65" t="s">
        <v>4</v>
      </c>
      <c r="K961" s="65" t="s">
        <v>4</v>
      </c>
      <c r="L961" s="67"/>
      <c r="M961" s="69" t="str">
        <f>IF(Main[[#This Row],[Tech Start Date]]&lt;1/1/1990,"",IF(Main[[#This Row],[Class]]="C",WORKDAY(Main[[#This Row],[Tech Start Date]],9),IF(Main[[#This Row],[Class]]="B", WORKDAY(Main[[#This Row],[Tech Start Date]],6),IF(Main[[#This Row],[Class]]="A",WORKDAY(Main[[#This Row],[Tech Start Date]],2),""))))</f>
        <v/>
      </c>
      <c r="N961" s="69" t="str">
        <f>IF(Main[[#This Row],[Tech Start Date]]&lt;1/1/1990,"",IF(Main[[#This Row],[Class]]="C",WORKDAY(Main[[#This Row],[Tech Start Date]],19),IF(Main[[#This Row],[Class]]="B", WORKDAY(Main[[#This Row],[Tech Start Date]],12),IF(Main[[#This Row],[Class]]="A",WORKDAY(Main[[#This Row],[Tech Start Date]],4),""))))</f>
        <v/>
      </c>
      <c r="O961" s="69" t="str">
        <f>IF(Main[[#This Row],[Tech Start Date]]&lt;1/1/1990,"",IF(Main[[#This Row],[Class]]="C",WORKDAY(Main[[#This Row],[Tech Start Date]],23),IF(Main[[#This Row],[Class]]="B", WORKDAY(Main[[#This Row],[Tech Start Date]],15),IF(Main[[#This Row],[Class]]="A",WORKDAY(Main[[#This Row],[Tech Start Date]],5),""))))</f>
        <v/>
      </c>
      <c r="P961" s="69" t="str">
        <f>IF(Main[[#This Row],[Tech Start Date]]&lt;1/1/1990,"",IF(Main[[#This Row],[Class]]="C",WORKDAY(Main[[#This Row],[Tech Start Date]],28),IF(Main[[#This Row],[Class]]="B", WORKDAY(Main[[#This Row],[Tech Start Date]],19),IF(Main[[#This Row],[Class]]="A",WORKDAY(Main[[#This Row],[Tech Start Date]],9),""))))</f>
        <v/>
      </c>
      <c r="Q961" s="67"/>
      <c r="R961" s="67"/>
      <c r="S961" s="65" t="s">
        <v>6</v>
      </c>
      <c r="T961" s="70" t="s">
        <v>4</v>
      </c>
      <c r="U961" s="65" t="s">
        <v>12</v>
      </c>
      <c r="V961" s="65" t="s">
        <v>1917</v>
      </c>
      <c r="W961" s="65" t="s">
        <v>1921</v>
      </c>
      <c r="X961" s="65" t="s">
        <v>924</v>
      </c>
      <c r="Y961" s="65" t="s">
        <v>2988</v>
      </c>
      <c r="Z961" s="65" t="s">
        <v>4</v>
      </c>
      <c r="AA961" s="65" t="s">
        <v>924</v>
      </c>
    </row>
    <row r="962" spans="1:27" ht="17.45" customHeight="1">
      <c r="A962" s="131" t="str">
        <f>IF(priority(Main[[#This Row],[Comments]])&lt;&gt;0, priority(Main[[#This Row],[Comments]]),"")</f>
        <v/>
      </c>
      <c r="B962" s="99" t="s">
        <v>1207</v>
      </c>
      <c r="C962" s="65" t="s">
        <v>116</v>
      </c>
      <c r="D962" s="66" t="s">
        <v>263</v>
      </c>
      <c r="E962" s="67">
        <v>40681.362476851849</v>
      </c>
      <c r="F962" s="67">
        <v>40734</v>
      </c>
      <c r="G962" s="64" t="str">
        <f>IF(stdProdLT(Main[[#This Row],[Comments]])=0.1,"N/A",IF(stdProdLT(Main[[#This Row],[Comments]])=0,"",stdProdLT(Main[[#This Row],[Comments]])))</f>
        <v/>
      </c>
      <c r="H962" s="68" t="str">
        <f>IF(AND(Main[[#This Row],[In Stock Date]]&lt;&gt;"",Main[[#This Row],[Revised Due Date]]&lt;&gt;""),Main[[#This Row],[In Stock Date]]-Main[[#This Row],[Revised Due Date]],"")</f>
        <v/>
      </c>
      <c r="I962" s="65" t="s">
        <v>4</v>
      </c>
      <c r="J962" s="65" t="s">
        <v>4</v>
      </c>
      <c r="K962" s="65" t="s">
        <v>4</v>
      </c>
      <c r="L962" s="67"/>
      <c r="M962" s="69" t="str">
        <f>IF(Main[[#This Row],[Tech Start Date]]&lt;1/1/1990,"",IF(Main[[#This Row],[Class]]="C",WORKDAY(Main[[#This Row],[Tech Start Date]],9),IF(Main[[#This Row],[Class]]="B", WORKDAY(Main[[#This Row],[Tech Start Date]],6),IF(Main[[#This Row],[Class]]="A",WORKDAY(Main[[#This Row],[Tech Start Date]],2),""))))</f>
        <v/>
      </c>
      <c r="N962" s="69" t="str">
        <f>IF(Main[[#This Row],[Tech Start Date]]&lt;1/1/1990,"",IF(Main[[#This Row],[Class]]="C",WORKDAY(Main[[#This Row],[Tech Start Date]],19),IF(Main[[#This Row],[Class]]="B", WORKDAY(Main[[#This Row],[Tech Start Date]],12),IF(Main[[#This Row],[Class]]="A",WORKDAY(Main[[#This Row],[Tech Start Date]],4),""))))</f>
        <v/>
      </c>
      <c r="O962" s="69" t="str">
        <f>IF(Main[[#This Row],[Tech Start Date]]&lt;1/1/1990,"",IF(Main[[#This Row],[Class]]="C",WORKDAY(Main[[#This Row],[Tech Start Date]],23),IF(Main[[#This Row],[Class]]="B", WORKDAY(Main[[#This Row],[Tech Start Date]],15),IF(Main[[#This Row],[Class]]="A",WORKDAY(Main[[#This Row],[Tech Start Date]],5),""))))</f>
        <v/>
      </c>
      <c r="P962" s="69" t="str">
        <f>IF(Main[[#This Row],[Tech Start Date]]&lt;1/1/1990,"",IF(Main[[#This Row],[Class]]="C",WORKDAY(Main[[#This Row],[Tech Start Date]],28),IF(Main[[#This Row],[Class]]="B", WORKDAY(Main[[#This Row],[Tech Start Date]],19),IF(Main[[#This Row],[Class]]="A",WORKDAY(Main[[#This Row],[Tech Start Date]],9),""))))</f>
        <v/>
      </c>
      <c r="Q962" s="67">
        <v>40724</v>
      </c>
      <c r="R962" s="67"/>
      <c r="S962" s="65" t="s">
        <v>17</v>
      </c>
      <c r="T962" s="70" t="s">
        <v>4</v>
      </c>
      <c r="U962" s="65" t="s">
        <v>7</v>
      </c>
      <c r="V962" s="65" t="s">
        <v>1920</v>
      </c>
      <c r="W962" s="65" t="s">
        <v>1921</v>
      </c>
      <c r="X962" s="65" t="s">
        <v>50</v>
      </c>
      <c r="Y962" s="65" t="s">
        <v>2967</v>
      </c>
      <c r="Z962" s="65" t="s">
        <v>4</v>
      </c>
      <c r="AA962" s="65" t="s">
        <v>50</v>
      </c>
    </row>
    <row r="963" spans="1:27" ht="17.45" customHeight="1">
      <c r="A963" s="131" t="str">
        <f>IF(priority(Main[[#This Row],[Comments]])&lt;&gt;0, priority(Main[[#This Row],[Comments]]),"")</f>
        <v/>
      </c>
      <c r="B963" s="99" t="s">
        <v>2400</v>
      </c>
      <c r="C963" s="65" t="s">
        <v>4</v>
      </c>
      <c r="D963" s="66" t="s">
        <v>2401</v>
      </c>
      <c r="E963" s="67"/>
      <c r="F963" s="67"/>
      <c r="G963" s="64" t="str">
        <f>IF(stdProdLT(Main[[#This Row],[Comments]])=0.1,"N/A",IF(stdProdLT(Main[[#This Row],[Comments]])=0,"",stdProdLT(Main[[#This Row],[Comments]])))</f>
        <v/>
      </c>
      <c r="H963" s="68" t="str">
        <f>IF(AND(Main[[#This Row],[In Stock Date]]&lt;&gt;"",Main[[#This Row],[Revised Due Date]]&lt;&gt;""),Main[[#This Row],[In Stock Date]]-Main[[#This Row],[Revised Due Date]],"")</f>
        <v/>
      </c>
      <c r="I963" s="65" t="s">
        <v>4</v>
      </c>
      <c r="J963" s="65" t="s">
        <v>4</v>
      </c>
      <c r="K963" s="65" t="s">
        <v>4</v>
      </c>
      <c r="L963" s="67"/>
      <c r="M963" s="69" t="str">
        <f>IF(Main[[#This Row],[Tech Start Date]]&lt;1/1/1990,"",IF(Main[[#This Row],[Class]]="C",WORKDAY(Main[[#This Row],[Tech Start Date]],9),IF(Main[[#This Row],[Class]]="B", WORKDAY(Main[[#This Row],[Tech Start Date]],6),IF(Main[[#This Row],[Class]]="A",WORKDAY(Main[[#This Row],[Tech Start Date]],2),""))))</f>
        <v/>
      </c>
      <c r="N963" s="69" t="str">
        <f>IF(Main[[#This Row],[Tech Start Date]]&lt;1/1/1990,"",IF(Main[[#This Row],[Class]]="C",WORKDAY(Main[[#This Row],[Tech Start Date]],19),IF(Main[[#This Row],[Class]]="B", WORKDAY(Main[[#This Row],[Tech Start Date]],12),IF(Main[[#This Row],[Class]]="A",WORKDAY(Main[[#This Row],[Tech Start Date]],4),""))))</f>
        <v/>
      </c>
      <c r="O963" s="69" t="str">
        <f>IF(Main[[#This Row],[Tech Start Date]]&lt;1/1/1990,"",IF(Main[[#This Row],[Class]]="C",WORKDAY(Main[[#This Row],[Tech Start Date]],23),IF(Main[[#This Row],[Class]]="B", WORKDAY(Main[[#This Row],[Tech Start Date]],15),IF(Main[[#This Row],[Class]]="A",WORKDAY(Main[[#This Row],[Tech Start Date]],5),""))))</f>
        <v/>
      </c>
      <c r="P963" s="69" t="str">
        <f>IF(Main[[#This Row],[Tech Start Date]]&lt;1/1/1990,"",IF(Main[[#This Row],[Class]]="C",WORKDAY(Main[[#This Row],[Tech Start Date]],28),IF(Main[[#This Row],[Class]]="B", WORKDAY(Main[[#This Row],[Tech Start Date]],19),IF(Main[[#This Row],[Class]]="A",WORKDAY(Main[[#This Row],[Tech Start Date]],9),""))))</f>
        <v/>
      </c>
      <c r="Q963" s="67"/>
      <c r="R963" s="67"/>
      <c r="S963" s="65" t="s">
        <v>11</v>
      </c>
      <c r="T963" s="70" t="s">
        <v>4</v>
      </c>
      <c r="U963" s="65" t="s">
        <v>14</v>
      </c>
      <c r="V963" s="65" t="s">
        <v>1918</v>
      </c>
      <c r="W963" s="65" t="s">
        <v>4</v>
      </c>
      <c r="X963" s="65" t="s">
        <v>2254</v>
      </c>
      <c r="Y963" s="65" t="s">
        <v>4</v>
      </c>
      <c r="Z963" s="65" t="s">
        <v>4</v>
      </c>
      <c r="AA963" s="65" t="s">
        <v>4</v>
      </c>
    </row>
    <row r="964" spans="1:27" ht="17.45" customHeight="1">
      <c r="A964" s="131" t="str">
        <f>IF(priority(Main[[#This Row],[Comments]])&lt;&gt;0, priority(Main[[#This Row],[Comments]]),"")</f>
        <v/>
      </c>
      <c r="B964" s="99" t="s">
        <v>1830</v>
      </c>
      <c r="C964" s="65" t="s">
        <v>365</v>
      </c>
      <c r="D964" s="66" t="s">
        <v>2121</v>
      </c>
      <c r="E964" s="67">
        <v>40002.664317129631</v>
      </c>
      <c r="F964" s="67">
        <v>40074</v>
      </c>
      <c r="G964" s="64">
        <f>IF(stdProdLT(Main[[#This Row],[Comments]])=0.1,"N/A",IF(stdProdLT(Main[[#This Row],[Comments]])=0,"",stdProdLT(Main[[#This Row],[Comments]])))</f>
        <v>126</v>
      </c>
      <c r="H964" s="68">
        <f>IF(AND(Main[[#This Row],[In Stock Date]]&lt;&gt;"",Main[[#This Row],[Revised Due Date]]&lt;&gt;""),Main[[#This Row],[In Stock Date]]-Main[[#This Row],[Revised Due Date]],"")</f>
        <v>-399</v>
      </c>
      <c r="I964" s="65" t="s">
        <v>2056</v>
      </c>
      <c r="J964" s="65" t="s">
        <v>28</v>
      </c>
      <c r="K964" s="65" t="s">
        <v>1930</v>
      </c>
      <c r="L964" s="67"/>
      <c r="M964" s="69" t="str">
        <f>IF(Main[[#This Row],[Tech Start Date]]&lt;1/1/1990,"",IF(Main[[#This Row],[Class]]="C",WORKDAY(Main[[#This Row],[Tech Start Date]],9),IF(Main[[#This Row],[Class]]="B", WORKDAY(Main[[#This Row],[Tech Start Date]],6),IF(Main[[#This Row],[Class]]="A",WORKDAY(Main[[#This Row],[Tech Start Date]],2),""))))</f>
        <v/>
      </c>
      <c r="N964" s="69" t="str">
        <f>IF(Main[[#This Row],[Tech Start Date]]&lt;1/1/1990,"",IF(Main[[#This Row],[Class]]="C",WORKDAY(Main[[#This Row],[Tech Start Date]],19),IF(Main[[#This Row],[Class]]="B", WORKDAY(Main[[#This Row],[Tech Start Date]],12),IF(Main[[#This Row],[Class]]="A",WORKDAY(Main[[#This Row],[Tech Start Date]],4),""))))</f>
        <v/>
      </c>
      <c r="O964" s="69" t="str">
        <f>IF(Main[[#This Row],[Tech Start Date]]&lt;1/1/1990,"",IF(Main[[#This Row],[Class]]="C",WORKDAY(Main[[#This Row],[Tech Start Date]],23),IF(Main[[#This Row],[Class]]="B", WORKDAY(Main[[#This Row],[Tech Start Date]],15),IF(Main[[#This Row],[Class]]="A",WORKDAY(Main[[#This Row],[Tech Start Date]],5),""))))</f>
        <v/>
      </c>
      <c r="P964" s="69" t="str">
        <f>IF(Main[[#This Row],[Tech Start Date]]&lt;1/1/1990,"",IF(Main[[#This Row],[Class]]="C",WORKDAY(Main[[#This Row],[Tech Start Date]],28),IF(Main[[#This Row],[Class]]="B", WORKDAY(Main[[#This Row],[Tech Start Date]],19),IF(Main[[#This Row],[Class]]="A",WORKDAY(Main[[#This Row],[Tech Start Date]],9),""))))</f>
        <v/>
      </c>
      <c r="Q964" s="67">
        <v>40057</v>
      </c>
      <c r="R964" s="67">
        <v>40473</v>
      </c>
      <c r="S964" s="65" t="s">
        <v>6</v>
      </c>
      <c r="T964" s="70" t="s">
        <v>2122</v>
      </c>
      <c r="U964" s="65" t="s">
        <v>29</v>
      </c>
      <c r="V964" s="65" t="s">
        <v>1918</v>
      </c>
      <c r="W964" s="65" t="s">
        <v>1921</v>
      </c>
      <c r="X964" s="65" t="s">
        <v>2874</v>
      </c>
      <c r="Y964" s="65" t="s">
        <v>3113</v>
      </c>
      <c r="Z964" s="65" t="s">
        <v>2056</v>
      </c>
      <c r="AA964" s="65" t="s">
        <v>3451</v>
      </c>
    </row>
    <row r="965" spans="1:27" ht="17.45" customHeight="1">
      <c r="A965" s="131" t="str">
        <f>IF(priority(Main[[#This Row],[Comments]])&lt;&gt;0, priority(Main[[#This Row],[Comments]]),"")</f>
        <v/>
      </c>
      <c r="B965" s="99" t="s">
        <v>3248</v>
      </c>
      <c r="C965" s="65" t="s">
        <v>4</v>
      </c>
      <c r="D965" s="66" t="s">
        <v>3249</v>
      </c>
      <c r="E965" s="67">
        <v>40927.617210648146</v>
      </c>
      <c r="F965" s="67"/>
      <c r="G965" s="64" t="str">
        <f>IF(stdProdLT(Main[[#This Row],[Comments]])=0.1,"N/A",IF(stdProdLT(Main[[#This Row],[Comments]])=0,"",stdProdLT(Main[[#This Row],[Comments]])))</f>
        <v/>
      </c>
      <c r="H965" s="68" t="str">
        <f>IF(AND(Main[[#This Row],[In Stock Date]]&lt;&gt;"",Main[[#This Row],[Revised Due Date]]&lt;&gt;""),Main[[#This Row],[In Stock Date]]-Main[[#This Row],[Revised Due Date]],"")</f>
        <v/>
      </c>
      <c r="I965" s="65" t="s">
        <v>4</v>
      </c>
      <c r="J965" s="65" t="s">
        <v>4</v>
      </c>
      <c r="K965" s="65" t="s">
        <v>4</v>
      </c>
      <c r="L965" s="67"/>
      <c r="M965" s="69" t="str">
        <f>IF(Main[[#This Row],[Tech Start Date]]&lt;1/1/1990,"",IF(Main[[#This Row],[Class]]="C",WORKDAY(Main[[#This Row],[Tech Start Date]],9),IF(Main[[#This Row],[Class]]="B", WORKDAY(Main[[#This Row],[Tech Start Date]],6),IF(Main[[#This Row],[Class]]="A",WORKDAY(Main[[#This Row],[Tech Start Date]],2),""))))</f>
        <v/>
      </c>
      <c r="N965" s="69" t="str">
        <f>IF(Main[[#This Row],[Tech Start Date]]&lt;1/1/1990,"",IF(Main[[#This Row],[Class]]="C",WORKDAY(Main[[#This Row],[Tech Start Date]],19),IF(Main[[#This Row],[Class]]="B", WORKDAY(Main[[#This Row],[Tech Start Date]],12),IF(Main[[#This Row],[Class]]="A",WORKDAY(Main[[#This Row],[Tech Start Date]],4),""))))</f>
        <v/>
      </c>
      <c r="O965" s="69" t="str">
        <f>IF(Main[[#This Row],[Tech Start Date]]&lt;1/1/1990,"",IF(Main[[#This Row],[Class]]="C",WORKDAY(Main[[#This Row],[Tech Start Date]],23),IF(Main[[#This Row],[Class]]="B", WORKDAY(Main[[#This Row],[Tech Start Date]],15),IF(Main[[#This Row],[Class]]="A",WORKDAY(Main[[#This Row],[Tech Start Date]],5),""))))</f>
        <v/>
      </c>
      <c r="P965" s="69" t="str">
        <f>IF(Main[[#This Row],[Tech Start Date]]&lt;1/1/1990,"",IF(Main[[#This Row],[Class]]="C",WORKDAY(Main[[#This Row],[Tech Start Date]],28),IF(Main[[#This Row],[Class]]="B", WORKDAY(Main[[#This Row],[Tech Start Date]],19),IF(Main[[#This Row],[Class]]="A",WORKDAY(Main[[#This Row],[Tech Start Date]],9),""))))</f>
        <v/>
      </c>
      <c r="Q965" s="67"/>
      <c r="R965" s="67"/>
      <c r="S965" s="65" t="s">
        <v>6</v>
      </c>
      <c r="T965" s="70" t="s">
        <v>4</v>
      </c>
      <c r="U965" s="65" t="s">
        <v>29</v>
      </c>
      <c r="V965" s="65" t="s">
        <v>1918</v>
      </c>
      <c r="W965" s="65" t="s">
        <v>1921</v>
      </c>
      <c r="X965" s="65" t="s">
        <v>102</v>
      </c>
      <c r="Y965" s="65" t="s">
        <v>3250</v>
      </c>
      <c r="Z965" s="65" t="s">
        <v>4</v>
      </c>
      <c r="AA965" s="65" t="s">
        <v>2056</v>
      </c>
    </row>
    <row r="966" spans="1:27" ht="17.45" customHeight="1">
      <c r="A966" s="131" t="str">
        <f>IF(priority(Main[[#This Row],[Comments]])&lt;&gt;0, priority(Main[[#This Row],[Comments]]),"")</f>
        <v/>
      </c>
      <c r="B966" s="99" t="s">
        <v>1762</v>
      </c>
      <c r="C966" s="65" t="s">
        <v>72</v>
      </c>
      <c r="D966" s="66" t="s">
        <v>808</v>
      </c>
      <c r="E966" s="67"/>
      <c r="F966" s="67">
        <v>40756</v>
      </c>
      <c r="G966" s="64" t="str">
        <f>IF(stdProdLT(Main[[#This Row],[Comments]])=0.1,"N/A",IF(stdProdLT(Main[[#This Row],[Comments]])=0,"",stdProdLT(Main[[#This Row],[Comments]])))</f>
        <v/>
      </c>
      <c r="H966" s="68" t="str">
        <f>IF(AND(Main[[#This Row],[In Stock Date]]&lt;&gt;"",Main[[#This Row],[Revised Due Date]]&lt;&gt;""),Main[[#This Row],[In Stock Date]]-Main[[#This Row],[Revised Due Date]],"")</f>
        <v/>
      </c>
      <c r="I966" s="65" t="s">
        <v>4</v>
      </c>
      <c r="J966" s="65" t="s">
        <v>28</v>
      </c>
      <c r="K966" s="65" t="s">
        <v>4</v>
      </c>
      <c r="L966" s="67"/>
      <c r="M966" s="69" t="str">
        <f>IF(Main[[#This Row],[Tech Start Date]]&lt;1/1/1990,"",IF(Main[[#This Row],[Class]]="C",WORKDAY(Main[[#This Row],[Tech Start Date]],9),IF(Main[[#This Row],[Class]]="B", WORKDAY(Main[[#This Row],[Tech Start Date]],6),IF(Main[[#This Row],[Class]]="A",WORKDAY(Main[[#This Row],[Tech Start Date]],2),""))))</f>
        <v/>
      </c>
      <c r="N966" s="69" t="str">
        <f>IF(Main[[#This Row],[Tech Start Date]]&lt;1/1/1990,"",IF(Main[[#This Row],[Class]]="C",WORKDAY(Main[[#This Row],[Tech Start Date]],19),IF(Main[[#This Row],[Class]]="B", WORKDAY(Main[[#This Row],[Tech Start Date]],12),IF(Main[[#This Row],[Class]]="A",WORKDAY(Main[[#This Row],[Tech Start Date]],4),""))))</f>
        <v/>
      </c>
      <c r="O966" s="69" t="str">
        <f>IF(Main[[#This Row],[Tech Start Date]]&lt;1/1/1990,"",IF(Main[[#This Row],[Class]]="C",WORKDAY(Main[[#This Row],[Tech Start Date]],23),IF(Main[[#This Row],[Class]]="B", WORKDAY(Main[[#This Row],[Tech Start Date]],15),IF(Main[[#This Row],[Class]]="A",WORKDAY(Main[[#This Row],[Tech Start Date]],5),""))))</f>
        <v/>
      </c>
      <c r="P966" s="69" t="str">
        <f>IF(Main[[#This Row],[Tech Start Date]]&lt;1/1/1990,"",IF(Main[[#This Row],[Class]]="C",WORKDAY(Main[[#This Row],[Tech Start Date]],28),IF(Main[[#This Row],[Class]]="B", WORKDAY(Main[[#This Row],[Tech Start Date]],19),IF(Main[[#This Row],[Class]]="A",WORKDAY(Main[[#This Row],[Tech Start Date]],9),""))))</f>
        <v/>
      </c>
      <c r="Q966" s="67"/>
      <c r="R966" s="67"/>
      <c r="S966" s="65" t="s">
        <v>11</v>
      </c>
      <c r="T966" s="70" t="s">
        <v>4</v>
      </c>
      <c r="U966" s="65" t="s">
        <v>14</v>
      </c>
      <c r="V966" s="65" t="s">
        <v>1920</v>
      </c>
      <c r="W966" s="65" t="s">
        <v>1922</v>
      </c>
      <c r="X966" s="65" t="s">
        <v>50</v>
      </c>
      <c r="Y966" s="65" t="s">
        <v>2984</v>
      </c>
      <c r="Z966" s="65" t="s">
        <v>30</v>
      </c>
      <c r="AA966" s="65" t="s">
        <v>2853</v>
      </c>
    </row>
    <row r="967" spans="1:27" ht="17.45" customHeight="1">
      <c r="A967" s="131" t="str">
        <f>IF(priority(Main[[#This Row],[Comments]])&lt;&gt;0, priority(Main[[#This Row],[Comments]]),"")</f>
        <v/>
      </c>
      <c r="B967" s="99" t="s">
        <v>1763</v>
      </c>
      <c r="C967" s="65" t="s">
        <v>47</v>
      </c>
      <c r="D967" s="66" t="s">
        <v>809</v>
      </c>
      <c r="E967" s="67"/>
      <c r="F967" s="67"/>
      <c r="G967" s="64" t="str">
        <f>IF(stdProdLT(Main[[#This Row],[Comments]])=0.1,"N/A",IF(stdProdLT(Main[[#This Row],[Comments]])=0,"",stdProdLT(Main[[#This Row],[Comments]])))</f>
        <v/>
      </c>
      <c r="H967" s="68" t="str">
        <f>IF(AND(Main[[#This Row],[In Stock Date]]&lt;&gt;"",Main[[#This Row],[Revised Due Date]]&lt;&gt;""),Main[[#This Row],[In Stock Date]]-Main[[#This Row],[Revised Due Date]],"")</f>
        <v/>
      </c>
      <c r="I967" s="65" t="s">
        <v>4</v>
      </c>
      <c r="J967" s="65" t="s">
        <v>4</v>
      </c>
      <c r="K967" s="65" t="s">
        <v>4</v>
      </c>
      <c r="L967" s="67"/>
      <c r="M967" s="69" t="str">
        <f>IF(Main[[#This Row],[Tech Start Date]]&lt;1/1/1990,"",IF(Main[[#This Row],[Class]]="C",WORKDAY(Main[[#This Row],[Tech Start Date]],9),IF(Main[[#This Row],[Class]]="B", WORKDAY(Main[[#This Row],[Tech Start Date]],6),IF(Main[[#This Row],[Class]]="A",WORKDAY(Main[[#This Row],[Tech Start Date]],2),""))))</f>
        <v/>
      </c>
      <c r="N967" s="69" t="str">
        <f>IF(Main[[#This Row],[Tech Start Date]]&lt;1/1/1990,"",IF(Main[[#This Row],[Class]]="C",WORKDAY(Main[[#This Row],[Tech Start Date]],19),IF(Main[[#This Row],[Class]]="B", WORKDAY(Main[[#This Row],[Tech Start Date]],12),IF(Main[[#This Row],[Class]]="A",WORKDAY(Main[[#This Row],[Tech Start Date]],4),""))))</f>
        <v/>
      </c>
      <c r="O967" s="69" t="str">
        <f>IF(Main[[#This Row],[Tech Start Date]]&lt;1/1/1990,"",IF(Main[[#This Row],[Class]]="C",WORKDAY(Main[[#This Row],[Tech Start Date]],23),IF(Main[[#This Row],[Class]]="B", WORKDAY(Main[[#This Row],[Tech Start Date]],15),IF(Main[[#This Row],[Class]]="A",WORKDAY(Main[[#This Row],[Tech Start Date]],5),""))))</f>
        <v/>
      </c>
      <c r="P967" s="69" t="str">
        <f>IF(Main[[#This Row],[Tech Start Date]]&lt;1/1/1990,"",IF(Main[[#This Row],[Class]]="C",WORKDAY(Main[[#This Row],[Tech Start Date]],28),IF(Main[[#This Row],[Class]]="B", WORKDAY(Main[[#This Row],[Tech Start Date]],19),IF(Main[[#This Row],[Class]]="A",WORKDAY(Main[[#This Row],[Tech Start Date]],9),""))))</f>
        <v/>
      </c>
      <c r="Q967" s="67"/>
      <c r="R967" s="67"/>
      <c r="S967" s="65" t="s">
        <v>17</v>
      </c>
      <c r="T967" s="70" t="s">
        <v>4</v>
      </c>
      <c r="U967" s="65" t="s">
        <v>14</v>
      </c>
      <c r="V967" s="65" t="s">
        <v>1918</v>
      </c>
      <c r="W967" s="65" t="s">
        <v>1925</v>
      </c>
      <c r="X967" s="65" t="s">
        <v>306</v>
      </c>
      <c r="Y967" s="65" t="s">
        <v>2947</v>
      </c>
      <c r="Z967" s="65" t="s">
        <v>4</v>
      </c>
      <c r="AA967" s="65" t="s">
        <v>3388</v>
      </c>
    </row>
    <row r="968" spans="1:27" ht="17.45" customHeight="1">
      <c r="A968" s="131" t="str">
        <f>IF(priority(Main[[#This Row],[Comments]])&lt;&gt;0, priority(Main[[#This Row],[Comments]]),"")</f>
        <v/>
      </c>
      <c r="B968" s="99" t="s">
        <v>1764</v>
      </c>
      <c r="C968" s="65" t="s">
        <v>4</v>
      </c>
      <c r="D968" s="66" t="s">
        <v>810</v>
      </c>
      <c r="E968" s="67">
        <v>40634.342361111114</v>
      </c>
      <c r="F968" s="67"/>
      <c r="G968" s="64" t="str">
        <f>IF(stdProdLT(Main[[#This Row],[Comments]])=0.1,"N/A",IF(stdProdLT(Main[[#This Row],[Comments]])=0,"",stdProdLT(Main[[#This Row],[Comments]])))</f>
        <v/>
      </c>
      <c r="H968" s="68" t="str">
        <f>IF(AND(Main[[#This Row],[In Stock Date]]&lt;&gt;"",Main[[#This Row],[Revised Due Date]]&lt;&gt;""),Main[[#This Row],[In Stock Date]]-Main[[#This Row],[Revised Due Date]],"")</f>
        <v/>
      </c>
      <c r="I968" s="65" t="s">
        <v>4</v>
      </c>
      <c r="J968" s="65" t="s">
        <v>4</v>
      </c>
      <c r="K968" s="65" t="s">
        <v>4</v>
      </c>
      <c r="L968" s="67"/>
      <c r="M968" s="69" t="str">
        <f>IF(Main[[#This Row],[Tech Start Date]]&lt;1/1/1990,"",IF(Main[[#This Row],[Class]]="C",WORKDAY(Main[[#This Row],[Tech Start Date]],9),IF(Main[[#This Row],[Class]]="B", WORKDAY(Main[[#This Row],[Tech Start Date]],6),IF(Main[[#This Row],[Class]]="A",WORKDAY(Main[[#This Row],[Tech Start Date]],2),""))))</f>
        <v/>
      </c>
      <c r="N968" s="69" t="str">
        <f>IF(Main[[#This Row],[Tech Start Date]]&lt;1/1/1990,"",IF(Main[[#This Row],[Class]]="C",WORKDAY(Main[[#This Row],[Tech Start Date]],19),IF(Main[[#This Row],[Class]]="B", WORKDAY(Main[[#This Row],[Tech Start Date]],12),IF(Main[[#This Row],[Class]]="A",WORKDAY(Main[[#This Row],[Tech Start Date]],4),""))))</f>
        <v/>
      </c>
      <c r="O968" s="69" t="str">
        <f>IF(Main[[#This Row],[Tech Start Date]]&lt;1/1/1990,"",IF(Main[[#This Row],[Class]]="C",WORKDAY(Main[[#This Row],[Tech Start Date]],23),IF(Main[[#This Row],[Class]]="B", WORKDAY(Main[[#This Row],[Tech Start Date]],15),IF(Main[[#This Row],[Class]]="A",WORKDAY(Main[[#This Row],[Tech Start Date]],5),""))))</f>
        <v/>
      </c>
      <c r="P968" s="69" t="str">
        <f>IF(Main[[#This Row],[Tech Start Date]]&lt;1/1/1990,"",IF(Main[[#This Row],[Class]]="C",WORKDAY(Main[[#This Row],[Tech Start Date]],28),IF(Main[[#This Row],[Class]]="B", WORKDAY(Main[[#This Row],[Tech Start Date]],19),IF(Main[[#This Row],[Class]]="A",WORKDAY(Main[[#This Row],[Tech Start Date]],9),""))))</f>
        <v/>
      </c>
      <c r="Q968" s="67">
        <v>40676</v>
      </c>
      <c r="R968" s="67"/>
      <c r="S968" s="65" t="s">
        <v>6</v>
      </c>
      <c r="T968" s="70" t="s">
        <v>4</v>
      </c>
      <c r="U968" s="65" t="s">
        <v>7</v>
      </c>
      <c r="V968" s="65" t="s">
        <v>1918</v>
      </c>
      <c r="W968" s="65" t="s">
        <v>4</v>
      </c>
      <c r="X968" s="65" t="s">
        <v>2824</v>
      </c>
      <c r="Y968" s="65" t="s">
        <v>2935</v>
      </c>
      <c r="Z968" s="65" t="s">
        <v>4</v>
      </c>
      <c r="AA968" s="65" t="s">
        <v>2824</v>
      </c>
    </row>
    <row r="969" spans="1:27" ht="17.45" customHeight="1">
      <c r="A969" s="131" t="str">
        <f>IF(priority(Main[[#This Row],[Comments]])&lt;&gt;0, priority(Main[[#This Row],[Comments]]),"")</f>
        <v/>
      </c>
      <c r="B969" s="99" t="s">
        <v>1765</v>
      </c>
      <c r="C969" s="65" t="s">
        <v>31</v>
      </c>
      <c r="D969" s="66" t="s">
        <v>811</v>
      </c>
      <c r="E969" s="67"/>
      <c r="F969" s="67"/>
      <c r="G969" s="64" t="str">
        <f>IF(stdProdLT(Main[[#This Row],[Comments]])=0.1,"N/A",IF(stdProdLT(Main[[#This Row],[Comments]])=0,"",stdProdLT(Main[[#This Row],[Comments]])))</f>
        <v/>
      </c>
      <c r="H969" s="68" t="str">
        <f>IF(AND(Main[[#This Row],[In Stock Date]]&lt;&gt;"",Main[[#This Row],[Revised Due Date]]&lt;&gt;""),Main[[#This Row],[In Stock Date]]-Main[[#This Row],[Revised Due Date]],"")</f>
        <v/>
      </c>
      <c r="I969" s="65" t="s">
        <v>4</v>
      </c>
      <c r="J969" s="65" t="s">
        <v>4</v>
      </c>
      <c r="K969" s="65" t="s">
        <v>4</v>
      </c>
      <c r="L969" s="67"/>
      <c r="M969" s="69" t="str">
        <f>IF(Main[[#This Row],[Tech Start Date]]&lt;1/1/1990,"",IF(Main[[#This Row],[Class]]="C",WORKDAY(Main[[#This Row],[Tech Start Date]],9),IF(Main[[#This Row],[Class]]="B", WORKDAY(Main[[#This Row],[Tech Start Date]],6),IF(Main[[#This Row],[Class]]="A",WORKDAY(Main[[#This Row],[Tech Start Date]],2),""))))</f>
        <v/>
      </c>
      <c r="N969" s="69" t="str">
        <f>IF(Main[[#This Row],[Tech Start Date]]&lt;1/1/1990,"",IF(Main[[#This Row],[Class]]="C",WORKDAY(Main[[#This Row],[Tech Start Date]],19),IF(Main[[#This Row],[Class]]="B", WORKDAY(Main[[#This Row],[Tech Start Date]],12),IF(Main[[#This Row],[Class]]="A",WORKDAY(Main[[#This Row],[Tech Start Date]],4),""))))</f>
        <v/>
      </c>
      <c r="O969" s="69" t="str">
        <f>IF(Main[[#This Row],[Tech Start Date]]&lt;1/1/1990,"",IF(Main[[#This Row],[Class]]="C",WORKDAY(Main[[#This Row],[Tech Start Date]],23),IF(Main[[#This Row],[Class]]="B", WORKDAY(Main[[#This Row],[Tech Start Date]],15),IF(Main[[#This Row],[Class]]="A",WORKDAY(Main[[#This Row],[Tech Start Date]],5),""))))</f>
        <v/>
      </c>
      <c r="P969" s="69" t="str">
        <f>IF(Main[[#This Row],[Tech Start Date]]&lt;1/1/1990,"",IF(Main[[#This Row],[Class]]="C",WORKDAY(Main[[#This Row],[Tech Start Date]],28),IF(Main[[#This Row],[Class]]="B", WORKDAY(Main[[#This Row],[Tech Start Date]],19),IF(Main[[#This Row],[Class]]="A",WORKDAY(Main[[#This Row],[Tech Start Date]],9),""))))</f>
        <v/>
      </c>
      <c r="Q969" s="67">
        <v>40318</v>
      </c>
      <c r="R969" s="67"/>
      <c r="S969" s="65" t="s">
        <v>11</v>
      </c>
      <c r="T969" s="70" t="s">
        <v>4</v>
      </c>
      <c r="U969" s="65" t="s">
        <v>14</v>
      </c>
      <c r="V969" s="65" t="s">
        <v>1920</v>
      </c>
      <c r="W969" s="65" t="s">
        <v>1919</v>
      </c>
      <c r="X969" s="65" t="s">
        <v>2836</v>
      </c>
      <c r="Y969" s="65" t="s">
        <v>4</v>
      </c>
      <c r="Z969" s="65" t="s">
        <v>4</v>
      </c>
      <c r="AA969" s="65" t="s">
        <v>2836</v>
      </c>
    </row>
    <row r="970" spans="1:27" ht="17.45" customHeight="1">
      <c r="A970" s="131" t="str">
        <f>IF(priority(Main[[#This Row],[Comments]])&lt;&gt;0, priority(Main[[#This Row],[Comments]]),"")</f>
        <v/>
      </c>
      <c r="B970" s="99" t="s">
        <v>1766</v>
      </c>
      <c r="C970" s="65" t="s">
        <v>4</v>
      </c>
      <c r="D970" s="66" t="s">
        <v>120</v>
      </c>
      <c r="E970" s="67"/>
      <c r="F970" s="67"/>
      <c r="G970" s="64" t="str">
        <f>IF(stdProdLT(Main[[#This Row],[Comments]])=0.1,"N/A",IF(stdProdLT(Main[[#This Row],[Comments]])=0,"",stdProdLT(Main[[#This Row],[Comments]])))</f>
        <v/>
      </c>
      <c r="H970" s="68" t="str">
        <f>IF(AND(Main[[#This Row],[In Stock Date]]&lt;&gt;"",Main[[#This Row],[Revised Due Date]]&lt;&gt;""),Main[[#This Row],[In Stock Date]]-Main[[#This Row],[Revised Due Date]],"")</f>
        <v/>
      </c>
      <c r="I970" s="65" t="s">
        <v>4</v>
      </c>
      <c r="J970" s="65" t="s">
        <v>4</v>
      </c>
      <c r="K970" s="71" t="s">
        <v>4</v>
      </c>
      <c r="L970" s="67"/>
      <c r="M970" s="69" t="str">
        <f>IF(Main[[#This Row],[Tech Start Date]]&lt;1/1/1990,"",IF(Main[[#This Row],[Class]]="C",WORKDAY(Main[[#This Row],[Tech Start Date]],9),IF(Main[[#This Row],[Class]]="B", WORKDAY(Main[[#This Row],[Tech Start Date]],6),IF(Main[[#This Row],[Class]]="A",WORKDAY(Main[[#This Row],[Tech Start Date]],2),""))))</f>
        <v/>
      </c>
      <c r="N970" s="69" t="str">
        <f>IF(Main[[#This Row],[Tech Start Date]]&lt;1/1/1990,"",IF(Main[[#This Row],[Class]]="C",WORKDAY(Main[[#This Row],[Tech Start Date]],19),IF(Main[[#This Row],[Class]]="B", WORKDAY(Main[[#This Row],[Tech Start Date]],12),IF(Main[[#This Row],[Class]]="A",WORKDAY(Main[[#This Row],[Tech Start Date]],4),""))))</f>
        <v/>
      </c>
      <c r="O970" s="69" t="str">
        <f>IF(Main[[#This Row],[Tech Start Date]]&lt;1/1/1990,"",IF(Main[[#This Row],[Class]]="C",WORKDAY(Main[[#This Row],[Tech Start Date]],23),IF(Main[[#This Row],[Class]]="B", WORKDAY(Main[[#This Row],[Tech Start Date]],15),IF(Main[[#This Row],[Class]]="A",WORKDAY(Main[[#This Row],[Tech Start Date]],5),""))))</f>
        <v/>
      </c>
      <c r="P970" s="69" t="str">
        <f>IF(Main[[#This Row],[Tech Start Date]]&lt;1/1/1990,"",IF(Main[[#This Row],[Class]]="C",WORKDAY(Main[[#This Row],[Tech Start Date]],28),IF(Main[[#This Row],[Class]]="B", WORKDAY(Main[[#This Row],[Tech Start Date]],19),IF(Main[[#This Row],[Class]]="A",WORKDAY(Main[[#This Row],[Tech Start Date]],9),""))))</f>
        <v/>
      </c>
      <c r="Q970" s="67"/>
      <c r="R970" s="67"/>
      <c r="S970" s="65" t="s">
        <v>11</v>
      </c>
      <c r="T970" s="70" t="s">
        <v>4</v>
      </c>
      <c r="U970" s="65" t="s">
        <v>14</v>
      </c>
      <c r="V970" s="65" t="s">
        <v>1920</v>
      </c>
      <c r="W970" s="65" t="s">
        <v>1931</v>
      </c>
      <c r="X970" s="65" t="s">
        <v>2848</v>
      </c>
      <c r="Y970" s="65" t="s">
        <v>2980</v>
      </c>
      <c r="Z970" s="65" t="s">
        <v>4</v>
      </c>
      <c r="AA970" s="65" t="s">
        <v>2848</v>
      </c>
    </row>
    <row r="971" spans="1:27" ht="17.45" customHeight="1">
      <c r="A971" s="131" t="str">
        <f>IF(priority(Main[[#This Row],[Comments]])&lt;&gt;0, priority(Main[[#This Row],[Comments]]),"")</f>
        <v/>
      </c>
      <c r="B971" s="99" t="s">
        <v>1767</v>
      </c>
      <c r="C971" s="65" t="s">
        <v>4</v>
      </c>
      <c r="D971" s="66" t="s">
        <v>812</v>
      </c>
      <c r="E971" s="67">
        <v>40687.166759259257</v>
      </c>
      <c r="F971" s="67"/>
      <c r="G971" s="64" t="str">
        <f>IF(stdProdLT(Main[[#This Row],[Comments]])=0.1,"N/A",IF(stdProdLT(Main[[#This Row],[Comments]])=0,"",stdProdLT(Main[[#This Row],[Comments]])))</f>
        <v/>
      </c>
      <c r="H971" s="68" t="str">
        <f>IF(AND(Main[[#This Row],[In Stock Date]]&lt;&gt;"",Main[[#This Row],[Revised Due Date]]&lt;&gt;""),Main[[#This Row],[In Stock Date]]-Main[[#This Row],[Revised Due Date]],"")</f>
        <v/>
      </c>
      <c r="I971" s="65" t="s">
        <v>4</v>
      </c>
      <c r="J971" s="65" t="s">
        <v>4</v>
      </c>
      <c r="K971" s="65" t="s">
        <v>4</v>
      </c>
      <c r="L971" s="67"/>
      <c r="M971" s="69" t="str">
        <f>IF(Main[[#This Row],[Tech Start Date]]&lt;1/1/1990,"",IF(Main[[#This Row],[Class]]="C",WORKDAY(Main[[#This Row],[Tech Start Date]],9),IF(Main[[#This Row],[Class]]="B", WORKDAY(Main[[#This Row],[Tech Start Date]],6),IF(Main[[#This Row],[Class]]="A",WORKDAY(Main[[#This Row],[Tech Start Date]],2),""))))</f>
        <v/>
      </c>
      <c r="N971" s="69" t="str">
        <f>IF(Main[[#This Row],[Tech Start Date]]&lt;1/1/1990,"",IF(Main[[#This Row],[Class]]="C",WORKDAY(Main[[#This Row],[Tech Start Date]],19),IF(Main[[#This Row],[Class]]="B", WORKDAY(Main[[#This Row],[Tech Start Date]],12),IF(Main[[#This Row],[Class]]="A",WORKDAY(Main[[#This Row],[Tech Start Date]],4),""))))</f>
        <v/>
      </c>
      <c r="O971" s="69" t="str">
        <f>IF(Main[[#This Row],[Tech Start Date]]&lt;1/1/1990,"",IF(Main[[#This Row],[Class]]="C",WORKDAY(Main[[#This Row],[Tech Start Date]],23),IF(Main[[#This Row],[Class]]="B", WORKDAY(Main[[#This Row],[Tech Start Date]],15),IF(Main[[#This Row],[Class]]="A",WORKDAY(Main[[#This Row],[Tech Start Date]],5),""))))</f>
        <v/>
      </c>
      <c r="P971" s="69" t="str">
        <f>IF(Main[[#This Row],[Tech Start Date]]&lt;1/1/1990,"",IF(Main[[#This Row],[Class]]="C",WORKDAY(Main[[#This Row],[Tech Start Date]],28),IF(Main[[#This Row],[Class]]="B", WORKDAY(Main[[#This Row],[Tech Start Date]],19),IF(Main[[#This Row],[Class]]="A",WORKDAY(Main[[#This Row],[Tech Start Date]],9),""))))</f>
        <v/>
      </c>
      <c r="Q971" s="67">
        <v>40724</v>
      </c>
      <c r="R971" s="67"/>
      <c r="S971" s="65" t="s">
        <v>6</v>
      </c>
      <c r="T971" s="70" t="s">
        <v>4</v>
      </c>
      <c r="U971" s="65" t="s">
        <v>7</v>
      </c>
      <c r="V971" s="65" t="s">
        <v>1917</v>
      </c>
      <c r="W971" s="65" t="s">
        <v>4</v>
      </c>
      <c r="X971" s="65" t="s">
        <v>2828</v>
      </c>
      <c r="Y971" s="65" t="s">
        <v>2944</v>
      </c>
      <c r="Z971" s="65" t="s">
        <v>4</v>
      </c>
      <c r="AA971" s="65" t="s">
        <v>2828</v>
      </c>
    </row>
    <row r="972" spans="1:27" ht="17.45" customHeight="1">
      <c r="A972" s="131" t="str">
        <f>IF(priority(Main[[#This Row],[Comments]])&lt;&gt;0, priority(Main[[#This Row],[Comments]]),"")</f>
        <v/>
      </c>
      <c r="B972" s="99" t="s">
        <v>1769</v>
      </c>
      <c r="C972" s="65" t="s">
        <v>4</v>
      </c>
      <c r="D972" s="66" t="s">
        <v>813</v>
      </c>
      <c r="E972" s="67"/>
      <c r="F972" s="67">
        <v>40598</v>
      </c>
      <c r="G972" s="64" t="str">
        <f>IF(stdProdLT(Main[[#This Row],[Comments]])=0.1,"N/A",IF(stdProdLT(Main[[#This Row],[Comments]])=0,"",stdProdLT(Main[[#This Row],[Comments]])))</f>
        <v/>
      </c>
      <c r="H972" s="68" t="str">
        <f>IF(AND(Main[[#This Row],[In Stock Date]]&lt;&gt;"",Main[[#This Row],[Revised Due Date]]&lt;&gt;""),Main[[#This Row],[In Stock Date]]-Main[[#This Row],[Revised Due Date]],"")</f>
        <v/>
      </c>
      <c r="I972" s="65" t="s">
        <v>4</v>
      </c>
      <c r="J972" s="65" t="s">
        <v>4</v>
      </c>
      <c r="K972" s="65" t="s">
        <v>4</v>
      </c>
      <c r="L972" s="67"/>
      <c r="M972" s="69" t="str">
        <f>IF(Main[[#This Row],[Tech Start Date]]&lt;1/1/1990,"",IF(Main[[#This Row],[Class]]="C",WORKDAY(Main[[#This Row],[Tech Start Date]],9),IF(Main[[#This Row],[Class]]="B", WORKDAY(Main[[#This Row],[Tech Start Date]],6),IF(Main[[#This Row],[Class]]="A",WORKDAY(Main[[#This Row],[Tech Start Date]],2),""))))</f>
        <v/>
      </c>
      <c r="N972" s="69" t="str">
        <f>IF(Main[[#This Row],[Tech Start Date]]&lt;1/1/1990,"",IF(Main[[#This Row],[Class]]="C",WORKDAY(Main[[#This Row],[Tech Start Date]],19),IF(Main[[#This Row],[Class]]="B", WORKDAY(Main[[#This Row],[Tech Start Date]],12),IF(Main[[#This Row],[Class]]="A",WORKDAY(Main[[#This Row],[Tech Start Date]],4),""))))</f>
        <v/>
      </c>
      <c r="O972" s="69" t="str">
        <f>IF(Main[[#This Row],[Tech Start Date]]&lt;1/1/1990,"",IF(Main[[#This Row],[Class]]="C",WORKDAY(Main[[#This Row],[Tech Start Date]],23),IF(Main[[#This Row],[Class]]="B", WORKDAY(Main[[#This Row],[Tech Start Date]],15),IF(Main[[#This Row],[Class]]="A",WORKDAY(Main[[#This Row],[Tech Start Date]],5),""))))</f>
        <v/>
      </c>
      <c r="P972" s="69" t="str">
        <f>IF(Main[[#This Row],[Tech Start Date]]&lt;1/1/1990,"",IF(Main[[#This Row],[Class]]="C",WORKDAY(Main[[#This Row],[Tech Start Date]],28),IF(Main[[#This Row],[Class]]="B", WORKDAY(Main[[#This Row],[Tech Start Date]],19),IF(Main[[#This Row],[Class]]="A",WORKDAY(Main[[#This Row],[Tech Start Date]],9),""))))</f>
        <v/>
      </c>
      <c r="Q972" s="67">
        <v>40598</v>
      </c>
      <c r="R972" s="67"/>
      <c r="S972" s="65" t="s">
        <v>11</v>
      </c>
      <c r="T972" s="70" t="s">
        <v>4</v>
      </c>
      <c r="U972" s="65" t="s">
        <v>14</v>
      </c>
      <c r="V972" s="65" t="s">
        <v>1927</v>
      </c>
      <c r="W972" s="65" t="s">
        <v>1923</v>
      </c>
      <c r="X972" s="65" t="s">
        <v>2854</v>
      </c>
      <c r="Y972" s="65" t="s">
        <v>2985</v>
      </c>
      <c r="Z972" s="65" t="s">
        <v>4</v>
      </c>
      <c r="AA972" s="65" t="s">
        <v>2854</v>
      </c>
    </row>
    <row r="973" spans="1:27" ht="17.45" customHeight="1">
      <c r="A973" s="131" t="str">
        <f>IF(priority(Main[[#This Row],[Comments]])&lt;&gt;0, priority(Main[[#This Row],[Comments]]),"")</f>
        <v/>
      </c>
      <c r="B973" s="99" t="s">
        <v>3633</v>
      </c>
      <c r="C973" s="65" t="s">
        <v>2359</v>
      </c>
      <c r="D973" s="66" t="s">
        <v>3634</v>
      </c>
      <c r="E973" s="67">
        <v>40966.113043981481</v>
      </c>
      <c r="F973" s="67">
        <v>41014</v>
      </c>
      <c r="G973" s="64" t="str">
        <f>IF(stdProdLT(Main[[#This Row],[Comments]])=0.1,"N/A",IF(stdProdLT(Main[[#This Row],[Comments]])=0,"",stdProdLT(Main[[#This Row],[Comments]])))</f>
        <v/>
      </c>
      <c r="H973" s="68" t="str">
        <f>IF(AND(Main[[#This Row],[In Stock Date]]&lt;&gt;"",Main[[#This Row],[Revised Due Date]]&lt;&gt;""),Main[[#This Row],[In Stock Date]]-Main[[#This Row],[Revised Due Date]],"")</f>
        <v/>
      </c>
      <c r="I973" s="65" t="s">
        <v>4</v>
      </c>
      <c r="J973" s="65" t="s">
        <v>4</v>
      </c>
      <c r="K973" s="65" t="s">
        <v>4</v>
      </c>
      <c r="L973" s="67"/>
      <c r="M973" s="69" t="str">
        <f>IF(Main[[#This Row],[Tech Start Date]]&lt;1/1/1990,"",IF(Main[[#This Row],[Class]]="C",WORKDAY(Main[[#This Row],[Tech Start Date]],9),IF(Main[[#This Row],[Class]]="B", WORKDAY(Main[[#This Row],[Tech Start Date]],6),IF(Main[[#This Row],[Class]]="A",WORKDAY(Main[[#This Row],[Tech Start Date]],2),""))))</f>
        <v/>
      </c>
      <c r="N973" s="69" t="str">
        <f>IF(Main[[#This Row],[Tech Start Date]]&lt;1/1/1990,"",IF(Main[[#This Row],[Class]]="C",WORKDAY(Main[[#This Row],[Tech Start Date]],19),IF(Main[[#This Row],[Class]]="B", WORKDAY(Main[[#This Row],[Tech Start Date]],12),IF(Main[[#This Row],[Class]]="A",WORKDAY(Main[[#This Row],[Tech Start Date]],4),""))))</f>
        <v/>
      </c>
      <c r="O973" s="69" t="str">
        <f>IF(Main[[#This Row],[Tech Start Date]]&lt;1/1/1990,"",IF(Main[[#This Row],[Class]]="C",WORKDAY(Main[[#This Row],[Tech Start Date]],23),IF(Main[[#This Row],[Class]]="B", WORKDAY(Main[[#This Row],[Tech Start Date]],15),IF(Main[[#This Row],[Class]]="A",WORKDAY(Main[[#This Row],[Tech Start Date]],5),""))))</f>
        <v/>
      </c>
      <c r="P973" s="69" t="str">
        <f>IF(Main[[#This Row],[Tech Start Date]]&lt;1/1/1990,"",IF(Main[[#This Row],[Class]]="C",WORKDAY(Main[[#This Row],[Tech Start Date]],28),IF(Main[[#This Row],[Class]]="B", WORKDAY(Main[[#This Row],[Tech Start Date]],19),IF(Main[[#This Row],[Class]]="A",WORKDAY(Main[[#This Row],[Tech Start Date]],9),""))))</f>
        <v/>
      </c>
      <c r="Q973" s="67">
        <v>40916</v>
      </c>
      <c r="R973" s="67"/>
      <c r="S973" s="65" t="s">
        <v>11</v>
      </c>
      <c r="T973" s="70" t="s">
        <v>4</v>
      </c>
      <c r="U973" s="65" t="s">
        <v>696</v>
      </c>
      <c r="V973" s="65" t="s">
        <v>1927</v>
      </c>
      <c r="W973" s="65" t="s">
        <v>1925</v>
      </c>
      <c r="X973" s="65" t="s">
        <v>2849</v>
      </c>
      <c r="Y973" s="65" t="s">
        <v>4</v>
      </c>
      <c r="Z973" s="65" t="s">
        <v>4</v>
      </c>
      <c r="AA973" s="65" t="s">
        <v>2849</v>
      </c>
    </row>
    <row r="974" spans="1:27" ht="17.45" customHeight="1">
      <c r="A974" s="131" t="str">
        <f>IF(priority(Main[[#This Row],[Comments]])&lt;&gt;0, priority(Main[[#This Row],[Comments]]),"")</f>
        <v/>
      </c>
      <c r="B974" s="99" t="s">
        <v>1775</v>
      </c>
      <c r="C974" s="65" t="s">
        <v>4</v>
      </c>
      <c r="D974" s="66" t="s">
        <v>2123</v>
      </c>
      <c r="E974" s="67"/>
      <c r="F974" s="67"/>
      <c r="G974" s="64" t="str">
        <f>IF(stdProdLT(Main[[#This Row],[Comments]])=0.1,"N/A",IF(stdProdLT(Main[[#This Row],[Comments]])=0,"",stdProdLT(Main[[#This Row],[Comments]])))</f>
        <v/>
      </c>
      <c r="H974" s="68" t="str">
        <f>IF(AND(Main[[#This Row],[In Stock Date]]&lt;&gt;"",Main[[#This Row],[Revised Due Date]]&lt;&gt;""),Main[[#This Row],[In Stock Date]]-Main[[#This Row],[Revised Due Date]],"")</f>
        <v/>
      </c>
      <c r="I974" s="65" t="s">
        <v>429</v>
      </c>
      <c r="J974" s="65" t="s">
        <v>70</v>
      </c>
      <c r="K974" s="65" t="s">
        <v>1926</v>
      </c>
      <c r="L974" s="67"/>
      <c r="M974" s="69" t="str">
        <f>IF(Main[[#This Row],[Tech Start Date]]&lt;1/1/1990,"",IF(Main[[#This Row],[Class]]="C",WORKDAY(Main[[#This Row],[Tech Start Date]],9),IF(Main[[#This Row],[Class]]="B", WORKDAY(Main[[#This Row],[Tech Start Date]],6),IF(Main[[#This Row],[Class]]="A",WORKDAY(Main[[#This Row],[Tech Start Date]],2),""))))</f>
        <v/>
      </c>
      <c r="N974" s="69" t="str">
        <f>IF(Main[[#This Row],[Tech Start Date]]&lt;1/1/1990,"",IF(Main[[#This Row],[Class]]="C",WORKDAY(Main[[#This Row],[Tech Start Date]],19),IF(Main[[#This Row],[Class]]="B", WORKDAY(Main[[#This Row],[Tech Start Date]],12),IF(Main[[#This Row],[Class]]="A",WORKDAY(Main[[#This Row],[Tech Start Date]],4),""))))</f>
        <v/>
      </c>
      <c r="O974" s="69" t="str">
        <f>IF(Main[[#This Row],[Tech Start Date]]&lt;1/1/1990,"",IF(Main[[#This Row],[Class]]="C",WORKDAY(Main[[#This Row],[Tech Start Date]],23),IF(Main[[#This Row],[Class]]="B", WORKDAY(Main[[#This Row],[Tech Start Date]],15),IF(Main[[#This Row],[Class]]="A",WORKDAY(Main[[#This Row],[Tech Start Date]],5),""))))</f>
        <v/>
      </c>
      <c r="P974" s="69" t="str">
        <f>IF(Main[[#This Row],[Tech Start Date]]&lt;1/1/1990,"",IF(Main[[#This Row],[Class]]="C",WORKDAY(Main[[#This Row],[Tech Start Date]],28),IF(Main[[#This Row],[Class]]="B", WORKDAY(Main[[#This Row],[Tech Start Date]],19),IF(Main[[#This Row],[Class]]="A",WORKDAY(Main[[#This Row],[Tech Start Date]],9),""))))</f>
        <v/>
      </c>
      <c r="Q974" s="67">
        <v>40714</v>
      </c>
      <c r="R974" s="67"/>
      <c r="S974" s="65" t="s">
        <v>6</v>
      </c>
      <c r="T974" s="70" t="s">
        <v>4</v>
      </c>
      <c r="U974" s="65" t="s">
        <v>14</v>
      </c>
      <c r="V974" s="65" t="s">
        <v>1920</v>
      </c>
      <c r="W974" s="65" t="s">
        <v>1921</v>
      </c>
      <c r="X974" s="65" t="s">
        <v>2909</v>
      </c>
      <c r="Y974" s="65" t="s">
        <v>3089</v>
      </c>
      <c r="Z974" s="65" t="s">
        <v>30</v>
      </c>
      <c r="AA974" s="65" t="s">
        <v>2909</v>
      </c>
    </row>
    <row r="975" spans="1:27" ht="17.45" customHeight="1">
      <c r="A975" s="131" t="str">
        <f>IF(priority(Main[[#This Row],[Comments]])&lt;&gt;0, priority(Main[[#This Row],[Comments]]),"")</f>
        <v/>
      </c>
      <c r="B975" s="99" t="s">
        <v>1776</v>
      </c>
      <c r="C975" s="65" t="s">
        <v>4</v>
      </c>
      <c r="D975" s="66" t="s">
        <v>819</v>
      </c>
      <c r="E975" s="67"/>
      <c r="F975" s="67"/>
      <c r="G975" s="64" t="str">
        <f>IF(stdProdLT(Main[[#This Row],[Comments]])=0.1,"N/A",IF(stdProdLT(Main[[#This Row],[Comments]])=0,"",stdProdLT(Main[[#This Row],[Comments]])))</f>
        <v/>
      </c>
      <c r="H975" s="68" t="str">
        <f>IF(AND(Main[[#This Row],[In Stock Date]]&lt;&gt;"",Main[[#This Row],[Revised Due Date]]&lt;&gt;""),Main[[#This Row],[In Stock Date]]-Main[[#This Row],[Revised Due Date]],"")</f>
        <v/>
      </c>
      <c r="I975" s="65" t="s">
        <v>4</v>
      </c>
      <c r="J975" s="65" t="s">
        <v>4</v>
      </c>
      <c r="K975" s="65" t="s">
        <v>4</v>
      </c>
      <c r="L975" s="67"/>
      <c r="M975" s="69" t="str">
        <f>IF(Main[[#This Row],[Tech Start Date]]&lt;1/1/1990,"",IF(Main[[#This Row],[Class]]="C",WORKDAY(Main[[#This Row],[Tech Start Date]],9),IF(Main[[#This Row],[Class]]="B", WORKDAY(Main[[#This Row],[Tech Start Date]],6),IF(Main[[#This Row],[Class]]="A",WORKDAY(Main[[#This Row],[Tech Start Date]],2),""))))</f>
        <v/>
      </c>
      <c r="N975" s="69" t="str">
        <f>IF(Main[[#This Row],[Tech Start Date]]&lt;1/1/1990,"",IF(Main[[#This Row],[Class]]="C",WORKDAY(Main[[#This Row],[Tech Start Date]],19),IF(Main[[#This Row],[Class]]="B", WORKDAY(Main[[#This Row],[Tech Start Date]],12),IF(Main[[#This Row],[Class]]="A",WORKDAY(Main[[#This Row],[Tech Start Date]],4),""))))</f>
        <v/>
      </c>
      <c r="O975" s="69" t="str">
        <f>IF(Main[[#This Row],[Tech Start Date]]&lt;1/1/1990,"",IF(Main[[#This Row],[Class]]="C",WORKDAY(Main[[#This Row],[Tech Start Date]],23),IF(Main[[#This Row],[Class]]="B", WORKDAY(Main[[#This Row],[Tech Start Date]],15),IF(Main[[#This Row],[Class]]="A",WORKDAY(Main[[#This Row],[Tech Start Date]],5),""))))</f>
        <v/>
      </c>
      <c r="P975" s="69" t="str">
        <f>IF(Main[[#This Row],[Tech Start Date]]&lt;1/1/1990,"",IF(Main[[#This Row],[Class]]="C",WORKDAY(Main[[#This Row],[Tech Start Date]],28),IF(Main[[#This Row],[Class]]="B", WORKDAY(Main[[#This Row],[Tech Start Date]],19),IF(Main[[#This Row],[Class]]="A",WORKDAY(Main[[#This Row],[Tech Start Date]],9),""))))</f>
        <v/>
      </c>
      <c r="Q975" s="67"/>
      <c r="R975" s="67"/>
      <c r="S975" s="65" t="s">
        <v>6</v>
      </c>
      <c r="T975" s="70" t="s">
        <v>4</v>
      </c>
      <c r="U975" s="65" t="s">
        <v>14</v>
      </c>
      <c r="V975" s="65" t="s">
        <v>1917</v>
      </c>
      <c r="W975" s="65" t="s">
        <v>1921</v>
      </c>
      <c r="X975" s="65" t="s">
        <v>914</v>
      </c>
      <c r="Y975" s="65" t="s">
        <v>3063</v>
      </c>
      <c r="Z975" s="65" t="s">
        <v>4</v>
      </c>
      <c r="AA975" s="65" t="s">
        <v>914</v>
      </c>
    </row>
    <row r="976" spans="1:27" ht="17.45" customHeight="1">
      <c r="A976" s="131" t="str">
        <f>IF(priority(Main[[#This Row],[Comments]])&lt;&gt;0, priority(Main[[#This Row],[Comments]]),"")</f>
        <v/>
      </c>
      <c r="B976" s="99" t="s">
        <v>1614</v>
      </c>
      <c r="C976" s="65" t="s">
        <v>4</v>
      </c>
      <c r="D976" s="66" t="s">
        <v>686</v>
      </c>
      <c r="E976" s="67">
        <v>40031.45721064815</v>
      </c>
      <c r="F976" s="67"/>
      <c r="G976" s="64" t="str">
        <f>IF(stdProdLT(Main[[#This Row],[Comments]])=0.1,"N/A",IF(stdProdLT(Main[[#This Row],[Comments]])=0,"",stdProdLT(Main[[#This Row],[Comments]])))</f>
        <v/>
      </c>
      <c r="H976" s="68" t="str">
        <f>IF(AND(Main[[#This Row],[In Stock Date]]&lt;&gt;"",Main[[#This Row],[Revised Due Date]]&lt;&gt;""),Main[[#This Row],[In Stock Date]]-Main[[#This Row],[Revised Due Date]],"")</f>
        <v/>
      </c>
      <c r="I976" s="65" t="s">
        <v>2047</v>
      </c>
      <c r="J976" s="65" t="s">
        <v>21</v>
      </c>
      <c r="K976" s="65" t="s">
        <v>1926</v>
      </c>
      <c r="L976" s="67"/>
      <c r="M976" s="69" t="str">
        <f>IF(Main[[#This Row],[Tech Start Date]]&lt;1/1/1990,"",IF(Main[[#This Row],[Class]]="C",WORKDAY(Main[[#This Row],[Tech Start Date]],9),IF(Main[[#This Row],[Class]]="B", WORKDAY(Main[[#This Row],[Tech Start Date]],6),IF(Main[[#This Row],[Class]]="A",WORKDAY(Main[[#This Row],[Tech Start Date]],2),""))))</f>
        <v/>
      </c>
      <c r="N976" s="69" t="str">
        <f>IF(Main[[#This Row],[Tech Start Date]]&lt;1/1/1990,"",IF(Main[[#This Row],[Class]]="C",WORKDAY(Main[[#This Row],[Tech Start Date]],19),IF(Main[[#This Row],[Class]]="B", WORKDAY(Main[[#This Row],[Tech Start Date]],12),IF(Main[[#This Row],[Class]]="A",WORKDAY(Main[[#This Row],[Tech Start Date]],4),""))))</f>
        <v/>
      </c>
      <c r="O976" s="69" t="str">
        <f>IF(Main[[#This Row],[Tech Start Date]]&lt;1/1/1990,"",IF(Main[[#This Row],[Class]]="C",WORKDAY(Main[[#This Row],[Tech Start Date]],23),IF(Main[[#This Row],[Class]]="B", WORKDAY(Main[[#This Row],[Tech Start Date]],15),IF(Main[[#This Row],[Class]]="A",WORKDAY(Main[[#This Row],[Tech Start Date]],5),""))))</f>
        <v/>
      </c>
      <c r="P976" s="69" t="str">
        <f>IF(Main[[#This Row],[Tech Start Date]]&lt;1/1/1990,"",IF(Main[[#This Row],[Class]]="C",WORKDAY(Main[[#This Row],[Tech Start Date]],28),IF(Main[[#This Row],[Class]]="B", WORKDAY(Main[[#This Row],[Tech Start Date]],19),IF(Main[[#This Row],[Class]]="A",WORKDAY(Main[[#This Row],[Tech Start Date]],9),""))))</f>
        <v/>
      </c>
      <c r="Q976" s="67"/>
      <c r="R976" s="67"/>
      <c r="S976" s="65" t="s">
        <v>6</v>
      </c>
      <c r="T976" s="70" t="s">
        <v>4</v>
      </c>
      <c r="U976" s="65" t="s">
        <v>29</v>
      </c>
      <c r="V976" s="65" t="s">
        <v>1920</v>
      </c>
      <c r="W976" s="65" t="s">
        <v>1921</v>
      </c>
      <c r="X976" s="65" t="s">
        <v>2893</v>
      </c>
      <c r="Y976" s="65" t="s">
        <v>3049</v>
      </c>
      <c r="Z976" s="65" t="s">
        <v>30</v>
      </c>
      <c r="AA976" s="65" t="s">
        <v>2893</v>
      </c>
    </row>
    <row r="977" spans="1:27" ht="17.45" customHeight="1">
      <c r="A977" s="131" t="str">
        <f>IF(priority(Main[[#This Row],[Comments]])&lt;&gt;0, priority(Main[[#This Row],[Comments]]),"")</f>
        <v/>
      </c>
      <c r="B977" s="99" t="s">
        <v>1777</v>
      </c>
      <c r="C977" s="65" t="s">
        <v>820</v>
      </c>
      <c r="D977" s="66" t="s">
        <v>821</v>
      </c>
      <c r="E977" s="67"/>
      <c r="F977" s="67">
        <v>40421</v>
      </c>
      <c r="G977" s="64" t="str">
        <f>IF(stdProdLT(Main[[#This Row],[Comments]])=0.1,"N/A",IF(stdProdLT(Main[[#This Row],[Comments]])=0,"",stdProdLT(Main[[#This Row],[Comments]])))</f>
        <v/>
      </c>
      <c r="H977" s="68" t="str">
        <f>IF(AND(Main[[#This Row],[In Stock Date]]&lt;&gt;"",Main[[#This Row],[Revised Due Date]]&lt;&gt;""),Main[[#This Row],[In Stock Date]]-Main[[#This Row],[Revised Due Date]],"")</f>
        <v/>
      </c>
      <c r="I977" s="65" t="s">
        <v>4</v>
      </c>
      <c r="J977" s="65" t="s">
        <v>4</v>
      </c>
      <c r="K977" s="71" t="s">
        <v>4</v>
      </c>
      <c r="L977" s="67"/>
      <c r="M977" s="69" t="str">
        <f>IF(Main[[#This Row],[Tech Start Date]]&lt;1/1/1990,"",IF(Main[[#This Row],[Class]]="C",WORKDAY(Main[[#This Row],[Tech Start Date]],9),IF(Main[[#This Row],[Class]]="B", WORKDAY(Main[[#This Row],[Tech Start Date]],6),IF(Main[[#This Row],[Class]]="A",WORKDAY(Main[[#This Row],[Tech Start Date]],2),""))))</f>
        <v/>
      </c>
      <c r="N977" s="69" t="str">
        <f>IF(Main[[#This Row],[Tech Start Date]]&lt;1/1/1990,"",IF(Main[[#This Row],[Class]]="C",WORKDAY(Main[[#This Row],[Tech Start Date]],19),IF(Main[[#This Row],[Class]]="B", WORKDAY(Main[[#This Row],[Tech Start Date]],12),IF(Main[[#This Row],[Class]]="A",WORKDAY(Main[[#This Row],[Tech Start Date]],4),""))))</f>
        <v/>
      </c>
      <c r="O977" s="69" t="str">
        <f>IF(Main[[#This Row],[Tech Start Date]]&lt;1/1/1990,"",IF(Main[[#This Row],[Class]]="C",WORKDAY(Main[[#This Row],[Tech Start Date]],23),IF(Main[[#This Row],[Class]]="B", WORKDAY(Main[[#This Row],[Tech Start Date]],15),IF(Main[[#This Row],[Class]]="A",WORKDAY(Main[[#This Row],[Tech Start Date]],5),""))))</f>
        <v/>
      </c>
      <c r="P977" s="69" t="str">
        <f>IF(Main[[#This Row],[Tech Start Date]]&lt;1/1/1990,"",IF(Main[[#This Row],[Class]]="C",WORKDAY(Main[[#This Row],[Tech Start Date]],28),IF(Main[[#This Row],[Class]]="B", WORKDAY(Main[[#This Row],[Tech Start Date]],19),IF(Main[[#This Row],[Class]]="A",WORKDAY(Main[[#This Row],[Tech Start Date]],9),""))))</f>
        <v/>
      </c>
      <c r="Q977" s="67"/>
      <c r="R977" s="67"/>
      <c r="S977" s="65" t="s">
        <v>11</v>
      </c>
      <c r="T977" s="70" t="s">
        <v>4</v>
      </c>
      <c r="U977" s="65" t="s">
        <v>12</v>
      </c>
      <c r="V977" s="65" t="s">
        <v>1927</v>
      </c>
      <c r="W977" s="65" t="s">
        <v>1923</v>
      </c>
      <c r="X977" s="65" t="s">
        <v>2878</v>
      </c>
      <c r="Y977" s="65" t="s">
        <v>3002</v>
      </c>
      <c r="Z977" s="65" t="s">
        <v>4</v>
      </c>
      <c r="AA977" s="65" t="s">
        <v>2878</v>
      </c>
    </row>
    <row r="978" spans="1:27" ht="17.45" customHeight="1">
      <c r="A978" s="131" t="str">
        <f>IF(priority(Main[[#This Row],[Comments]])&lt;&gt;0, priority(Main[[#This Row],[Comments]]),"")</f>
        <v/>
      </c>
      <c r="B978" s="99" t="s">
        <v>1778</v>
      </c>
      <c r="C978" s="65" t="s">
        <v>4</v>
      </c>
      <c r="D978" s="66" t="s">
        <v>822</v>
      </c>
      <c r="E978" s="67"/>
      <c r="F978" s="67"/>
      <c r="G978" s="64" t="str">
        <f>IF(stdProdLT(Main[[#This Row],[Comments]])=0.1,"N/A",IF(stdProdLT(Main[[#This Row],[Comments]])=0,"",stdProdLT(Main[[#This Row],[Comments]])))</f>
        <v/>
      </c>
      <c r="H978" s="68" t="str">
        <f>IF(AND(Main[[#This Row],[In Stock Date]]&lt;&gt;"",Main[[#This Row],[Revised Due Date]]&lt;&gt;""),Main[[#This Row],[In Stock Date]]-Main[[#This Row],[Revised Due Date]],"")</f>
        <v/>
      </c>
      <c r="I978" s="65" t="s">
        <v>417</v>
      </c>
      <c r="J978" s="65" t="s">
        <v>75</v>
      </c>
      <c r="K978" s="65" t="s">
        <v>1924</v>
      </c>
      <c r="L978" s="67"/>
      <c r="M978" s="69" t="str">
        <f>IF(Main[[#This Row],[Tech Start Date]]&lt;1/1/1990,"",IF(Main[[#This Row],[Class]]="C",WORKDAY(Main[[#This Row],[Tech Start Date]],9),IF(Main[[#This Row],[Class]]="B", WORKDAY(Main[[#This Row],[Tech Start Date]],6),IF(Main[[#This Row],[Class]]="A",WORKDAY(Main[[#This Row],[Tech Start Date]],2),""))))</f>
        <v/>
      </c>
      <c r="N978" s="69" t="str">
        <f>IF(Main[[#This Row],[Tech Start Date]]&lt;1/1/1990,"",IF(Main[[#This Row],[Class]]="C",WORKDAY(Main[[#This Row],[Tech Start Date]],19),IF(Main[[#This Row],[Class]]="B", WORKDAY(Main[[#This Row],[Tech Start Date]],12),IF(Main[[#This Row],[Class]]="A",WORKDAY(Main[[#This Row],[Tech Start Date]],4),""))))</f>
        <v/>
      </c>
      <c r="O978" s="69" t="str">
        <f>IF(Main[[#This Row],[Tech Start Date]]&lt;1/1/1990,"",IF(Main[[#This Row],[Class]]="C",WORKDAY(Main[[#This Row],[Tech Start Date]],23),IF(Main[[#This Row],[Class]]="B", WORKDAY(Main[[#This Row],[Tech Start Date]],15),IF(Main[[#This Row],[Class]]="A",WORKDAY(Main[[#This Row],[Tech Start Date]],5),""))))</f>
        <v/>
      </c>
      <c r="P978" s="69" t="str">
        <f>IF(Main[[#This Row],[Tech Start Date]]&lt;1/1/1990,"",IF(Main[[#This Row],[Class]]="C",WORKDAY(Main[[#This Row],[Tech Start Date]],28),IF(Main[[#This Row],[Class]]="B", WORKDAY(Main[[#This Row],[Tech Start Date]],19),IF(Main[[#This Row],[Class]]="A",WORKDAY(Main[[#This Row],[Tech Start Date]],9),""))))</f>
        <v/>
      </c>
      <c r="Q978" s="67">
        <v>40529</v>
      </c>
      <c r="R978" s="67"/>
      <c r="S978" s="65" t="s">
        <v>6</v>
      </c>
      <c r="T978" s="70" t="s">
        <v>4</v>
      </c>
      <c r="U978" s="65" t="s">
        <v>14</v>
      </c>
      <c r="V978" s="65" t="s">
        <v>1920</v>
      </c>
      <c r="W978" s="65" t="s">
        <v>1928</v>
      </c>
      <c r="X978" s="65" t="s">
        <v>885</v>
      </c>
      <c r="Y978" s="65" t="s">
        <v>2969</v>
      </c>
      <c r="Z978" s="65" t="s">
        <v>306</v>
      </c>
      <c r="AA978" s="65" t="s">
        <v>885</v>
      </c>
    </row>
    <row r="979" spans="1:27" ht="17.45" customHeight="1">
      <c r="A979" s="131" t="str">
        <f>IF(priority(Main[[#This Row],[Comments]])&lt;&gt;0, priority(Main[[#This Row],[Comments]]),"")</f>
        <v/>
      </c>
      <c r="B979" s="99" t="s">
        <v>1779</v>
      </c>
      <c r="C979" s="65" t="s">
        <v>4</v>
      </c>
      <c r="D979" s="66" t="s">
        <v>823</v>
      </c>
      <c r="E979" s="67"/>
      <c r="F979" s="67">
        <v>40602</v>
      </c>
      <c r="G979" s="64" t="str">
        <f>IF(stdProdLT(Main[[#This Row],[Comments]])=0.1,"N/A",IF(stdProdLT(Main[[#This Row],[Comments]])=0,"",stdProdLT(Main[[#This Row],[Comments]])))</f>
        <v/>
      </c>
      <c r="H979" s="68" t="str">
        <f>IF(AND(Main[[#This Row],[In Stock Date]]&lt;&gt;"",Main[[#This Row],[Revised Due Date]]&lt;&gt;""),Main[[#This Row],[In Stock Date]]-Main[[#This Row],[Revised Due Date]],"")</f>
        <v/>
      </c>
      <c r="I979" s="65" t="s">
        <v>4</v>
      </c>
      <c r="J979" s="65" t="s">
        <v>28</v>
      </c>
      <c r="K979" s="65" t="s">
        <v>4</v>
      </c>
      <c r="L979" s="67"/>
      <c r="M979" s="69" t="str">
        <f>IF(Main[[#This Row],[Tech Start Date]]&lt;1/1/1990,"",IF(Main[[#This Row],[Class]]="C",WORKDAY(Main[[#This Row],[Tech Start Date]],9),IF(Main[[#This Row],[Class]]="B", WORKDAY(Main[[#This Row],[Tech Start Date]],6),IF(Main[[#This Row],[Class]]="A",WORKDAY(Main[[#This Row],[Tech Start Date]],2),""))))</f>
        <v/>
      </c>
      <c r="N979" s="69" t="str">
        <f>IF(Main[[#This Row],[Tech Start Date]]&lt;1/1/1990,"",IF(Main[[#This Row],[Class]]="C",WORKDAY(Main[[#This Row],[Tech Start Date]],19),IF(Main[[#This Row],[Class]]="B", WORKDAY(Main[[#This Row],[Tech Start Date]],12),IF(Main[[#This Row],[Class]]="A",WORKDAY(Main[[#This Row],[Tech Start Date]],4),""))))</f>
        <v/>
      </c>
      <c r="O979" s="69" t="str">
        <f>IF(Main[[#This Row],[Tech Start Date]]&lt;1/1/1990,"",IF(Main[[#This Row],[Class]]="C",WORKDAY(Main[[#This Row],[Tech Start Date]],23),IF(Main[[#This Row],[Class]]="B", WORKDAY(Main[[#This Row],[Tech Start Date]],15),IF(Main[[#This Row],[Class]]="A",WORKDAY(Main[[#This Row],[Tech Start Date]],5),""))))</f>
        <v/>
      </c>
      <c r="P979" s="69" t="str">
        <f>IF(Main[[#This Row],[Tech Start Date]]&lt;1/1/1990,"",IF(Main[[#This Row],[Class]]="C",WORKDAY(Main[[#This Row],[Tech Start Date]],28),IF(Main[[#This Row],[Class]]="B", WORKDAY(Main[[#This Row],[Tech Start Date]],19),IF(Main[[#This Row],[Class]]="A",WORKDAY(Main[[#This Row],[Tech Start Date]],9),""))))</f>
        <v/>
      </c>
      <c r="Q979" s="67">
        <v>40612</v>
      </c>
      <c r="R979" s="67"/>
      <c r="S979" s="65" t="s">
        <v>6</v>
      </c>
      <c r="T979" s="70" t="s">
        <v>4</v>
      </c>
      <c r="U979" s="65" t="s">
        <v>14</v>
      </c>
      <c r="V979" s="65" t="s">
        <v>1927</v>
      </c>
      <c r="W979" s="65" t="s">
        <v>1921</v>
      </c>
      <c r="X979" s="65" t="s">
        <v>50</v>
      </c>
      <c r="Y979" s="65" t="s">
        <v>3114</v>
      </c>
      <c r="Z979" s="65" t="s">
        <v>30</v>
      </c>
      <c r="AA979" s="65" t="s">
        <v>3386</v>
      </c>
    </row>
    <row r="980" spans="1:27" ht="17.45" customHeight="1">
      <c r="A980" s="131" t="str">
        <f>IF(priority(Main[[#This Row],[Comments]])&lt;&gt;0, priority(Main[[#This Row],[Comments]]),"")</f>
        <v/>
      </c>
      <c r="B980" s="99" t="s">
        <v>2448</v>
      </c>
      <c r="C980" s="65" t="s">
        <v>4</v>
      </c>
      <c r="D980" s="66" t="s">
        <v>3227</v>
      </c>
      <c r="E980" s="67">
        <v>40820.793587962966</v>
      </c>
      <c r="F980" s="67"/>
      <c r="G980" s="64" t="str">
        <f>IF(stdProdLT(Main[[#This Row],[Comments]])=0.1,"N/A",IF(stdProdLT(Main[[#This Row],[Comments]])=0,"",stdProdLT(Main[[#This Row],[Comments]])))</f>
        <v/>
      </c>
      <c r="H980" s="68" t="str">
        <f>IF(AND(Main[[#This Row],[In Stock Date]]&lt;&gt;"",Main[[#This Row],[Revised Due Date]]&lt;&gt;""),Main[[#This Row],[In Stock Date]]-Main[[#This Row],[Revised Due Date]],"")</f>
        <v/>
      </c>
      <c r="I980" s="65" t="s">
        <v>2054</v>
      </c>
      <c r="J980" s="65" t="s">
        <v>28</v>
      </c>
      <c r="K980" s="65" t="s">
        <v>1926</v>
      </c>
      <c r="L980" s="67"/>
      <c r="M980" s="69" t="str">
        <f>IF(Main[[#This Row],[Tech Start Date]]&lt;1/1/1990,"",IF(Main[[#This Row],[Class]]="C",WORKDAY(Main[[#This Row],[Tech Start Date]],9),IF(Main[[#This Row],[Class]]="B", WORKDAY(Main[[#This Row],[Tech Start Date]],6),IF(Main[[#This Row],[Class]]="A",WORKDAY(Main[[#This Row],[Tech Start Date]],2),""))))</f>
        <v/>
      </c>
      <c r="N980" s="69" t="str">
        <f>IF(Main[[#This Row],[Tech Start Date]]&lt;1/1/1990,"",IF(Main[[#This Row],[Class]]="C",WORKDAY(Main[[#This Row],[Tech Start Date]],19),IF(Main[[#This Row],[Class]]="B", WORKDAY(Main[[#This Row],[Tech Start Date]],12),IF(Main[[#This Row],[Class]]="A",WORKDAY(Main[[#This Row],[Tech Start Date]],4),""))))</f>
        <v/>
      </c>
      <c r="O980" s="69" t="str">
        <f>IF(Main[[#This Row],[Tech Start Date]]&lt;1/1/1990,"",IF(Main[[#This Row],[Class]]="C",WORKDAY(Main[[#This Row],[Tech Start Date]],23),IF(Main[[#This Row],[Class]]="B", WORKDAY(Main[[#This Row],[Tech Start Date]],15),IF(Main[[#This Row],[Class]]="A",WORKDAY(Main[[#This Row],[Tech Start Date]],5),""))))</f>
        <v/>
      </c>
      <c r="P980" s="69" t="str">
        <f>IF(Main[[#This Row],[Tech Start Date]]&lt;1/1/1990,"",IF(Main[[#This Row],[Class]]="C",WORKDAY(Main[[#This Row],[Tech Start Date]],28),IF(Main[[#This Row],[Class]]="B", WORKDAY(Main[[#This Row],[Tech Start Date]],19),IF(Main[[#This Row],[Class]]="A",WORKDAY(Main[[#This Row],[Tech Start Date]],9),""))))</f>
        <v/>
      </c>
      <c r="Q980" s="67">
        <v>40847</v>
      </c>
      <c r="R980" s="67"/>
      <c r="S980" s="65" t="s">
        <v>6</v>
      </c>
      <c r="T980" s="70" t="s">
        <v>4</v>
      </c>
      <c r="U980" s="65" t="s">
        <v>29</v>
      </c>
      <c r="V980" s="65" t="s">
        <v>1920</v>
      </c>
      <c r="W980" s="65" t="s">
        <v>1921</v>
      </c>
      <c r="X980" s="65" t="s">
        <v>30</v>
      </c>
      <c r="Y980" s="65" t="s">
        <v>3138</v>
      </c>
      <c r="Z980" s="65" t="s">
        <v>30</v>
      </c>
      <c r="AA980" s="65" t="s">
        <v>3452</v>
      </c>
    </row>
    <row r="981" spans="1:27" ht="17.45" customHeight="1">
      <c r="A981" s="131" t="str">
        <f>IF(priority(Main[[#This Row],[Comments]])&lt;&gt;0, priority(Main[[#This Row],[Comments]]),"")</f>
        <v/>
      </c>
      <c r="B981" s="99" t="s">
        <v>1804</v>
      </c>
      <c r="C981" s="65" t="s">
        <v>351</v>
      </c>
      <c r="D981" s="66" t="s">
        <v>824</v>
      </c>
      <c r="E981" s="67"/>
      <c r="F981" s="67">
        <v>40360</v>
      </c>
      <c r="G981" s="64" t="str">
        <f>IF(stdProdLT(Main[[#This Row],[Comments]])=0.1,"N/A",IF(stdProdLT(Main[[#This Row],[Comments]])=0,"",stdProdLT(Main[[#This Row],[Comments]])))</f>
        <v/>
      </c>
      <c r="H981" s="68" t="str">
        <f>IF(AND(Main[[#This Row],[In Stock Date]]&lt;&gt;"",Main[[#This Row],[Revised Due Date]]&lt;&gt;""),Main[[#This Row],[In Stock Date]]-Main[[#This Row],[Revised Due Date]],"")</f>
        <v/>
      </c>
      <c r="I981" s="65" t="s">
        <v>4</v>
      </c>
      <c r="J981" s="65" t="s">
        <v>4</v>
      </c>
      <c r="K981" s="65" t="s">
        <v>4</v>
      </c>
      <c r="L981" s="67"/>
      <c r="M981" s="69" t="str">
        <f>IF(Main[[#This Row],[Tech Start Date]]&lt;1/1/1990,"",IF(Main[[#This Row],[Class]]="C",WORKDAY(Main[[#This Row],[Tech Start Date]],9),IF(Main[[#This Row],[Class]]="B", WORKDAY(Main[[#This Row],[Tech Start Date]],6),IF(Main[[#This Row],[Class]]="A",WORKDAY(Main[[#This Row],[Tech Start Date]],2),""))))</f>
        <v/>
      </c>
      <c r="N981" s="69" t="str">
        <f>IF(Main[[#This Row],[Tech Start Date]]&lt;1/1/1990,"",IF(Main[[#This Row],[Class]]="C",WORKDAY(Main[[#This Row],[Tech Start Date]],19),IF(Main[[#This Row],[Class]]="B", WORKDAY(Main[[#This Row],[Tech Start Date]],12),IF(Main[[#This Row],[Class]]="A",WORKDAY(Main[[#This Row],[Tech Start Date]],4),""))))</f>
        <v/>
      </c>
      <c r="O981" s="69" t="str">
        <f>IF(Main[[#This Row],[Tech Start Date]]&lt;1/1/1990,"",IF(Main[[#This Row],[Class]]="C",WORKDAY(Main[[#This Row],[Tech Start Date]],23),IF(Main[[#This Row],[Class]]="B", WORKDAY(Main[[#This Row],[Tech Start Date]],15),IF(Main[[#This Row],[Class]]="A",WORKDAY(Main[[#This Row],[Tech Start Date]],5),""))))</f>
        <v/>
      </c>
      <c r="P981" s="69" t="str">
        <f>IF(Main[[#This Row],[Tech Start Date]]&lt;1/1/1990,"",IF(Main[[#This Row],[Class]]="C",WORKDAY(Main[[#This Row],[Tech Start Date]],28),IF(Main[[#This Row],[Class]]="B", WORKDAY(Main[[#This Row],[Tech Start Date]],19),IF(Main[[#This Row],[Class]]="A",WORKDAY(Main[[#This Row],[Tech Start Date]],9),""))))</f>
        <v/>
      </c>
      <c r="Q981" s="67">
        <v>40329</v>
      </c>
      <c r="R981" s="67"/>
      <c r="S981" s="65" t="s">
        <v>11</v>
      </c>
      <c r="T981" s="70" t="s">
        <v>4</v>
      </c>
      <c r="U981" s="65" t="s">
        <v>12</v>
      </c>
      <c r="V981" s="65" t="s">
        <v>1927</v>
      </c>
      <c r="W981" s="65" t="s">
        <v>1923</v>
      </c>
      <c r="X981" s="65" t="s">
        <v>2878</v>
      </c>
      <c r="Y981" s="65" t="s">
        <v>3002</v>
      </c>
      <c r="Z981" s="65" t="s">
        <v>4</v>
      </c>
      <c r="AA981" s="65" t="s">
        <v>2878</v>
      </c>
    </row>
    <row r="982" spans="1:27" ht="17.45" customHeight="1">
      <c r="A982" s="131" t="str">
        <f>IF(priority(Main[[#This Row],[Comments]])&lt;&gt;0, priority(Main[[#This Row],[Comments]]),"")</f>
        <v/>
      </c>
      <c r="B982" s="99" t="s">
        <v>1781</v>
      </c>
      <c r="C982" s="65" t="s">
        <v>4</v>
      </c>
      <c r="D982" s="66" t="s">
        <v>848</v>
      </c>
      <c r="E982" s="67"/>
      <c r="F982" s="67"/>
      <c r="G982" s="64" t="str">
        <f>IF(stdProdLT(Main[[#This Row],[Comments]])=0.1,"N/A",IF(stdProdLT(Main[[#This Row],[Comments]])=0,"",stdProdLT(Main[[#This Row],[Comments]])))</f>
        <v/>
      </c>
      <c r="H982" s="68" t="str">
        <f>IF(AND(Main[[#This Row],[In Stock Date]]&lt;&gt;"",Main[[#This Row],[Revised Due Date]]&lt;&gt;""),Main[[#This Row],[In Stock Date]]-Main[[#This Row],[Revised Due Date]],"")</f>
        <v/>
      </c>
      <c r="I982" s="65" t="s">
        <v>4</v>
      </c>
      <c r="J982" s="65" t="s">
        <v>4</v>
      </c>
      <c r="K982" s="65" t="s">
        <v>4</v>
      </c>
      <c r="L982" s="67"/>
      <c r="M982" s="69" t="str">
        <f>IF(Main[[#This Row],[Tech Start Date]]&lt;1/1/1990,"",IF(Main[[#This Row],[Class]]="C",WORKDAY(Main[[#This Row],[Tech Start Date]],9),IF(Main[[#This Row],[Class]]="B", WORKDAY(Main[[#This Row],[Tech Start Date]],6),IF(Main[[#This Row],[Class]]="A",WORKDAY(Main[[#This Row],[Tech Start Date]],2),""))))</f>
        <v/>
      </c>
      <c r="N982" s="69" t="str">
        <f>IF(Main[[#This Row],[Tech Start Date]]&lt;1/1/1990,"",IF(Main[[#This Row],[Class]]="C",WORKDAY(Main[[#This Row],[Tech Start Date]],19),IF(Main[[#This Row],[Class]]="B", WORKDAY(Main[[#This Row],[Tech Start Date]],12),IF(Main[[#This Row],[Class]]="A",WORKDAY(Main[[#This Row],[Tech Start Date]],4),""))))</f>
        <v/>
      </c>
      <c r="O982" s="69" t="str">
        <f>IF(Main[[#This Row],[Tech Start Date]]&lt;1/1/1990,"",IF(Main[[#This Row],[Class]]="C",WORKDAY(Main[[#This Row],[Tech Start Date]],23),IF(Main[[#This Row],[Class]]="B", WORKDAY(Main[[#This Row],[Tech Start Date]],15),IF(Main[[#This Row],[Class]]="A",WORKDAY(Main[[#This Row],[Tech Start Date]],5),""))))</f>
        <v/>
      </c>
      <c r="P982" s="69" t="str">
        <f>IF(Main[[#This Row],[Tech Start Date]]&lt;1/1/1990,"",IF(Main[[#This Row],[Class]]="C",WORKDAY(Main[[#This Row],[Tech Start Date]],28),IF(Main[[#This Row],[Class]]="B", WORKDAY(Main[[#This Row],[Tech Start Date]],19),IF(Main[[#This Row],[Class]]="A",WORKDAY(Main[[#This Row],[Tech Start Date]],9),""))))</f>
        <v/>
      </c>
      <c r="Q982" s="67"/>
      <c r="R982" s="67"/>
      <c r="S982" s="65" t="s">
        <v>49</v>
      </c>
      <c r="T982" s="70" t="s">
        <v>4</v>
      </c>
      <c r="U982" s="65" t="s">
        <v>14</v>
      </c>
      <c r="V982" s="65" t="s">
        <v>1920</v>
      </c>
      <c r="W982" s="65" t="s">
        <v>1921</v>
      </c>
      <c r="X982" s="65" t="s">
        <v>306</v>
      </c>
      <c r="Y982" s="65" t="s">
        <v>4</v>
      </c>
      <c r="Z982" s="65" t="s">
        <v>4</v>
      </c>
      <c r="AA982" s="65" t="s">
        <v>4</v>
      </c>
    </row>
    <row r="983" spans="1:27" ht="17.45" customHeight="1">
      <c r="A983" s="131" t="str">
        <f>IF(priority(Main[[#This Row],[Comments]])&lt;&gt;0, priority(Main[[#This Row],[Comments]]),"")</f>
        <v/>
      </c>
      <c r="B983" s="99" t="s">
        <v>1782</v>
      </c>
      <c r="C983" s="65" t="s">
        <v>4</v>
      </c>
      <c r="D983" s="66" t="s">
        <v>849</v>
      </c>
      <c r="E983" s="67"/>
      <c r="F983" s="67"/>
      <c r="G983" s="64" t="str">
        <f>IF(stdProdLT(Main[[#This Row],[Comments]])=0.1,"N/A",IF(stdProdLT(Main[[#This Row],[Comments]])=0,"",stdProdLT(Main[[#This Row],[Comments]])))</f>
        <v/>
      </c>
      <c r="H983" s="68" t="str">
        <f>IF(AND(Main[[#This Row],[In Stock Date]]&lt;&gt;"",Main[[#This Row],[Revised Due Date]]&lt;&gt;""),Main[[#This Row],[In Stock Date]]-Main[[#This Row],[Revised Due Date]],"")</f>
        <v/>
      </c>
      <c r="I983" s="65" t="s">
        <v>4</v>
      </c>
      <c r="J983" s="65" t="s">
        <v>4</v>
      </c>
      <c r="K983" s="65" t="s">
        <v>4</v>
      </c>
      <c r="L983" s="67"/>
      <c r="M983" s="69" t="str">
        <f>IF(Main[[#This Row],[Tech Start Date]]&lt;1/1/1990,"",IF(Main[[#This Row],[Class]]="C",WORKDAY(Main[[#This Row],[Tech Start Date]],9),IF(Main[[#This Row],[Class]]="B", WORKDAY(Main[[#This Row],[Tech Start Date]],6),IF(Main[[#This Row],[Class]]="A",WORKDAY(Main[[#This Row],[Tech Start Date]],2),""))))</f>
        <v/>
      </c>
      <c r="N983" s="69" t="str">
        <f>IF(Main[[#This Row],[Tech Start Date]]&lt;1/1/1990,"",IF(Main[[#This Row],[Class]]="C",WORKDAY(Main[[#This Row],[Tech Start Date]],19),IF(Main[[#This Row],[Class]]="B", WORKDAY(Main[[#This Row],[Tech Start Date]],12),IF(Main[[#This Row],[Class]]="A",WORKDAY(Main[[#This Row],[Tech Start Date]],4),""))))</f>
        <v/>
      </c>
      <c r="O983" s="69" t="str">
        <f>IF(Main[[#This Row],[Tech Start Date]]&lt;1/1/1990,"",IF(Main[[#This Row],[Class]]="C",WORKDAY(Main[[#This Row],[Tech Start Date]],23),IF(Main[[#This Row],[Class]]="B", WORKDAY(Main[[#This Row],[Tech Start Date]],15),IF(Main[[#This Row],[Class]]="A",WORKDAY(Main[[#This Row],[Tech Start Date]],5),""))))</f>
        <v/>
      </c>
      <c r="P983" s="69" t="str">
        <f>IF(Main[[#This Row],[Tech Start Date]]&lt;1/1/1990,"",IF(Main[[#This Row],[Class]]="C",WORKDAY(Main[[#This Row],[Tech Start Date]],28),IF(Main[[#This Row],[Class]]="B", WORKDAY(Main[[#This Row],[Tech Start Date]],19),IF(Main[[#This Row],[Class]]="A",WORKDAY(Main[[#This Row],[Tech Start Date]],9),""))))</f>
        <v/>
      </c>
      <c r="Q983" s="67"/>
      <c r="R983" s="67"/>
      <c r="S983" s="65" t="s">
        <v>23</v>
      </c>
      <c r="T983" s="70" t="s">
        <v>4</v>
      </c>
      <c r="U983" s="65" t="s">
        <v>14</v>
      </c>
      <c r="V983" s="65" t="s">
        <v>1920</v>
      </c>
      <c r="W983" s="65" t="s">
        <v>1921</v>
      </c>
      <c r="X983" s="65" t="s">
        <v>399</v>
      </c>
      <c r="Y983" s="65" t="s">
        <v>4</v>
      </c>
      <c r="Z983" s="65" t="s">
        <v>767</v>
      </c>
      <c r="AA983" s="65" t="s">
        <v>3402</v>
      </c>
    </row>
    <row r="984" spans="1:27" ht="17.45" customHeight="1">
      <c r="A984" s="131" t="str">
        <f>IF(priority(Main[[#This Row],[Comments]])&lt;&gt;0, priority(Main[[#This Row],[Comments]]),"")</f>
        <v/>
      </c>
      <c r="B984" s="99" t="s">
        <v>1789</v>
      </c>
      <c r="C984" s="65" t="s">
        <v>832</v>
      </c>
      <c r="D984" s="66" t="s">
        <v>833</v>
      </c>
      <c r="E984" s="67"/>
      <c r="F984" s="67"/>
      <c r="G984" s="64" t="str">
        <f>IF(stdProdLT(Main[[#This Row],[Comments]])=0.1,"N/A",IF(stdProdLT(Main[[#This Row],[Comments]])=0,"",stdProdLT(Main[[#This Row],[Comments]])))</f>
        <v/>
      </c>
      <c r="H984" s="68" t="str">
        <f>IF(AND(Main[[#This Row],[In Stock Date]]&lt;&gt;"",Main[[#This Row],[Revised Due Date]]&lt;&gt;""),Main[[#This Row],[In Stock Date]]-Main[[#This Row],[Revised Due Date]],"")</f>
        <v/>
      </c>
      <c r="I984" s="65" t="s">
        <v>4</v>
      </c>
      <c r="J984" s="65" t="s">
        <v>4</v>
      </c>
      <c r="K984" s="65" t="s">
        <v>4</v>
      </c>
      <c r="L984" s="67"/>
      <c r="M984" s="69" t="str">
        <f>IF(Main[[#This Row],[Tech Start Date]]&lt;1/1/1990,"",IF(Main[[#This Row],[Class]]="C",WORKDAY(Main[[#This Row],[Tech Start Date]],9),IF(Main[[#This Row],[Class]]="B", WORKDAY(Main[[#This Row],[Tech Start Date]],6),IF(Main[[#This Row],[Class]]="A",WORKDAY(Main[[#This Row],[Tech Start Date]],2),""))))</f>
        <v/>
      </c>
      <c r="N984" s="69" t="str">
        <f>IF(Main[[#This Row],[Tech Start Date]]&lt;1/1/1990,"",IF(Main[[#This Row],[Class]]="C",WORKDAY(Main[[#This Row],[Tech Start Date]],19),IF(Main[[#This Row],[Class]]="B", WORKDAY(Main[[#This Row],[Tech Start Date]],12),IF(Main[[#This Row],[Class]]="A",WORKDAY(Main[[#This Row],[Tech Start Date]],4),""))))</f>
        <v/>
      </c>
      <c r="O984" s="69" t="str">
        <f>IF(Main[[#This Row],[Tech Start Date]]&lt;1/1/1990,"",IF(Main[[#This Row],[Class]]="C",WORKDAY(Main[[#This Row],[Tech Start Date]],23),IF(Main[[#This Row],[Class]]="B", WORKDAY(Main[[#This Row],[Tech Start Date]],15),IF(Main[[#This Row],[Class]]="A",WORKDAY(Main[[#This Row],[Tech Start Date]],5),""))))</f>
        <v/>
      </c>
      <c r="P984" s="69" t="str">
        <f>IF(Main[[#This Row],[Tech Start Date]]&lt;1/1/1990,"",IF(Main[[#This Row],[Class]]="C",WORKDAY(Main[[#This Row],[Tech Start Date]],28),IF(Main[[#This Row],[Class]]="B", WORKDAY(Main[[#This Row],[Tech Start Date]],19),IF(Main[[#This Row],[Class]]="A",WORKDAY(Main[[#This Row],[Tech Start Date]],9),""))))</f>
        <v/>
      </c>
      <c r="Q984" s="67"/>
      <c r="R984" s="67"/>
      <c r="S984" s="65" t="s">
        <v>11</v>
      </c>
      <c r="T984" s="70" t="s">
        <v>4</v>
      </c>
      <c r="U984" s="65" t="s">
        <v>14</v>
      </c>
      <c r="V984" s="65" t="s">
        <v>1918</v>
      </c>
      <c r="W984" s="65" t="s">
        <v>1925</v>
      </c>
      <c r="X984" s="65" t="s">
        <v>2853</v>
      </c>
      <c r="Y984" s="65" t="s">
        <v>2984</v>
      </c>
      <c r="Z984" s="65" t="s">
        <v>4</v>
      </c>
      <c r="AA984" s="65" t="s">
        <v>2853</v>
      </c>
    </row>
    <row r="985" spans="1:27" ht="17.45" customHeight="1">
      <c r="A985" s="131" t="str">
        <f>IF(priority(Main[[#This Row],[Comments]])&lt;&gt;0, priority(Main[[#This Row],[Comments]]),"")</f>
        <v/>
      </c>
      <c r="B985" s="99" t="s">
        <v>1790</v>
      </c>
      <c r="C985" s="65" t="s">
        <v>93</v>
      </c>
      <c r="D985" s="66" t="s">
        <v>834</v>
      </c>
      <c r="E985" s="67"/>
      <c r="F985" s="67">
        <v>40299</v>
      </c>
      <c r="G985" s="64" t="str">
        <f>IF(stdProdLT(Main[[#This Row],[Comments]])=0.1,"N/A",IF(stdProdLT(Main[[#This Row],[Comments]])=0,"",stdProdLT(Main[[#This Row],[Comments]])))</f>
        <v/>
      </c>
      <c r="H985" s="68" t="str">
        <f>IF(AND(Main[[#This Row],[In Stock Date]]&lt;&gt;"",Main[[#This Row],[Revised Due Date]]&lt;&gt;""),Main[[#This Row],[In Stock Date]]-Main[[#This Row],[Revised Due Date]],"")</f>
        <v/>
      </c>
      <c r="I985" s="65" t="s">
        <v>4</v>
      </c>
      <c r="J985" s="65" t="s">
        <v>4</v>
      </c>
      <c r="K985" s="65" t="s">
        <v>4</v>
      </c>
      <c r="L985" s="67"/>
      <c r="M985" s="69" t="str">
        <f>IF(Main[[#This Row],[Tech Start Date]]&lt;1/1/1990,"",IF(Main[[#This Row],[Class]]="C",WORKDAY(Main[[#This Row],[Tech Start Date]],9),IF(Main[[#This Row],[Class]]="B", WORKDAY(Main[[#This Row],[Tech Start Date]],6),IF(Main[[#This Row],[Class]]="A",WORKDAY(Main[[#This Row],[Tech Start Date]],2),""))))</f>
        <v/>
      </c>
      <c r="N985" s="69" t="str">
        <f>IF(Main[[#This Row],[Tech Start Date]]&lt;1/1/1990,"",IF(Main[[#This Row],[Class]]="C",WORKDAY(Main[[#This Row],[Tech Start Date]],19),IF(Main[[#This Row],[Class]]="B", WORKDAY(Main[[#This Row],[Tech Start Date]],12),IF(Main[[#This Row],[Class]]="A",WORKDAY(Main[[#This Row],[Tech Start Date]],4),""))))</f>
        <v/>
      </c>
      <c r="O985" s="69" t="str">
        <f>IF(Main[[#This Row],[Tech Start Date]]&lt;1/1/1990,"",IF(Main[[#This Row],[Class]]="C",WORKDAY(Main[[#This Row],[Tech Start Date]],23),IF(Main[[#This Row],[Class]]="B", WORKDAY(Main[[#This Row],[Tech Start Date]],15),IF(Main[[#This Row],[Class]]="A",WORKDAY(Main[[#This Row],[Tech Start Date]],5),""))))</f>
        <v/>
      </c>
      <c r="P985" s="69" t="str">
        <f>IF(Main[[#This Row],[Tech Start Date]]&lt;1/1/1990,"",IF(Main[[#This Row],[Class]]="C",WORKDAY(Main[[#This Row],[Tech Start Date]],28),IF(Main[[#This Row],[Class]]="B", WORKDAY(Main[[#This Row],[Tech Start Date]],19),IF(Main[[#This Row],[Class]]="A",WORKDAY(Main[[#This Row],[Tech Start Date]],9),""))))</f>
        <v/>
      </c>
      <c r="Q985" s="67">
        <v>40171</v>
      </c>
      <c r="R985" s="67"/>
      <c r="S985" s="65" t="s">
        <v>11</v>
      </c>
      <c r="T985" s="70" t="s">
        <v>4</v>
      </c>
      <c r="U985" s="65" t="s">
        <v>14</v>
      </c>
      <c r="V985" s="65" t="s">
        <v>1920</v>
      </c>
      <c r="W985" s="65" t="s">
        <v>1923</v>
      </c>
      <c r="X985" s="65" t="s">
        <v>530</v>
      </c>
      <c r="Y985" s="65" t="s">
        <v>3059</v>
      </c>
      <c r="Z985" s="65" t="s">
        <v>4</v>
      </c>
      <c r="AA985" s="65" t="s">
        <v>3428</v>
      </c>
    </row>
    <row r="986" spans="1:27" ht="17.45" customHeight="1">
      <c r="A986" s="131" t="str">
        <f>IF(priority(Main[[#This Row],[Comments]])&lt;&gt;0, priority(Main[[#This Row],[Comments]]),"")</f>
        <v/>
      </c>
      <c r="B986" s="99" t="s">
        <v>1791</v>
      </c>
      <c r="C986" s="65" t="s">
        <v>4</v>
      </c>
      <c r="D986" s="66" t="s">
        <v>835</v>
      </c>
      <c r="E986" s="67">
        <v>40682.311319444445</v>
      </c>
      <c r="F986" s="67"/>
      <c r="G986" s="64" t="str">
        <f>IF(stdProdLT(Main[[#This Row],[Comments]])=0.1,"N/A",IF(stdProdLT(Main[[#This Row],[Comments]])=0,"",stdProdLT(Main[[#This Row],[Comments]])))</f>
        <v/>
      </c>
      <c r="H986" s="68" t="str">
        <f>IF(AND(Main[[#This Row],[In Stock Date]]&lt;&gt;"",Main[[#This Row],[Revised Due Date]]&lt;&gt;""),Main[[#This Row],[In Stock Date]]-Main[[#This Row],[Revised Due Date]],"")</f>
        <v/>
      </c>
      <c r="I986" s="65" t="s">
        <v>4</v>
      </c>
      <c r="J986" s="65" t="s">
        <v>4</v>
      </c>
      <c r="K986" s="65" t="s">
        <v>4</v>
      </c>
      <c r="L986" s="67"/>
      <c r="M986" s="69" t="str">
        <f>IF(Main[[#This Row],[Tech Start Date]]&lt;1/1/1990,"",IF(Main[[#This Row],[Class]]="C",WORKDAY(Main[[#This Row],[Tech Start Date]],9),IF(Main[[#This Row],[Class]]="B", WORKDAY(Main[[#This Row],[Tech Start Date]],6),IF(Main[[#This Row],[Class]]="A",WORKDAY(Main[[#This Row],[Tech Start Date]],2),""))))</f>
        <v/>
      </c>
      <c r="N986" s="69" t="str">
        <f>IF(Main[[#This Row],[Tech Start Date]]&lt;1/1/1990,"",IF(Main[[#This Row],[Class]]="C",WORKDAY(Main[[#This Row],[Tech Start Date]],19),IF(Main[[#This Row],[Class]]="B", WORKDAY(Main[[#This Row],[Tech Start Date]],12),IF(Main[[#This Row],[Class]]="A",WORKDAY(Main[[#This Row],[Tech Start Date]],4),""))))</f>
        <v/>
      </c>
      <c r="O986" s="69" t="str">
        <f>IF(Main[[#This Row],[Tech Start Date]]&lt;1/1/1990,"",IF(Main[[#This Row],[Class]]="C",WORKDAY(Main[[#This Row],[Tech Start Date]],23),IF(Main[[#This Row],[Class]]="B", WORKDAY(Main[[#This Row],[Tech Start Date]],15),IF(Main[[#This Row],[Class]]="A",WORKDAY(Main[[#This Row],[Tech Start Date]],5),""))))</f>
        <v/>
      </c>
      <c r="P986" s="69" t="str">
        <f>IF(Main[[#This Row],[Tech Start Date]]&lt;1/1/1990,"",IF(Main[[#This Row],[Class]]="C",WORKDAY(Main[[#This Row],[Tech Start Date]],28),IF(Main[[#This Row],[Class]]="B", WORKDAY(Main[[#This Row],[Tech Start Date]],19),IF(Main[[#This Row],[Class]]="A",WORKDAY(Main[[#This Row],[Tech Start Date]],9),""))))</f>
        <v/>
      </c>
      <c r="Q986" s="67">
        <v>40724</v>
      </c>
      <c r="R986" s="67"/>
      <c r="S986" s="65" t="s">
        <v>6</v>
      </c>
      <c r="T986" s="70" t="s">
        <v>4</v>
      </c>
      <c r="U986" s="65" t="s">
        <v>7</v>
      </c>
      <c r="V986" s="65" t="s">
        <v>1917</v>
      </c>
      <c r="W986" s="65" t="s">
        <v>4</v>
      </c>
      <c r="X986" s="65" t="s">
        <v>2828</v>
      </c>
      <c r="Y986" s="65" t="s">
        <v>2944</v>
      </c>
      <c r="Z986" s="65" t="s">
        <v>4</v>
      </c>
      <c r="AA986" s="65" t="s">
        <v>2828</v>
      </c>
    </row>
    <row r="987" spans="1:27" ht="17.45" customHeight="1">
      <c r="A987" s="131" t="str">
        <f>IF(priority(Main[[#This Row],[Comments]])&lt;&gt;0, priority(Main[[#This Row],[Comments]]),"")</f>
        <v/>
      </c>
      <c r="B987" s="99" t="s">
        <v>1792</v>
      </c>
      <c r="C987" s="65" t="s">
        <v>4</v>
      </c>
      <c r="D987" s="66" t="s">
        <v>836</v>
      </c>
      <c r="E987" s="67"/>
      <c r="F987" s="67"/>
      <c r="G987" s="64" t="str">
        <f>IF(stdProdLT(Main[[#This Row],[Comments]])=0.1,"N/A",IF(stdProdLT(Main[[#This Row],[Comments]])=0,"",stdProdLT(Main[[#This Row],[Comments]])))</f>
        <v/>
      </c>
      <c r="H987" s="68" t="str">
        <f>IF(AND(Main[[#This Row],[In Stock Date]]&lt;&gt;"",Main[[#This Row],[Revised Due Date]]&lt;&gt;""),Main[[#This Row],[In Stock Date]]-Main[[#This Row],[Revised Due Date]],"")</f>
        <v/>
      </c>
      <c r="I987" s="65" t="s">
        <v>4</v>
      </c>
      <c r="J987" s="65" t="s">
        <v>4</v>
      </c>
      <c r="K987" s="65" t="s">
        <v>4</v>
      </c>
      <c r="L987" s="67"/>
      <c r="M987" s="69" t="str">
        <f>IF(Main[[#This Row],[Tech Start Date]]&lt;1/1/1990,"",IF(Main[[#This Row],[Class]]="C",WORKDAY(Main[[#This Row],[Tech Start Date]],9),IF(Main[[#This Row],[Class]]="B", WORKDAY(Main[[#This Row],[Tech Start Date]],6),IF(Main[[#This Row],[Class]]="A",WORKDAY(Main[[#This Row],[Tech Start Date]],2),""))))</f>
        <v/>
      </c>
      <c r="N987" s="69" t="str">
        <f>IF(Main[[#This Row],[Tech Start Date]]&lt;1/1/1990,"",IF(Main[[#This Row],[Class]]="C",WORKDAY(Main[[#This Row],[Tech Start Date]],19),IF(Main[[#This Row],[Class]]="B", WORKDAY(Main[[#This Row],[Tech Start Date]],12),IF(Main[[#This Row],[Class]]="A",WORKDAY(Main[[#This Row],[Tech Start Date]],4),""))))</f>
        <v/>
      </c>
      <c r="O987" s="69" t="str">
        <f>IF(Main[[#This Row],[Tech Start Date]]&lt;1/1/1990,"",IF(Main[[#This Row],[Class]]="C",WORKDAY(Main[[#This Row],[Tech Start Date]],23),IF(Main[[#This Row],[Class]]="B", WORKDAY(Main[[#This Row],[Tech Start Date]],15),IF(Main[[#This Row],[Class]]="A",WORKDAY(Main[[#This Row],[Tech Start Date]],5),""))))</f>
        <v/>
      </c>
      <c r="P987" s="69" t="str">
        <f>IF(Main[[#This Row],[Tech Start Date]]&lt;1/1/1990,"",IF(Main[[#This Row],[Class]]="C",WORKDAY(Main[[#This Row],[Tech Start Date]],28),IF(Main[[#This Row],[Class]]="B", WORKDAY(Main[[#This Row],[Tech Start Date]],19),IF(Main[[#This Row],[Class]]="A",WORKDAY(Main[[#This Row],[Tech Start Date]],9),""))))</f>
        <v/>
      </c>
      <c r="Q987" s="67"/>
      <c r="R987" s="67"/>
      <c r="S987" s="65" t="s">
        <v>6</v>
      </c>
      <c r="T987" s="70" t="s">
        <v>4</v>
      </c>
      <c r="U987" s="65" t="s">
        <v>14</v>
      </c>
      <c r="V987" s="65" t="s">
        <v>1920</v>
      </c>
      <c r="W987" s="65" t="s">
        <v>1921</v>
      </c>
      <c r="X987" s="65" t="s">
        <v>50</v>
      </c>
      <c r="Y987" s="65" t="s">
        <v>4</v>
      </c>
      <c r="Z987" s="65" t="s">
        <v>4</v>
      </c>
      <c r="AA987" s="65" t="s">
        <v>4</v>
      </c>
    </row>
    <row r="988" spans="1:27" ht="17.45" customHeight="1">
      <c r="A988" s="131" t="str">
        <f>IF(priority(Main[[#This Row],[Comments]])&lt;&gt;0, priority(Main[[#This Row],[Comments]]),"")</f>
        <v/>
      </c>
      <c r="B988" s="99" t="s">
        <v>1793</v>
      </c>
      <c r="C988" s="65" t="s">
        <v>4</v>
      </c>
      <c r="D988" s="66" t="s">
        <v>837</v>
      </c>
      <c r="E988" s="67">
        <v>40686.396180555559</v>
      </c>
      <c r="F988" s="67"/>
      <c r="G988" s="64" t="str">
        <f>IF(stdProdLT(Main[[#This Row],[Comments]])=0.1,"N/A",IF(stdProdLT(Main[[#This Row],[Comments]])=0,"",stdProdLT(Main[[#This Row],[Comments]])))</f>
        <v/>
      </c>
      <c r="H988" s="68" t="str">
        <f>IF(AND(Main[[#This Row],[In Stock Date]]&lt;&gt;"",Main[[#This Row],[Revised Due Date]]&lt;&gt;""),Main[[#This Row],[In Stock Date]]-Main[[#This Row],[Revised Due Date]],"")</f>
        <v/>
      </c>
      <c r="I988" s="65" t="s">
        <v>4</v>
      </c>
      <c r="J988" s="65" t="s">
        <v>4</v>
      </c>
      <c r="K988" s="65" t="s">
        <v>4</v>
      </c>
      <c r="L988" s="67"/>
      <c r="M988" s="69" t="str">
        <f>IF(Main[[#This Row],[Tech Start Date]]&lt;1/1/1990,"",IF(Main[[#This Row],[Class]]="C",WORKDAY(Main[[#This Row],[Tech Start Date]],9),IF(Main[[#This Row],[Class]]="B", WORKDAY(Main[[#This Row],[Tech Start Date]],6),IF(Main[[#This Row],[Class]]="A",WORKDAY(Main[[#This Row],[Tech Start Date]],2),""))))</f>
        <v/>
      </c>
      <c r="N988" s="69" t="str">
        <f>IF(Main[[#This Row],[Tech Start Date]]&lt;1/1/1990,"",IF(Main[[#This Row],[Class]]="C",WORKDAY(Main[[#This Row],[Tech Start Date]],19),IF(Main[[#This Row],[Class]]="B", WORKDAY(Main[[#This Row],[Tech Start Date]],12),IF(Main[[#This Row],[Class]]="A",WORKDAY(Main[[#This Row],[Tech Start Date]],4),""))))</f>
        <v/>
      </c>
      <c r="O988" s="69" t="str">
        <f>IF(Main[[#This Row],[Tech Start Date]]&lt;1/1/1990,"",IF(Main[[#This Row],[Class]]="C",WORKDAY(Main[[#This Row],[Tech Start Date]],23),IF(Main[[#This Row],[Class]]="B", WORKDAY(Main[[#This Row],[Tech Start Date]],15),IF(Main[[#This Row],[Class]]="A",WORKDAY(Main[[#This Row],[Tech Start Date]],5),""))))</f>
        <v/>
      </c>
      <c r="P988" s="69" t="str">
        <f>IF(Main[[#This Row],[Tech Start Date]]&lt;1/1/1990,"",IF(Main[[#This Row],[Class]]="C",WORKDAY(Main[[#This Row],[Tech Start Date]],28),IF(Main[[#This Row],[Class]]="B", WORKDAY(Main[[#This Row],[Tech Start Date]],19),IF(Main[[#This Row],[Class]]="A",WORKDAY(Main[[#This Row],[Tech Start Date]],9),""))))</f>
        <v/>
      </c>
      <c r="Q988" s="67">
        <v>40704</v>
      </c>
      <c r="R988" s="67"/>
      <c r="S988" s="65" t="s">
        <v>6</v>
      </c>
      <c r="T988" s="70" t="s">
        <v>4</v>
      </c>
      <c r="U988" s="65" t="s">
        <v>7</v>
      </c>
      <c r="V988" s="65" t="s">
        <v>1917</v>
      </c>
      <c r="W988" s="65" t="s">
        <v>1921</v>
      </c>
      <c r="X988" s="65" t="s">
        <v>2872</v>
      </c>
      <c r="Y988" s="65" t="s">
        <v>3006</v>
      </c>
      <c r="Z988" s="65" t="s">
        <v>4</v>
      </c>
      <c r="AA988" s="65" t="s">
        <v>2872</v>
      </c>
    </row>
    <row r="989" spans="1:27" ht="17.45" customHeight="1">
      <c r="A989" s="131" t="str">
        <f>IF(priority(Main[[#This Row],[Comments]])&lt;&gt;0, priority(Main[[#This Row],[Comments]]),"")</f>
        <v/>
      </c>
      <c r="B989" s="99" t="s">
        <v>1154</v>
      </c>
      <c r="C989" s="65" t="s">
        <v>4</v>
      </c>
      <c r="D989" s="66" t="s">
        <v>97</v>
      </c>
      <c r="E989" s="67">
        <v>40667.587465277778</v>
      </c>
      <c r="F989" s="67"/>
      <c r="G989" s="64" t="str">
        <f>IF(stdProdLT(Main[[#This Row],[Comments]])=0.1,"N/A",IF(stdProdLT(Main[[#This Row],[Comments]])=0,"",stdProdLT(Main[[#This Row],[Comments]])))</f>
        <v/>
      </c>
      <c r="H989" s="68" t="str">
        <f>IF(AND(Main[[#This Row],[In Stock Date]]&lt;&gt;"",Main[[#This Row],[Revised Due Date]]&lt;&gt;""),Main[[#This Row],[In Stock Date]]-Main[[#This Row],[Revised Due Date]],"")</f>
        <v/>
      </c>
      <c r="I989" s="65" t="s">
        <v>4</v>
      </c>
      <c r="J989" s="65" t="s">
        <v>4</v>
      </c>
      <c r="K989" s="65" t="s">
        <v>4</v>
      </c>
      <c r="L989" s="67"/>
      <c r="M989" s="69" t="str">
        <f>IF(Main[[#This Row],[Tech Start Date]]&lt;1/1/1990,"",IF(Main[[#This Row],[Class]]="C",WORKDAY(Main[[#This Row],[Tech Start Date]],9),IF(Main[[#This Row],[Class]]="B", WORKDAY(Main[[#This Row],[Tech Start Date]],6),IF(Main[[#This Row],[Class]]="A",WORKDAY(Main[[#This Row],[Tech Start Date]],2),""))))</f>
        <v/>
      </c>
      <c r="N989" s="69" t="str">
        <f>IF(Main[[#This Row],[Tech Start Date]]&lt;1/1/1990,"",IF(Main[[#This Row],[Class]]="C",WORKDAY(Main[[#This Row],[Tech Start Date]],19),IF(Main[[#This Row],[Class]]="B", WORKDAY(Main[[#This Row],[Tech Start Date]],12),IF(Main[[#This Row],[Class]]="A",WORKDAY(Main[[#This Row],[Tech Start Date]],4),""))))</f>
        <v/>
      </c>
      <c r="O989" s="69" t="str">
        <f>IF(Main[[#This Row],[Tech Start Date]]&lt;1/1/1990,"",IF(Main[[#This Row],[Class]]="C",WORKDAY(Main[[#This Row],[Tech Start Date]],23),IF(Main[[#This Row],[Class]]="B", WORKDAY(Main[[#This Row],[Tech Start Date]],15),IF(Main[[#This Row],[Class]]="A",WORKDAY(Main[[#This Row],[Tech Start Date]],5),""))))</f>
        <v/>
      </c>
      <c r="P989" s="69" t="str">
        <f>IF(Main[[#This Row],[Tech Start Date]]&lt;1/1/1990,"",IF(Main[[#This Row],[Class]]="C",WORKDAY(Main[[#This Row],[Tech Start Date]],28),IF(Main[[#This Row],[Class]]="B", WORKDAY(Main[[#This Row],[Tech Start Date]],19),IF(Main[[#This Row],[Class]]="A",WORKDAY(Main[[#This Row],[Tech Start Date]],9),""))))</f>
        <v/>
      </c>
      <c r="Q989" s="67">
        <v>40858</v>
      </c>
      <c r="R989" s="67"/>
      <c r="S989" s="65" t="s">
        <v>17</v>
      </c>
      <c r="T989" s="70" t="s">
        <v>4</v>
      </c>
      <c r="U989" s="65" t="s">
        <v>7</v>
      </c>
      <c r="V989" s="65" t="s">
        <v>1917</v>
      </c>
      <c r="W989" s="65" t="s">
        <v>1922</v>
      </c>
      <c r="X989" s="65" t="s">
        <v>50</v>
      </c>
      <c r="Y989" s="65" t="s">
        <v>2965</v>
      </c>
      <c r="Z989" s="65" t="s">
        <v>4</v>
      </c>
      <c r="AA989" s="65" t="s">
        <v>2834</v>
      </c>
    </row>
    <row r="990" spans="1:27" ht="17.45" customHeight="1">
      <c r="A990" s="131" t="str">
        <f>IF(priority(Main[[#This Row],[Comments]])&lt;&gt;0, priority(Main[[#This Row],[Comments]]),"")</f>
        <v/>
      </c>
      <c r="B990" s="99" t="s">
        <v>1794</v>
      </c>
      <c r="C990" s="65" t="s">
        <v>4</v>
      </c>
      <c r="D990" s="66" t="s">
        <v>97</v>
      </c>
      <c r="E990" s="67"/>
      <c r="F990" s="67"/>
      <c r="G990" s="64" t="str">
        <f>IF(stdProdLT(Main[[#This Row],[Comments]])=0.1,"N/A",IF(stdProdLT(Main[[#This Row],[Comments]])=0,"",stdProdLT(Main[[#This Row],[Comments]])))</f>
        <v/>
      </c>
      <c r="H990" s="68" t="str">
        <f>IF(AND(Main[[#This Row],[In Stock Date]]&lt;&gt;"",Main[[#This Row],[Revised Due Date]]&lt;&gt;""),Main[[#This Row],[In Stock Date]]-Main[[#This Row],[Revised Due Date]],"")</f>
        <v/>
      </c>
      <c r="I990" s="65" t="s">
        <v>4</v>
      </c>
      <c r="J990" s="65" t="s">
        <v>4</v>
      </c>
      <c r="K990" s="65" t="s">
        <v>4</v>
      </c>
      <c r="L990" s="67"/>
      <c r="M990" s="69" t="str">
        <f>IF(Main[[#This Row],[Tech Start Date]]&lt;1/1/1990,"",IF(Main[[#This Row],[Class]]="C",WORKDAY(Main[[#This Row],[Tech Start Date]],9),IF(Main[[#This Row],[Class]]="B", WORKDAY(Main[[#This Row],[Tech Start Date]],6),IF(Main[[#This Row],[Class]]="A",WORKDAY(Main[[#This Row],[Tech Start Date]],2),""))))</f>
        <v/>
      </c>
      <c r="N990" s="69" t="str">
        <f>IF(Main[[#This Row],[Tech Start Date]]&lt;1/1/1990,"",IF(Main[[#This Row],[Class]]="C",WORKDAY(Main[[#This Row],[Tech Start Date]],19),IF(Main[[#This Row],[Class]]="B", WORKDAY(Main[[#This Row],[Tech Start Date]],12),IF(Main[[#This Row],[Class]]="A",WORKDAY(Main[[#This Row],[Tech Start Date]],4),""))))</f>
        <v/>
      </c>
      <c r="O990" s="69" t="str">
        <f>IF(Main[[#This Row],[Tech Start Date]]&lt;1/1/1990,"",IF(Main[[#This Row],[Class]]="C",WORKDAY(Main[[#This Row],[Tech Start Date]],23),IF(Main[[#This Row],[Class]]="B", WORKDAY(Main[[#This Row],[Tech Start Date]],15),IF(Main[[#This Row],[Class]]="A",WORKDAY(Main[[#This Row],[Tech Start Date]],5),""))))</f>
        <v/>
      </c>
      <c r="P990" s="69" t="str">
        <f>IF(Main[[#This Row],[Tech Start Date]]&lt;1/1/1990,"",IF(Main[[#This Row],[Class]]="C",WORKDAY(Main[[#This Row],[Tech Start Date]],28),IF(Main[[#This Row],[Class]]="B", WORKDAY(Main[[#This Row],[Tech Start Date]],19),IF(Main[[#This Row],[Class]]="A",WORKDAY(Main[[#This Row],[Tech Start Date]],9),""))))</f>
        <v/>
      </c>
      <c r="Q990" s="67">
        <v>40858</v>
      </c>
      <c r="R990" s="67"/>
      <c r="S990" s="65" t="s">
        <v>17</v>
      </c>
      <c r="T990" s="70" t="s">
        <v>4</v>
      </c>
      <c r="U990" s="65" t="s">
        <v>14</v>
      </c>
      <c r="V990" s="65" t="s">
        <v>1917</v>
      </c>
      <c r="W990" s="65" t="s">
        <v>1922</v>
      </c>
      <c r="X990" s="65" t="s">
        <v>50</v>
      </c>
      <c r="Y990" s="65" t="s">
        <v>2965</v>
      </c>
      <c r="Z990" s="65" t="s">
        <v>4</v>
      </c>
      <c r="AA990" s="65" t="s">
        <v>2834</v>
      </c>
    </row>
    <row r="991" spans="1:27" ht="17.45" customHeight="1">
      <c r="A991" s="131" t="str">
        <f>IF(priority(Main[[#This Row],[Comments]])&lt;&gt;0, priority(Main[[#This Row],[Comments]]),"")</f>
        <v/>
      </c>
      <c r="B991" s="99" t="s">
        <v>1795</v>
      </c>
      <c r="C991" s="65" t="s">
        <v>4</v>
      </c>
      <c r="D991" s="66" t="s">
        <v>838</v>
      </c>
      <c r="E991" s="67"/>
      <c r="F991" s="67">
        <v>40574</v>
      </c>
      <c r="G991" s="64" t="str">
        <f>IF(stdProdLT(Main[[#This Row],[Comments]])=0.1,"N/A",IF(stdProdLT(Main[[#This Row],[Comments]])=0,"",stdProdLT(Main[[#This Row],[Comments]])))</f>
        <v/>
      </c>
      <c r="H991" s="68" t="str">
        <f>IF(AND(Main[[#This Row],[In Stock Date]]&lt;&gt;"",Main[[#This Row],[Revised Due Date]]&lt;&gt;""),Main[[#This Row],[In Stock Date]]-Main[[#This Row],[Revised Due Date]],"")</f>
        <v/>
      </c>
      <c r="I991" s="65" t="s">
        <v>4</v>
      </c>
      <c r="J991" s="65" t="s">
        <v>4</v>
      </c>
      <c r="K991" s="65" t="s">
        <v>4</v>
      </c>
      <c r="L991" s="67"/>
      <c r="M991" s="69" t="str">
        <f>IF(Main[[#This Row],[Tech Start Date]]&lt;1/1/1990,"",IF(Main[[#This Row],[Class]]="C",WORKDAY(Main[[#This Row],[Tech Start Date]],9),IF(Main[[#This Row],[Class]]="B", WORKDAY(Main[[#This Row],[Tech Start Date]],6),IF(Main[[#This Row],[Class]]="A",WORKDAY(Main[[#This Row],[Tech Start Date]],2),""))))</f>
        <v/>
      </c>
      <c r="N991" s="69" t="str">
        <f>IF(Main[[#This Row],[Tech Start Date]]&lt;1/1/1990,"",IF(Main[[#This Row],[Class]]="C",WORKDAY(Main[[#This Row],[Tech Start Date]],19),IF(Main[[#This Row],[Class]]="B", WORKDAY(Main[[#This Row],[Tech Start Date]],12),IF(Main[[#This Row],[Class]]="A",WORKDAY(Main[[#This Row],[Tech Start Date]],4),""))))</f>
        <v/>
      </c>
      <c r="O991" s="69" t="str">
        <f>IF(Main[[#This Row],[Tech Start Date]]&lt;1/1/1990,"",IF(Main[[#This Row],[Class]]="C",WORKDAY(Main[[#This Row],[Tech Start Date]],23),IF(Main[[#This Row],[Class]]="B", WORKDAY(Main[[#This Row],[Tech Start Date]],15),IF(Main[[#This Row],[Class]]="A",WORKDAY(Main[[#This Row],[Tech Start Date]],5),""))))</f>
        <v/>
      </c>
      <c r="P991" s="69" t="str">
        <f>IF(Main[[#This Row],[Tech Start Date]]&lt;1/1/1990,"",IF(Main[[#This Row],[Class]]="C",WORKDAY(Main[[#This Row],[Tech Start Date]],28),IF(Main[[#This Row],[Class]]="B", WORKDAY(Main[[#This Row],[Tech Start Date]],19),IF(Main[[#This Row],[Class]]="A",WORKDAY(Main[[#This Row],[Tech Start Date]],9),""))))</f>
        <v/>
      </c>
      <c r="Q991" s="67"/>
      <c r="R991" s="67"/>
      <c r="S991" s="65" t="s">
        <v>17</v>
      </c>
      <c r="T991" s="70" t="s">
        <v>4</v>
      </c>
      <c r="U991" s="65" t="s">
        <v>14</v>
      </c>
      <c r="V991" s="65" t="s">
        <v>1920</v>
      </c>
      <c r="W991" s="65" t="s">
        <v>1922</v>
      </c>
      <c r="X991" s="65" t="s">
        <v>50</v>
      </c>
      <c r="Y991" s="65" t="s">
        <v>2991</v>
      </c>
      <c r="Z991" s="65" t="s">
        <v>4</v>
      </c>
      <c r="AA991" s="65" t="s">
        <v>65</v>
      </c>
    </row>
    <row r="992" spans="1:27" ht="17.45" customHeight="1">
      <c r="A992" s="131" t="str">
        <f>IF(priority(Main[[#This Row],[Comments]])&lt;&gt;0, priority(Main[[#This Row],[Comments]]),"")</f>
        <v/>
      </c>
      <c r="B992" s="99" t="s">
        <v>1796</v>
      </c>
      <c r="C992" s="65" t="s">
        <v>93</v>
      </c>
      <c r="D992" s="66" t="s">
        <v>839</v>
      </c>
      <c r="E992" s="67"/>
      <c r="F992" s="67">
        <v>40132</v>
      </c>
      <c r="G992" s="64" t="str">
        <f>IF(stdProdLT(Main[[#This Row],[Comments]])=0.1,"N/A",IF(stdProdLT(Main[[#This Row],[Comments]])=0,"",stdProdLT(Main[[#This Row],[Comments]])))</f>
        <v/>
      </c>
      <c r="H992" s="68" t="str">
        <f>IF(AND(Main[[#This Row],[In Stock Date]]&lt;&gt;"",Main[[#This Row],[Revised Due Date]]&lt;&gt;""),Main[[#This Row],[In Stock Date]]-Main[[#This Row],[Revised Due Date]],"")</f>
        <v/>
      </c>
      <c r="I992" s="65" t="s">
        <v>4</v>
      </c>
      <c r="J992" s="65" t="s">
        <v>4</v>
      </c>
      <c r="K992" s="65" t="s">
        <v>4</v>
      </c>
      <c r="L992" s="67"/>
      <c r="M992" s="69" t="str">
        <f>IF(Main[[#This Row],[Tech Start Date]]&lt;1/1/1990,"",IF(Main[[#This Row],[Class]]="C",WORKDAY(Main[[#This Row],[Tech Start Date]],9),IF(Main[[#This Row],[Class]]="B", WORKDAY(Main[[#This Row],[Tech Start Date]],6),IF(Main[[#This Row],[Class]]="A",WORKDAY(Main[[#This Row],[Tech Start Date]],2),""))))</f>
        <v/>
      </c>
      <c r="N992" s="69" t="str">
        <f>IF(Main[[#This Row],[Tech Start Date]]&lt;1/1/1990,"",IF(Main[[#This Row],[Class]]="C",WORKDAY(Main[[#This Row],[Tech Start Date]],19),IF(Main[[#This Row],[Class]]="B", WORKDAY(Main[[#This Row],[Tech Start Date]],12),IF(Main[[#This Row],[Class]]="A",WORKDAY(Main[[#This Row],[Tech Start Date]],4),""))))</f>
        <v/>
      </c>
      <c r="O992" s="69" t="str">
        <f>IF(Main[[#This Row],[Tech Start Date]]&lt;1/1/1990,"",IF(Main[[#This Row],[Class]]="C",WORKDAY(Main[[#This Row],[Tech Start Date]],23),IF(Main[[#This Row],[Class]]="B", WORKDAY(Main[[#This Row],[Tech Start Date]],15),IF(Main[[#This Row],[Class]]="A",WORKDAY(Main[[#This Row],[Tech Start Date]],5),""))))</f>
        <v/>
      </c>
      <c r="P992" s="69" t="str">
        <f>IF(Main[[#This Row],[Tech Start Date]]&lt;1/1/1990,"",IF(Main[[#This Row],[Class]]="C",WORKDAY(Main[[#This Row],[Tech Start Date]],28),IF(Main[[#This Row],[Class]]="B", WORKDAY(Main[[#This Row],[Tech Start Date]],19),IF(Main[[#This Row],[Class]]="A",WORKDAY(Main[[#This Row],[Tech Start Date]],9),""))))</f>
        <v/>
      </c>
      <c r="Q992" s="67">
        <v>40132</v>
      </c>
      <c r="R992" s="67"/>
      <c r="S992" s="65" t="s">
        <v>11</v>
      </c>
      <c r="T992" s="70" t="s">
        <v>4</v>
      </c>
      <c r="U992" s="65" t="s">
        <v>14</v>
      </c>
      <c r="V992" s="65" t="s">
        <v>1920</v>
      </c>
      <c r="W992" s="65" t="s">
        <v>1928</v>
      </c>
      <c r="X992" s="65" t="s">
        <v>2862</v>
      </c>
      <c r="Y992" s="65" t="s">
        <v>4</v>
      </c>
      <c r="Z992" s="65" t="s">
        <v>4</v>
      </c>
      <c r="AA992" s="65" t="s">
        <v>2862</v>
      </c>
    </row>
    <row r="993" spans="1:27" ht="17.45" customHeight="1">
      <c r="A993" s="131" t="str">
        <f>IF(priority(Main[[#This Row],[Comments]])&lt;&gt;0, priority(Main[[#This Row],[Comments]]),"")</f>
        <v/>
      </c>
      <c r="B993" s="99" t="s">
        <v>1797</v>
      </c>
      <c r="C993" s="65" t="s">
        <v>113</v>
      </c>
      <c r="D993" s="66" t="s">
        <v>840</v>
      </c>
      <c r="E993" s="67"/>
      <c r="F993" s="67"/>
      <c r="G993" s="64" t="str">
        <f>IF(stdProdLT(Main[[#This Row],[Comments]])=0.1,"N/A",IF(stdProdLT(Main[[#This Row],[Comments]])=0,"",stdProdLT(Main[[#This Row],[Comments]])))</f>
        <v/>
      </c>
      <c r="H993" s="68" t="str">
        <f>IF(AND(Main[[#This Row],[In Stock Date]]&lt;&gt;"",Main[[#This Row],[Revised Due Date]]&lt;&gt;""),Main[[#This Row],[In Stock Date]]-Main[[#This Row],[Revised Due Date]],"")</f>
        <v/>
      </c>
      <c r="I993" s="65" t="s">
        <v>4</v>
      </c>
      <c r="J993" s="65" t="s">
        <v>28</v>
      </c>
      <c r="K993" s="65" t="s">
        <v>1929</v>
      </c>
      <c r="L993" s="67"/>
      <c r="M993" s="69" t="str">
        <f>IF(Main[[#This Row],[Tech Start Date]]&lt;1/1/1990,"",IF(Main[[#This Row],[Class]]="C",WORKDAY(Main[[#This Row],[Tech Start Date]],9),IF(Main[[#This Row],[Class]]="B", WORKDAY(Main[[#This Row],[Tech Start Date]],6),IF(Main[[#This Row],[Class]]="A",WORKDAY(Main[[#This Row],[Tech Start Date]],2),""))))</f>
        <v/>
      </c>
      <c r="N993" s="69" t="str">
        <f>IF(Main[[#This Row],[Tech Start Date]]&lt;1/1/1990,"",IF(Main[[#This Row],[Class]]="C",WORKDAY(Main[[#This Row],[Tech Start Date]],19),IF(Main[[#This Row],[Class]]="B", WORKDAY(Main[[#This Row],[Tech Start Date]],12),IF(Main[[#This Row],[Class]]="A",WORKDAY(Main[[#This Row],[Tech Start Date]],4),""))))</f>
        <v/>
      </c>
      <c r="O993" s="69" t="str">
        <f>IF(Main[[#This Row],[Tech Start Date]]&lt;1/1/1990,"",IF(Main[[#This Row],[Class]]="C",WORKDAY(Main[[#This Row],[Tech Start Date]],23),IF(Main[[#This Row],[Class]]="B", WORKDAY(Main[[#This Row],[Tech Start Date]],15),IF(Main[[#This Row],[Class]]="A",WORKDAY(Main[[#This Row],[Tech Start Date]],5),""))))</f>
        <v/>
      </c>
      <c r="P993" s="69" t="str">
        <f>IF(Main[[#This Row],[Tech Start Date]]&lt;1/1/1990,"",IF(Main[[#This Row],[Class]]="C",WORKDAY(Main[[#This Row],[Tech Start Date]],28),IF(Main[[#This Row],[Class]]="B", WORKDAY(Main[[#This Row],[Tech Start Date]],19),IF(Main[[#This Row],[Class]]="A",WORKDAY(Main[[#This Row],[Tech Start Date]],9),""))))</f>
        <v/>
      </c>
      <c r="Q993" s="67"/>
      <c r="R993" s="67"/>
      <c r="S993" s="65" t="s">
        <v>17</v>
      </c>
      <c r="T993" s="70" t="s">
        <v>4</v>
      </c>
      <c r="U993" s="65" t="s">
        <v>14</v>
      </c>
      <c r="V993" s="65" t="s">
        <v>1918</v>
      </c>
      <c r="W993" s="65" t="s">
        <v>1925</v>
      </c>
      <c r="X993" s="65" t="s">
        <v>50</v>
      </c>
      <c r="Y993" s="65" t="s">
        <v>3115</v>
      </c>
      <c r="Z993" s="65" t="s">
        <v>977</v>
      </c>
      <c r="AA993" s="65" t="s">
        <v>50</v>
      </c>
    </row>
    <row r="994" spans="1:27" ht="17.45" customHeight="1">
      <c r="A994" s="131" t="str">
        <f>IF(priority(Main[[#This Row],[Comments]])&lt;&gt;0, priority(Main[[#This Row],[Comments]]),"")</f>
        <v/>
      </c>
      <c r="B994" s="99" t="s">
        <v>1799</v>
      </c>
      <c r="C994" s="65" t="s">
        <v>4</v>
      </c>
      <c r="D994" s="66" t="s">
        <v>842</v>
      </c>
      <c r="E994" s="67"/>
      <c r="F994" s="67">
        <v>40435</v>
      </c>
      <c r="G994" s="64" t="str">
        <f>IF(stdProdLT(Main[[#This Row],[Comments]])=0.1,"N/A",IF(stdProdLT(Main[[#This Row],[Comments]])=0,"",stdProdLT(Main[[#This Row],[Comments]])))</f>
        <v/>
      </c>
      <c r="H994" s="68" t="str">
        <f>IF(AND(Main[[#This Row],[In Stock Date]]&lt;&gt;"",Main[[#This Row],[Revised Due Date]]&lt;&gt;""),Main[[#This Row],[In Stock Date]]-Main[[#This Row],[Revised Due Date]],"")</f>
        <v/>
      </c>
      <c r="I994" s="65" t="s">
        <v>4</v>
      </c>
      <c r="J994" s="65" t="s">
        <v>28</v>
      </c>
      <c r="K994" s="65" t="s">
        <v>4</v>
      </c>
      <c r="L994" s="67"/>
      <c r="M994" s="69" t="str">
        <f>IF(Main[[#This Row],[Tech Start Date]]&lt;1/1/1990,"",IF(Main[[#This Row],[Class]]="C",WORKDAY(Main[[#This Row],[Tech Start Date]],9),IF(Main[[#This Row],[Class]]="B", WORKDAY(Main[[#This Row],[Tech Start Date]],6),IF(Main[[#This Row],[Class]]="A",WORKDAY(Main[[#This Row],[Tech Start Date]],2),""))))</f>
        <v/>
      </c>
      <c r="N994" s="69" t="str">
        <f>IF(Main[[#This Row],[Tech Start Date]]&lt;1/1/1990,"",IF(Main[[#This Row],[Class]]="C",WORKDAY(Main[[#This Row],[Tech Start Date]],19),IF(Main[[#This Row],[Class]]="B", WORKDAY(Main[[#This Row],[Tech Start Date]],12),IF(Main[[#This Row],[Class]]="A",WORKDAY(Main[[#This Row],[Tech Start Date]],4),""))))</f>
        <v/>
      </c>
      <c r="O994" s="69" t="str">
        <f>IF(Main[[#This Row],[Tech Start Date]]&lt;1/1/1990,"",IF(Main[[#This Row],[Class]]="C",WORKDAY(Main[[#This Row],[Tech Start Date]],23),IF(Main[[#This Row],[Class]]="B", WORKDAY(Main[[#This Row],[Tech Start Date]],15),IF(Main[[#This Row],[Class]]="A",WORKDAY(Main[[#This Row],[Tech Start Date]],5),""))))</f>
        <v/>
      </c>
      <c r="P994" s="69" t="str">
        <f>IF(Main[[#This Row],[Tech Start Date]]&lt;1/1/1990,"",IF(Main[[#This Row],[Class]]="C",WORKDAY(Main[[#This Row],[Tech Start Date]],28),IF(Main[[#This Row],[Class]]="B", WORKDAY(Main[[#This Row],[Tech Start Date]],19),IF(Main[[#This Row],[Class]]="A",WORKDAY(Main[[#This Row],[Tech Start Date]],9),""))))</f>
        <v/>
      </c>
      <c r="Q994" s="67"/>
      <c r="R994" s="67"/>
      <c r="S994" s="65" t="s">
        <v>11</v>
      </c>
      <c r="T994" s="70" t="s">
        <v>4</v>
      </c>
      <c r="U994" s="65" t="s">
        <v>14</v>
      </c>
      <c r="V994" s="65" t="s">
        <v>1920</v>
      </c>
      <c r="W994" s="65" t="s">
        <v>1922</v>
      </c>
      <c r="X994" s="65" t="s">
        <v>2843</v>
      </c>
      <c r="Y994" s="65" t="s">
        <v>2972</v>
      </c>
      <c r="Z994" s="65" t="s">
        <v>530</v>
      </c>
      <c r="AA994" s="65" t="s">
        <v>2840</v>
      </c>
    </row>
    <row r="995" spans="1:27" ht="17.45" customHeight="1">
      <c r="A995" s="131" t="str">
        <f>IF(priority(Main[[#This Row],[Comments]])&lt;&gt;0, priority(Main[[#This Row],[Comments]]),"")</f>
        <v/>
      </c>
      <c r="B995" s="99" t="s">
        <v>1800</v>
      </c>
      <c r="C995" s="65" t="s">
        <v>99</v>
      </c>
      <c r="D995" s="66" t="s">
        <v>843</v>
      </c>
      <c r="E995" s="67"/>
      <c r="F995" s="67">
        <v>40435</v>
      </c>
      <c r="G995" s="64" t="str">
        <f>IF(stdProdLT(Main[[#This Row],[Comments]])=0.1,"N/A",IF(stdProdLT(Main[[#This Row],[Comments]])=0,"",stdProdLT(Main[[#This Row],[Comments]])))</f>
        <v/>
      </c>
      <c r="H995" s="68" t="str">
        <f>IF(AND(Main[[#This Row],[In Stock Date]]&lt;&gt;"",Main[[#This Row],[Revised Due Date]]&lt;&gt;""),Main[[#This Row],[In Stock Date]]-Main[[#This Row],[Revised Due Date]],"")</f>
        <v/>
      </c>
      <c r="I995" s="65" t="s">
        <v>4</v>
      </c>
      <c r="J995" s="65" t="s">
        <v>28</v>
      </c>
      <c r="K995" s="65" t="s">
        <v>4</v>
      </c>
      <c r="L995" s="67"/>
      <c r="M995" s="69" t="str">
        <f>IF(Main[[#This Row],[Tech Start Date]]&lt;1/1/1990,"",IF(Main[[#This Row],[Class]]="C",WORKDAY(Main[[#This Row],[Tech Start Date]],9),IF(Main[[#This Row],[Class]]="B", WORKDAY(Main[[#This Row],[Tech Start Date]],6),IF(Main[[#This Row],[Class]]="A",WORKDAY(Main[[#This Row],[Tech Start Date]],2),""))))</f>
        <v/>
      </c>
      <c r="N995" s="69" t="str">
        <f>IF(Main[[#This Row],[Tech Start Date]]&lt;1/1/1990,"",IF(Main[[#This Row],[Class]]="C",WORKDAY(Main[[#This Row],[Tech Start Date]],19),IF(Main[[#This Row],[Class]]="B", WORKDAY(Main[[#This Row],[Tech Start Date]],12),IF(Main[[#This Row],[Class]]="A",WORKDAY(Main[[#This Row],[Tech Start Date]],4),""))))</f>
        <v/>
      </c>
      <c r="O995" s="69" t="str">
        <f>IF(Main[[#This Row],[Tech Start Date]]&lt;1/1/1990,"",IF(Main[[#This Row],[Class]]="C",WORKDAY(Main[[#This Row],[Tech Start Date]],23),IF(Main[[#This Row],[Class]]="B", WORKDAY(Main[[#This Row],[Tech Start Date]],15),IF(Main[[#This Row],[Class]]="A",WORKDAY(Main[[#This Row],[Tech Start Date]],5),""))))</f>
        <v/>
      </c>
      <c r="P995" s="69" t="str">
        <f>IF(Main[[#This Row],[Tech Start Date]]&lt;1/1/1990,"",IF(Main[[#This Row],[Class]]="C",WORKDAY(Main[[#This Row],[Tech Start Date]],28),IF(Main[[#This Row],[Class]]="B", WORKDAY(Main[[#This Row],[Tech Start Date]],19),IF(Main[[#This Row],[Class]]="A",WORKDAY(Main[[#This Row],[Tech Start Date]],9),""))))</f>
        <v/>
      </c>
      <c r="Q995" s="67">
        <v>40435</v>
      </c>
      <c r="R995" s="67"/>
      <c r="S995" s="65" t="s">
        <v>11</v>
      </c>
      <c r="T995" s="70" t="s">
        <v>4</v>
      </c>
      <c r="U995" s="65" t="s">
        <v>14</v>
      </c>
      <c r="V995" s="65" t="s">
        <v>1920</v>
      </c>
      <c r="W995" s="65" t="s">
        <v>1922</v>
      </c>
      <c r="X995" s="65" t="s">
        <v>2843</v>
      </c>
      <c r="Y995" s="65" t="s">
        <v>2972</v>
      </c>
      <c r="Z995" s="65" t="s">
        <v>530</v>
      </c>
      <c r="AA995" s="65" t="s">
        <v>3422</v>
      </c>
    </row>
    <row r="996" spans="1:27" ht="17.45" customHeight="1">
      <c r="A996" s="131" t="str">
        <f>IF(priority(Main[[#This Row],[Comments]])&lt;&gt;0, priority(Main[[#This Row],[Comments]]),"")</f>
        <v/>
      </c>
      <c r="B996" s="99" t="s">
        <v>1786</v>
      </c>
      <c r="C996" s="65" t="s">
        <v>828</v>
      </c>
      <c r="D996" s="66" t="s">
        <v>829</v>
      </c>
      <c r="E996" s="67"/>
      <c r="F996" s="67"/>
      <c r="G996" s="64" t="str">
        <f>IF(stdProdLT(Main[[#This Row],[Comments]])=0.1,"N/A",IF(stdProdLT(Main[[#This Row],[Comments]])=0,"",stdProdLT(Main[[#This Row],[Comments]])))</f>
        <v/>
      </c>
      <c r="H996" s="68" t="str">
        <f>IF(AND(Main[[#This Row],[In Stock Date]]&lt;&gt;"",Main[[#This Row],[Revised Due Date]]&lt;&gt;""),Main[[#This Row],[In Stock Date]]-Main[[#This Row],[Revised Due Date]],"")</f>
        <v/>
      </c>
      <c r="I996" s="65" t="s">
        <v>4</v>
      </c>
      <c r="J996" s="65" t="s">
        <v>4</v>
      </c>
      <c r="K996" s="65" t="s">
        <v>4</v>
      </c>
      <c r="L996" s="67"/>
      <c r="M996" s="69" t="str">
        <f>IF(Main[[#This Row],[Tech Start Date]]&lt;1/1/1990,"",IF(Main[[#This Row],[Class]]="C",WORKDAY(Main[[#This Row],[Tech Start Date]],9),IF(Main[[#This Row],[Class]]="B", WORKDAY(Main[[#This Row],[Tech Start Date]],6),IF(Main[[#This Row],[Class]]="A",WORKDAY(Main[[#This Row],[Tech Start Date]],2),""))))</f>
        <v/>
      </c>
      <c r="N996" s="69" t="str">
        <f>IF(Main[[#This Row],[Tech Start Date]]&lt;1/1/1990,"",IF(Main[[#This Row],[Class]]="C",WORKDAY(Main[[#This Row],[Tech Start Date]],19),IF(Main[[#This Row],[Class]]="B", WORKDAY(Main[[#This Row],[Tech Start Date]],12),IF(Main[[#This Row],[Class]]="A",WORKDAY(Main[[#This Row],[Tech Start Date]],4),""))))</f>
        <v/>
      </c>
      <c r="O996" s="69" t="str">
        <f>IF(Main[[#This Row],[Tech Start Date]]&lt;1/1/1990,"",IF(Main[[#This Row],[Class]]="C",WORKDAY(Main[[#This Row],[Tech Start Date]],23),IF(Main[[#This Row],[Class]]="B", WORKDAY(Main[[#This Row],[Tech Start Date]],15),IF(Main[[#This Row],[Class]]="A",WORKDAY(Main[[#This Row],[Tech Start Date]],5),""))))</f>
        <v/>
      </c>
      <c r="P996" s="69" t="str">
        <f>IF(Main[[#This Row],[Tech Start Date]]&lt;1/1/1990,"",IF(Main[[#This Row],[Class]]="C",WORKDAY(Main[[#This Row],[Tech Start Date]],28),IF(Main[[#This Row],[Class]]="B", WORKDAY(Main[[#This Row],[Tech Start Date]],19),IF(Main[[#This Row],[Class]]="A",WORKDAY(Main[[#This Row],[Tech Start Date]],9),""))))</f>
        <v/>
      </c>
      <c r="Q996" s="67"/>
      <c r="R996" s="67"/>
      <c r="S996" s="65" t="s">
        <v>11</v>
      </c>
      <c r="T996" s="70" t="s">
        <v>4</v>
      </c>
      <c r="U996" s="65" t="s">
        <v>14</v>
      </c>
      <c r="V996" s="65" t="s">
        <v>1918</v>
      </c>
      <c r="W996" s="65" t="s">
        <v>1922</v>
      </c>
      <c r="X996" s="65" t="s">
        <v>2895</v>
      </c>
      <c r="Y996" s="65" t="s">
        <v>4</v>
      </c>
      <c r="Z996" s="65" t="s">
        <v>4</v>
      </c>
      <c r="AA996" s="65" t="s">
        <v>3458</v>
      </c>
    </row>
    <row r="997" spans="1:27" ht="17.45" customHeight="1">
      <c r="A997" s="131" t="str">
        <f>IF(priority(Main[[#This Row],[Comments]])&lt;&gt;0, priority(Main[[#This Row],[Comments]]),"")</f>
        <v/>
      </c>
      <c r="B997" s="99" t="s">
        <v>2129</v>
      </c>
      <c r="C997" s="65" t="s">
        <v>4</v>
      </c>
      <c r="D997" s="66" t="s">
        <v>2130</v>
      </c>
      <c r="E997" s="67">
        <v>40760.662685185183</v>
      </c>
      <c r="F997" s="67"/>
      <c r="G997" s="64" t="str">
        <f>IF(stdProdLT(Main[[#This Row],[Comments]])=0.1,"N/A",IF(stdProdLT(Main[[#This Row],[Comments]])=0,"",stdProdLT(Main[[#This Row],[Comments]])))</f>
        <v/>
      </c>
      <c r="H997" s="68" t="str">
        <f>IF(AND(Main[[#This Row],[In Stock Date]]&lt;&gt;"",Main[[#This Row],[Revised Due Date]]&lt;&gt;""),Main[[#This Row],[In Stock Date]]-Main[[#This Row],[Revised Due Date]],"")</f>
        <v/>
      </c>
      <c r="I997" s="65" t="s">
        <v>4</v>
      </c>
      <c r="J997" s="65" t="s">
        <v>4</v>
      </c>
      <c r="K997" s="65" t="s">
        <v>4</v>
      </c>
      <c r="L997" s="67"/>
      <c r="M997" s="69" t="str">
        <f>IF(Main[[#This Row],[Tech Start Date]]&lt;1/1/1990,"",IF(Main[[#This Row],[Class]]="C",WORKDAY(Main[[#This Row],[Tech Start Date]],9),IF(Main[[#This Row],[Class]]="B", WORKDAY(Main[[#This Row],[Tech Start Date]],6),IF(Main[[#This Row],[Class]]="A",WORKDAY(Main[[#This Row],[Tech Start Date]],2),""))))</f>
        <v/>
      </c>
      <c r="N997" s="69" t="str">
        <f>IF(Main[[#This Row],[Tech Start Date]]&lt;1/1/1990,"",IF(Main[[#This Row],[Class]]="C",WORKDAY(Main[[#This Row],[Tech Start Date]],19),IF(Main[[#This Row],[Class]]="B", WORKDAY(Main[[#This Row],[Tech Start Date]],12),IF(Main[[#This Row],[Class]]="A",WORKDAY(Main[[#This Row],[Tech Start Date]],4),""))))</f>
        <v/>
      </c>
      <c r="O997" s="69" t="str">
        <f>IF(Main[[#This Row],[Tech Start Date]]&lt;1/1/1990,"",IF(Main[[#This Row],[Class]]="C",WORKDAY(Main[[#This Row],[Tech Start Date]],23),IF(Main[[#This Row],[Class]]="B", WORKDAY(Main[[#This Row],[Tech Start Date]],15),IF(Main[[#This Row],[Class]]="A",WORKDAY(Main[[#This Row],[Tech Start Date]],5),""))))</f>
        <v/>
      </c>
      <c r="P997" s="69" t="str">
        <f>IF(Main[[#This Row],[Tech Start Date]]&lt;1/1/1990,"",IF(Main[[#This Row],[Class]]="C",WORKDAY(Main[[#This Row],[Tech Start Date]],28),IF(Main[[#This Row],[Class]]="B", WORKDAY(Main[[#This Row],[Tech Start Date]],19),IF(Main[[#This Row],[Class]]="A",WORKDAY(Main[[#This Row],[Tech Start Date]],9),""))))</f>
        <v/>
      </c>
      <c r="Q997" s="67"/>
      <c r="R997" s="67"/>
      <c r="S997" s="65" t="s">
        <v>6</v>
      </c>
      <c r="T997" s="70" t="s">
        <v>4</v>
      </c>
      <c r="U997" s="65" t="s">
        <v>7</v>
      </c>
      <c r="V997" s="65" t="s">
        <v>1917</v>
      </c>
      <c r="W997" s="65" t="s">
        <v>4</v>
      </c>
      <c r="X997" s="65" t="s">
        <v>306</v>
      </c>
      <c r="Y997" s="65" t="s">
        <v>4</v>
      </c>
      <c r="Z997" s="65" t="s">
        <v>4</v>
      </c>
      <c r="AA997" s="65" t="s">
        <v>3402</v>
      </c>
    </row>
    <row r="998" spans="1:27" ht="17.45" customHeight="1">
      <c r="A998" s="131" t="str">
        <f>IF(priority(Main[[#This Row],[Comments]])&lt;&gt;0, priority(Main[[#This Row],[Comments]]),"")</f>
        <v/>
      </c>
      <c r="B998" s="99" t="s">
        <v>1801</v>
      </c>
      <c r="C998" s="65" t="s">
        <v>4</v>
      </c>
      <c r="D998" s="66" t="s">
        <v>844</v>
      </c>
      <c r="E998" s="67"/>
      <c r="F998" s="67"/>
      <c r="G998" s="64" t="str">
        <f>IF(stdProdLT(Main[[#This Row],[Comments]])=0.1,"N/A",IF(stdProdLT(Main[[#This Row],[Comments]])=0,"",stdProdLT(Main[[#This Row],[Comments]])))</f>
        <v/>
      </c>
      <c r="H998" s="68" t="str">
        <f>IF(AND(Main[[#This Row],[In Stock Date]]&lt;&gt;"",Main[[#This Row],[Revised Due Date]]&lt;&gt;""),Main[[#This Row],[In Stock Date]]-Main[[#This Row],[Revised Due Date]],"")</f>
        <v/>
      </c>
      <c r="I998" s="65" t="s">
        <v>50</v>
      </c>
      <c r="J998" s="65" t="s">
        <v>28</v>
      </c>
      <c r="K998" s="65" t="s">
        <v>1926</v>
      </c>
      <c r="L998" s="67"/>
      <c r="M998" s="69" t="str">
        <f>IF(Main[[#This Row],[Tech Start Date]]&lt;1/1/1990,"",IF(Main[[#This Row],[Class]]="C",WORKDAY(Main[[#This Row],[Tech Start Date]],9),IF(Main[[#This Row],[Class]]="B", WORKDAY(Main[[#This Row],[Tech Start Date]],6),IF(Main[[#This Row],[Class]]="A",WORKDAY(Main[[#This Row],[Tech Start Date]],2),""))))</f>
        <v/>
      </c>
      <c r="N998" s="69" t="str">
        <f>IF(Main[[#This Row],[Tech Start Date]]&lt;1/1/1990,"",IF(Main[[#This Row],[Class]]="C",WORKDAY(Main[[#This Row],[Tech Start Date]],19),IF(Main[[#This Row],[Class]]="B", WORKDAY(Main[[#This Row],[Tech Start Date]],12),IF(Main[[#This Row],[Class]]="A",WORKDAY(Main[[#This Row],[Tech Start Date]],4),""))))</f>
        <v/>
      </c>
      <c r="O998" s="69" t="str">
        <f>IF(Main[[#This Row],[Tech Start Date]]&lt;1/1/1990,"",IF(Main[[#This Row],[Class]]="C",WORKDAY(Main[[#This Row],[Tech Start Date]],23),IF(Main[[#This Row],[Class]]="B", WORKDAY(Main[[#This Row],[Tech Start Date]],15),IF(Main[[#This Row],[Class]]="A",WORKDAY(Main[[#This Row],[Tech Start Date]],5),""))))</f>
        <v/>
      </c>
      <c r="P998" s="69" t="str">
        <f>IF(Main[[#This Row],[Tech Start Date]]&lt;1/1/1990,"",IF(Main[[#This Row],[Class]]="C",WORKDAY(Main[[#This Row],[Tech Start Date]],28),IF(Main[[#This Row],[Class]]="B", WORKDAY(Main[[#This Row],[Tech Start Date]],19),IF(Main[[#This Row],[Class]]="A",WORKDAY(Main[[#This Row],[Tech Start Date]],9),""))))</f>
        <v/>
      </c>
      <c r="Q998" s="67"/>
      <c r="R998" s="67"/>
      <c r="S998" s="65" t="s">
        <v>6</v>
      </c>
      <c r="T998" s="70" t="s">
        <v>4</v>
      </c>
      <c r="U998" s="65" t="s">
        <v>14</v>
      </c>
      <c r="V998" s="65" t="s">
        <v>1920</v>
      </c>
      <c r="W998" s="65" t="s">
        <v>1921</v>
      </c>
      <c r="X998" s="65" t="s">
        <v>2872</v>
      </c>
      <c r="Y998" s="65" t="s">
        <v>3006</v>
      </c>
      <c r="Z998" s="65" t="s">
        <v>44</v>
      </c>
      <c r="AA998" s="65" t="s">
        <v>2872</v>
      </c>
    </row>
    <row r="999" spans="1:27" ht="17.45" customHeight="1">
      <c r="A999" s="131" t="str">
        <f>IF(priority(Main[[#This Row],[Comments]])&lt;&gt;0, priority(Main[[#This Row],[Comments]]),"")</f>
        <v/>
      </c>
      <c r="B999" s="99" t="s">
        <v>1802</v>
      </c>
      <c r="C999" s="65" t="s">
        <v>493</v>
      </c>
      <c r="D999" s="66" t="s">
        <v>845</v>
      </c>
      <c r="E999" s="67"/>
      <c r="F999" s="67"/>
      <c r="G999" s="64" t="str">
        <f>IF(stdProdLT(Main[[#This Row],[Comments]])=0.1,"N/A",IF(stdProdLT(Main[[#This Row],[Comments]])=0,"",stdProdLT(Main[[#This Row],[Comments]])))</f>
        <v/>
      </c>
      <c r="H999" s="68" t="str">
        <f>IF(AND(Main[[#This Row],[In Stock Date]]&lt;&gt;"",Main[[#This Row],[Revised Due Date]]&lt;&gt;""),Main[[#This Row],[In Stock Date]]-Main[[#This Row],[Revised Due Date]],"")</f>
        <v/>
      </c>
      <c r="I999" s="65" t="s">
        <v>4</v>
      </c>
      <c r="J999" s="65" t="s">
        <v>4</v>
      </c>
      <c r="K999" s="65" t="s">
        <v>4</v>
      </c>
      <c r="L999" s="67"/>
      <c r="M999" s="69" t="str">
        <f>IF(Main[[#This Row],[Tech Start Date]]&lt;1/1/1990,"",IF(Main[[#This Row],[Class]]="C",WORKDAY(Main[[#This Row],[Tech Start Date]],9),IF(Main[[#This Row],[Class]]="B", WORKDAY(Main[[#This Row],[Tech Start Date]],6),IF(Main[[#This Row],[Class]]="A",WORKDAY(Main[[#This Row],[Tech Start Date]],2),""))))</f>
        <v/>
      </c>
      <c r="N999" s="69" t="str">
        <f>IF(Main[[#This Row],[Tech Start Date]]&lt;1/1/1990,"",IF(Main[[#This Row],[Class]]="C",WORKDAY(Main[[#This Row],[Tech Start Date]],19),IF(Main[[#This Row],[Class]]="B", WORKDAY(Main[[#This Row],[Tech Start Date]],12),IF(Main[[#This Row],[Class]]="A",WORKDAY(Main[[#This Row],[Tech Start Date]],4),""))))</f>
        <v/>
      </c>
      <c r="O999" s="69" t="str">
        <f>IF(Main[[#This Row],[Tech Start Date]]&lt;1/1/1990,"",IF(Main[[#This Row],[Class]]="C",WORKDAY(Main[[#This Row],[Tech Start Date]],23),IF(Main[[#This Row],[Class]]="B", WORKDAY(Main[[#This Row],[Tech Start Date]],15),IF(Main[[#This Row],[Class]]="A",WORKDAY(Main[[#This Row],[Tech Start Date]],5),""))))</f>
        <v/>
      </c>
      <c r="P999" s="69" t="str">
        <f>IF(Main[[#This Row],[Tech Start Date]]&lt;1/1/1990,"",IF(Main[[#This Row],[Class]]="C",WORKDAY(Main[[#This Row],[Tech Start Date]],28),IF(Main[[#This Row],[Class]]="B", WORKDAY(Main[[#This Row],[Tech Start Date]],19),IF(Main[[#This Row],[Class]]="A",WORKDAY(Main[[#This Row],[Tech Start Date]],9),""))))</f>
        <v/>
      </c>
      <c r="Q999" s="67">
        <v>40239</v>
      </c>
      <c r="R999" s="67"/>
      <c r="S999" s="65" t="s">
        <v>11</v>
      </c>
      <c r="T999" s="70" t="s">
        <v>4</v>
      </c>
      <c r="U999" s="65" t="s">
        <v>14</v>
      </c>
      <c r="V999" s="65" t="s">
        <v>1920</v>
      </c>
      <c r="W999" s="65" t="s">
        <v>1919</v>
      </c>
      <c r="X999" s="65" t="s">
        <v>2902</v>
      </c>
      <c r="Y999" s="65" t="s">
        <v>4</v>
      </c>
      <c r="Z999" s="65" t="s">
        <v>4</v>
      </c>
      <c r="AA999" s="65" t="s">
        <v>2902</v>
      </c>
    </row>
    <row r="1000" spans="1:27" ht="17.45" customHeight="1">
      <c r="A1000" s="131" t="str">
        <f>IF(priority(Main[[#This Row],[Comments]])&lt;&gt;0, priority(Main[[#This Row],[Comments]]),"")</f>
        <v/>
      </c>
      <c r="B1000" s="99" t="s">
        <v>2558</v>
      </c>
      <c r="C1000" s="65" t="s">
        <v>4</v>
      </c>
      <c r="D1000" s="66" t="s">
        <v>2559</v>
      </c>
      <c r="E1000" s="67">
        <v>40861.17015046296</v>
      </c>
      <c r="F1000" s="67"/>
      <c r="G1000" s="64" t="str">
        <f>IF(stdProdLT(Main[[#This Row],[Comments]])=0.1,"N/A",IF(stdProdLT(Main[[#This Row],[Comments]])=0,"",stdProdLT(Main[[#This Row],[Comments]])))</f>
        <v/>
      </c>
      <c r="H1000" s="68" t="str">
        <f>IF(AND(Main[[#This Row],[In Stock Date]]&lt;&gt;"",Main[[#This Row],[Revised Due Date]]&lt;&gt;""),Main[[#This Row],[In Stock Date]]-Main[[#This Row],[Revised Due Date]],"")</f>
        <v/>
      </c>
      <c r="I1000" s="65" t="s">
        <v>69</v>
      </c>
      <c r="J1000" s="65" t="s">
        <v>70</v>
      </c>
      <c r="K1000" s="65" t="s">
        <v>1926</v>
      </c>
      <c r="L1000" s="67"/>
      <c r="M1000" s="69" t="str">
        <f>IF(Main[[#This Row],[Tech Start Date]]&lt;1/1/1990,"",IF(Main[[#This Row],[Class]]="C",WORKDAY(Main[[#This Row],[Tech Start Date]],9),IF(Main[[#This Row],[Class]]="B", WORKDAY(Main[[#This Row],[Tech Start Date]],6),IF(Main[[#This Row],[Class]]="A",WORKDAY(Main[[#This Row],[Tech Start Date]],2),""))))</f>
        <v/>
      </c>
      <c r="N1000" s="69" t="str">
        <f>IF(Main[[#This Row],[Tech Start Date]]&lt;1/1/1990,"",IF(Main[[#This Row],[Class]]="C",WORKDAY(Main[[#This Row],[Tech Start Date]],19),IF(Main[[#This Row],[Class]]="B", WORKDAY(Main[[#This Row],[Tech Start Date]],12),IF(Main[[#This Row],[Class]]="A",WORKDAY(Main[[#This Row],[Tech Start Date]],4),""))))</f>
        <v/>
      </c>
      <c r="O1000" s="69" t="str">
        <f>IF(Main[[#This Row],[Tech Start Date]]&lt;1/1/1990,"",IF(Main[[#This Row],[Class]]="C",WORKDAY(Main[[#This Row],[Tech Start Date]],23),IF(Main[[#This Row],[Class]]="B", WORKDAY(Main[[#This Row],[Tech Start Date]],15),IF(Main[[#This Row],[Class]]="A",WORKDAY(Main[[#This Row],[Tech Start Date]],5),""))))</f>
        <v/>
      </c>
      <c r="P1000" s="69" t="str">
        <f>IF(Main[[#This Row],[Tech Start Date]]&lt;1/1/1990,"",IF(Main[[#This Row],[Class]]="C",WORKDAY(Main[[#This Row],[Tech Start Date]],28),IF(Main[[#This Row],[Class]]="B", WORKDAY(Main[[#This Row],[Tech Start Date]],19),IF(Main[[#This Row],[Class]]="A",WORKDAY(Main[[#This Row],[Tech Start Date]],9),""))))</f>
        <v/>
      </c>
      <c r="Q1000" s="67">
        <v>40891</v>
      </c>
      <c r="R1000" s="67"/>
      <c r="S1000" s="65" t="s">
        <v>6</v>
      </c>
      <c r="T1000" s="70" t="s">
        <v>4</v>
      </c>
      <c r="U1000" s="65" t="s">
        <v>29</v>
      </c>
      <c r="V1000" s="65" t="s">
        <v>1920</v>
      </c>
      <c r="W1000" s="65" t="s">
        <v>1921</v>
      </c>
      <c r="X1000" s="65" t="s">
        <v>2828</v>
      </c>
      <c r="Y1000" s="65" t="s">
        <v>2944</v>
      </c>
      <c r="Z1000" s="65" t="s">
        <v>30</v>
      </c>
      <c r="AA1000" s="65" t="s">
        <v>2828</v>
      </c>
    </row>
    <row r="1001" spans="1:27" ht="17.45" customHeight="1">
      <c r="A1001" s="131" t="str">
        <f>IF(priority(Main[[#This Row],[Comments]])&lt;&gt;0, priority(Main[[#This Row],[Comments]]),"")</f>
        <v/>
      </c>
      <c r="B1001" s="99" t="s">
        <v>1803</v>
      </c>
      <c r="C1001" s="65" t="s">
        <v>4</v>
      </c>
      <c r="D1001" s="66" t="s">
        <v>846</v>
      </c>
      <c r="E1001" s="67"/>
      <c r="F1001" s="67"/>
      <c r="G1001" s="64" t="str">
        <f>IF(stdProdLT(Main[[#This Row],[Comments]])=0.1,"N/A",IF(stdProdLT(Main[[#This Row],[Comments]])=0,"",stdProdLT(Main[[#This Row],[Comments]])))</f>
        <v/>
      </c>
      <c r="H1001" s="68" t="str">
        <f>IF(AND(Main[[#This Row],[In Stock Date]]&lt;&gt;"",Main[[#This Row],[Revised Due Date]]&lt;&gt;""),Main[[#This Row],[In Stock Date]]-Main[[#This Row],[Revised Due Date]],"")</f>
        <v/>
      </c>
      <c r="I1001" s="65" t="s">
        <v>4</v>
      </c>
      <c r="J1001" s="65" t="s">
        <v>4</v>
      </c>
      <c r="K1001" s="65" t="s">
        <v>4</v>
      </c>
      <c r="L1001" s="67"/>
      <c r="M1001" s="69" t="str">
        <f>IF(Main[[#This Row],[Tech Start Date]]&lt;1/1/1990,"",IF(Main[[#This Row],[Class]]="C",WORKDAY(Main[[#This Row],[Tech Start Date]],9),IF(Main[[#This Row],[Class]]="B", WORKDAY(Main[[#This Row],[Tech Start Date]],6),IF(Main[[#This Row],[Class]]="A",WORKDAY(Main[[#This Row],[Tech Start Date]],2),""))))</f>
        <v/>
      </c>
      <c r="N1001" s="69" t="str">
        <f>IF(Main[[#This Row],[Tech Start Date]]&lt;1/1/1990,"",IF(Main[[#This Row],[Class]]="C",WORKDAY(Main[[#This Row],[Tech Start Date]],19),IF(Main[[#This Row],[Class]]="B", WORKDAY(Main[[#This Row],[Tech Start Date]],12),IF(Main[[#This Row],[Class]]="A",WORKDAY(Main[[#This Row],[Tech Start Date]],4),""))))</f>
        <v/>
      </c>
      <c r="O1001" s="69" t="str">
        <f>IF(Main[[#This Row],[Tech Start Date]]&lt;1/1/1990,"",IF(Main[[#This Row],[Class]]="C",WORKDAY(Main[[#This Row],[Tech Start Date]],23),IF(Main[[#This Row],[Class]]="B", WORKDAY(Main[[#This Row],[Tech Start Date]],15),IF(Main[[#This Row],[Class]]="A",WORKDAY(Main[[#This Row],[Tech Start Date]],5),""))))</f>
        <v/>
      </c>
      <c r="P1001" s="69" t="str">
        <f>IF(Main[[#This Row],[Tech Start Date]]&lt;1/1/1990,"",IF(Main[[#This Row],[Class]]="C",WORKDAY(Main[[#This Row],[Tech Start Date]],28),IF(Main[[#This Row],[Class]]="B", WORKDAY(Main[[#This Row],[Tech Start Date]],19),IF(Main[[#This Row],[Class]]="A",WORKDAY(Main[[#This Row],[Tech Start Date]],9),""))))</f>
        <v/>
      </c>
      <c r="Q1001" s="67">
        <v>40349</v>
      </c>
      <c r="R1001" s="67"/>
      <c r="S1001" s="65" t="s">
        <v>6</v>
      </c>
      <c r="T1001" s="70" t="s">
        <v>4</v>
      </c>
      <c r="U1001" s="65" t="s">
        <v>14</v>
      </c>
      <c r="V1001" s="65" t="s">
        <v>1920</v>
      </c>
      <c r="W1001" s="65" t="s">
        <v>4</v>
      </c>
      <c r="X1001" s="65" t="s">
        <v>2825</v>
      </c>
      <c r="Y1001" s="65" t="s">
        <v>2938</v>
      </c>
      <c r="Z1001" s="65" t="s">
        <v>4</v>
      </c>
      <c r="AA1001" s="65" t="s">
        <v>2825</v>
      </c>
    </row>
    <row r="1002" spans="1:27" ht="17.45" customHeight="1">
      <c r="A1002" s="131" t="str">
        <f>IF(priority(Main[[#This Row],[Comments]])&lt;&gt;0, priority(Main[[#This Row],[Comments]]),"")</f>
        <v/>
      </c>
      <c r="B1002" s="99" t="s">
        <v>2200</v>
      </c>
      <c r="C1002" s="65" t="s">
        <v>4</v>
      </c>
      <c r="D1002" s="66" t="s">
        <v>2201</v>
      </c>
      <c r="E1002" s="67"/>
      <c r="F1002" s="67"/>
      <c r="G1002" s="64" t="str">
        <f>IF(stdProdLT(Main[[#This Row],[Comments]])=0.1,"N/A",IF(stdProdLT(Main[[#This Row],[Comments]])=0,"",stdProdLT(Main[[#This Row],[Comments]])))</f>
        <v/>
      </c>
      <c r="H1002" s="68" t="str">
        <f>IF(AND(Main[[#This Row],[In Stock Date]]&lt;&gt;"",Main[[#This Row],[Revised Due Date]]&lt;&gt;""),Main[[#This Row],[In Stock Date]]-Main[[#This Row],[Revised Due Date]],"")</f>
        <v/>
      </c>
      <c r="I1002" s="65" t="s">
        <v>4</v>
      </c>
      <c r="J1002" s="65" t="s">
        <v>4</v>
      </c>
      <c r="K1002" s="71" t="s">
        <v>4</v>
      </c>
      <c r="L1002" s="67"/>
      <c r="M1002" s="69" t="str">
        <f>IF(Main[[#This Row],[Tech Start Date]]&lt;1/1/1990,"",IF(Main[[#This Row],[Class]]="C",WORKDAY(Main[[#This Row],[Tech Start Date]],9),IF(Main[[#This Row],[Class]]="B", WORKDAY(Main[[#This Row],[Tech Start Date]],6),IF(Main[[#This Row],[Class]]="A",WORKDAY(Main[[#This Row],[Tech Start Date]],2),""))))</f>
        <v/>
      </c>
      <c r="N1002" s="69" t="str">
        <f>IF(Main[[#This Row],[Tech Start Date]]&lt;1/1/1990,"",IF(Main[[#This Row],[Class]]="C",WORKDAY(Main[[#This Row],[Tech Start Date]],19),IF(Main[[#This Row],[Class]]="B", WORKDAY(Main[[#This Row],[Tech Start Date]],12),IF(Main[[#This Row],[Class]]="A",WORKDAY(Main[[#This Row],[Tech Start Date]],4),""))))</f>
        <v/>
      </c>
      <c r="O1002" s="69" t="str">
        <f>IF(Main[[#This Row],[Tech Start Date]]&lt;1/1/1990,"",IF(Main[[#This Row],[Class]]="C",WORKDAY(Main[[#This Row],[Tech Start Date]],23),IF(Main[[#This Row],[Class]]="B", WORKDAY(Main[[#This Row],[Tech Start Date]],15),IF(Main[[#This Row],[Class]]="A",WORKDAY(Main[[#This Row],[Tech Start Date]],5),""))))</f>
        <v/>
      </c>
      <c r="P1002" s="69" t="str">
        <f>IF(Main[[#This Row],[Tech Start Date]]&lt;1/1/1990,"",IF(Main[[#This Row],[Class]]="C",WORKDAY(Main[[#This Row],[Tech Start Date]],28),IF(Main[[#This Row],[Class]]="B", WORKDAY(Main[[#This Row],[Tech Start Date]],19),IF(Main[[#This Row],[Class]]="A",WORKDAY(Main[[#This Row],[Tech Start Date]],9),""))))</f>
        <v/>
      </c>
      <c r="Q1002" s="67"/>
      <c r="R1002" s="67"/>
      <c r="S1002" s="65" t="s">
        <v>6</v>
      </c>
      <c r="T1002" s="70" t="s">
        <v>4</v>
      </c>
      <c r="U1002" s="65" t="s">
        <v>14</v>
      </c>
      <c r="V1002" s="65" t="s">
        <v>1918</v>
      </c>
      <c r="W1002" s="65" t="s">
        <v>4</v>
      </c>
      <c r="X1002" s="65" t="s">
        <v>306</v>
      </c>
      <c r="Y1002" s="65" t="s">
        <v>4</v>
      </c>
      <c r="Z1002" s="65" t="s">
        <v>4</v>
      </c>
      <c r="AA1002" s="65" t="s">
        <v>4</v>
      </c>
    </row>
    <row r="1003" spans="1:27" ht="17.45" customHeight="1">
      <c r="A1003" s="131" t="str">
        <f>IF(priority(Main[[#This Row],[Comments]])&lt;&gt;0, priority(Main[[#This Row],[Comments]]),"")</f>
        <v/>
      </c>
      <c r="B1003" s="99" t="s">
        <v>1805</v>
      </c>
      <c r="C1003" s="65" t="s">
        <v>47</v>
      </c>
      <c r="D1003" s="66" t="s">
        <v>851</v>
      </c>
      <c r="E1003" s="67"/>
      <c r="F1003" s="67"/>
      <c r="G1003" s="64" t="str">
        <f>IF(stdProdLT(Main[[#This Row],[Comments]])=0.1,"N/A",IF(stdProdLT(Main[[#This Row],[Comments]])=0,"",stdProdLT(Main[[#This Row],[Comments]])))</f>
        <v/>
      </c>
      <c r="H1003" s="68" t="str">
        <f>IF(AND(Main[[#This Row],[In Stock Date]]&lt;&gt;"",Main[[#This Row],[Revised Due Date]]&lt;&gt;""),Main[[#This Row],[In Stock Date]]-Main[[#This Row],[Revised Due Date]],"")</f>
        <v/>
      </c>
      <c r="I1003" s="65" t="s">
        <v>4</v>
      </c>
      <c r="J1003" s="65" t="s">
        <v>4</v>
      </c>
      <c r="K1003" s="65" t="s">
        <v>4</v>
      </c>
      <c r="L1003" s="67"/>
      <c r="M1003" s="69" t="str">
        <f>IF(Main[[#This Row],[Tech Start Date]]&lt;1/1/1990,"",IF(Main[[#This Row],[Class]]="C",WORKDAY(Main[[#This Row],[Tech Start Date]],9),IF(Main[[#This Row],[Class]]="B", WORKDAY(Main[[#This Row],[Tech Start Date]],6),IF(Main[[#This Row],[Class]]="A",WORKDAY(Main[[#This Row],[Tech Start Date]],2),""))))</f>
        <v/>
      </c>
      <c r="N1003" s="69" t="str">
        <f>IF(Main[[#This Row],[Tech Start Date]]&lt;1/1/1990,"",IF(Main[[#This Row],[Class]]="C",WORKDAY(Main[[#This Row],[Tech Start Date]],19),IF(Main[[#This Row],[Class]]="B", WORKDAY(Main[[#This Row],[Tech Start Date]],12),IF(Main[[#This Row],[Class]]="A",WORKDAY(Main[[#This Row],[Tech Start Date]],4),""))))</f>
        <v/>
      </c>
      <c r="O1003" s="69" t="str">
        <f>IF(Main[[#This Row],[Tech Start Date]]&lt;1/1/1990,"",IF(Main[[#This Row],[Class]]="C",WORKDAY(Main[[#This Row],[Tech Start Date]],23),IF(Main[[#This Row],[Class]]="B", WORKDAY(Main[[#This Row],[Tech Start Date]],15),IF(Main[[#This Row],[Class]]="A",WORKDAY(Main[[#This Row],[Tech Start Date]],5),""))))</f>
        <v/>
      </c>
      <c r="P1003" s="69" t="str">
        <f>IF(Main[[#This Row],[Tech Start Date]]&lt;1/1/1990,"",IF(Main[[#This Row],[Class]]="C",WORKDAY(Main[[#This Row],[Tech Start Date]],28),IF(Main[[#This Row],[Class]]="B", WORKDAY(Main[[#This Row],[Tech Start Date]],19),IF(Main[[#This Row],[Class]]="A",WORKDAY(Main[[#This Row],[Tech Start Date]],9),""))))</f>
        <v/>
      </c>
      <c r="Q1003" s="67"/>
      <c r="R1003" s="67"/>
      <c r="S1003" s="65" t="s">
        <v>17</v>
      </c>
      <c r="T1003" s="70" t="s">
        <v>4</v>
      </c>
      <c r="U1003" s="65" t="s">
        <v>14</v>
      </c>
      <c r="V1003" s="65" t="s">
        <v>1920</v>
      </c>
      <c r="W1003" s="65" t="s">
        <v>1922</v>
      </c>
      <c r="X1003" s="65" t="s">
        <v>2833</v>
      </c>
      <c r="Y1003" s="65" t="s">
        <v>3116</v>
      </c>
      <c r="Z1003" s="65" t="s">
        <v>4</v>
      </c>
      <c r="AA1003" s="65" t="s">
        <v>2833</v>
      </c>
    </row>
    <row r="1004" spans="1:27" ht="17.45" customHeight="1">
      <c r="A1004" s="131" t="str">
        <f>IF(priority(Main[[#This Row],[Comments]])&lt;&gt;0, priority(Main[[#This Row],[Comments]]),"")</f>
        <v/>
      </c>
      <c r="B1004" s="99" t="s">
        <v>1730</v>
      </c>
      <c r="C1004" s="65" t="s">
        <v>4</v>
      </c>
      <c r="D1004" s="66" t="s">
        <v>785</v>
      </c>
      <c r="E1004" s="67">
        <v>40584.407268518517</v>
      </c>
      <c r="F1004" s="67"/>
      <c r="G1004" s="64" t="str">
        <f>IF(stdProdLT(Main[[#This Row],[Comments]])=0.1,"N/A",IF(stdProdLT(Main[[#This Row],[Comments]])=0,"",stdProdLT(Main[[#This Row],[Comments]])))</f>
        <v/>
      </c>
      <c r="H1004" s="68" t="str">
        <f>IF(AND(Main[[#This Row],[In Stock Date]]&lt;&gt;"",Main[[#This Row],[Revised Due Date]]&lt;&gt;""),Main[[#This Row],[In Stock Date]]-Main[[#This Row],[Revised Due Date]],"")</f>
        <v/>
      </c>
      <c r="I1004" s="65" t="s">
        <v>4</v>
      </c>
      <c r="J1004" s="65" t="s">
        <v>4</v>
      </c>
      <c r="K1004" s="65" t="s">
        <v>4</v>
      </c>
      <c r="L1004" s="67"/>
      <c r="M1004" s="69" t="str">
        <f>IF(Main[[#This Row],[Tech Start Date]]&lt;1/1/1990,"",IF(Main[[#This Row],[Class]]="C",WORKDAY(Main[[#This Row],[Tech Start Date]],9),IF(Main[[#This Row],[Class]]="B", WORKDAY(Main[[#This Row],[Tech Start Date]],6),IF(Main[[#This Row],[Class]]="A",WORKDAY(Main[[#This Row],[Tech Start Date]],2),""))))</f>
        <v/>
      </c>
      <c r="N1004" s="69" t="str">
        <f>IF(Main[[#This Row],[Tech Start Date]]&lt;1/1/1990,"",IF(Main[[#This Row],[Class]]="C",WORKDAY(Main[[#This Row],[Tech Start Date]],19),IF(Main[[#This Row],[Class]]="B", WORKDAY(Main[[#This Row],[Tech Start Date]],12),IF(Main[[#This Row],[Class]]="A",WORKDAY(Main[[#This Row],[Tech Start Date]],4),""))))</f>
        <v/>
      </c>
      <c r="O1004" s="69" t="str">
        <f>IF(Main[[#This Row],[Tech Start Date]]&lt;1/1/1990,"",IF(Main[[#This Row],[Class]]="C",WORKDAY(Main[[#This Row],[Tech Start Date]],23),IF(Main[[#This Row],[Class]]="B", WORKDAY(Main[[#This Row],[Tech Start Date]],15),IF(Main[[#This Row],[Class]]="A",WORKDAY(Main[[#This Row],[Tech Start Date]],5),""))))</f>
        <v/>
      </c>
      <c r="P1004" s="69" t="str">
        <f>IF(Main[[#This Row],[Tech Start Date]]&lt;1/1/1990,"",IF(Main[[#This Row],[Class]]="C",WORKDAY(Main[[#This Row],[Tech Start Date]],28),IF(Main[[#This Row],[Class]]="B", WORKDAY(Main[[#This Row],[Tech Start Date]],19),IF(Main[[#This Row],[Class]]="A",WORKDAY(Main[[#This Row],[Tech Start Date]],9),""))))</f>
        <v/>
      </c>
      <c r="Q1004" s="67">
        <v>40602</v>
      </c>
      <c r="R1004" s="67"/>
      <c r="S1004" s="65" t="s">
        <v>17</v>
      </c>
      <c r="T1004" s="70" t="s">
        <v>4</v>
      </c>
      <c r="U1004" s="65" t="s">
        <v>7</v>
      </c>
      <c r="V1004" s="65" t="s">
        <v>1917</v>
      </c>
      <c r="W1004" s="65" t="s">
        <v>1925</v>
      </c>
      <c r="X1004" s="65" t="s">
        <v>2834</v>
      </c>
      <c r="Y1004" s="65" t="s">
        <v>2956</v>
      </c>
      <c r="Z1004" s="65" t="s">
        <v>4</v>
      </c>
      <c r="AA1004" s="65" t="s">
        <v>2834</v>
      </c>
    </row>
    <row r="1005" spans="1:27" ht="17.45" customHeight="1">
      <c r="A1005" s="131" t="str">
        <f>IF(priority(Main[[#This Row],[Comments]])&lt;&gt;0, priority(Main[[#This Row],[Comments]]),"")</f>
        <v/>
      </c>
      <c r="B1005" s="99" t="s">
        <v>1788</v>
      </c>
      <c r="C1005" s="65" t="s">
        <v>4</v>
      </c>
      <c r="D1005" s="66" t="s">
        <v>831</v>
      </c>
      <c r="E1005" s="67"/>
      <c r="F1005" s="67"/>
      <c r="G1005" s="64" t="str">
        <f>IF(stdProdLT(Main[[#This Row],[Comments]])=0.1,"N/A",IF(stdProdLT(Main[[#This Row],[Comments]])=0,"",stdProdLT(Main[[#This Row],[Comments]])))</f>
        <v/>
      </c>
      <c r="H1005" s="68" t="str">
        <f>IF(AND(Main[[#This Row],[In Stock Date]]&lt;&gt;"",Main[[#This Row],[Revised Due Date]]&lt;&gt;""),Main[[#This Row],[In Stock Date]]-Main[[#This Row],[Revised Due Date]],"")</f>
        <v/>
      </c>
      <c r="I1005" s="65" t="s">
        <v>4</v>
      </c>
      <c r="J1005" s="65" t="s">
        <v>4</v>
      </c>
      <c r="K1005" s="65" t="s">
        <v>4</v>
      </c>
      <c r="L1005" s="67"/>
      <c r="M1005" s="69" t="str">
        <f>IF(Main[[#This Row],[Tech Start Date]]&lt;1/1/1990,"",IF(Main[[#This Row],[Class]]="C",WORKDAY(Main[[#This Row],[Tech Start Date]],9),IF(Main[[#This Row],[Class]]="B", WORKDAY(Main[[#This Row],[Tech Start Date]],6),IF(Main[[#This Row],[Class]]="A",WORKDAY(Main[[#This Row],[Tech Start Date]],2),""))))</f>
        <v/>
      </c>
      <c r="N1005" s="69" t="str">
        <f>IF(Main[[#This Row],[Tech Start Date]]&lt;1/1/1990,"",IF(Main[[#This Row],[Class]]="C",WORKDAY(Main[[#This Row],[Tech Start Date]],19),IF(Main[[#This Row],[Class]]="B", WORKDAY(Main[[#This Row],[Tech Start Date]],12),IF(Main[[#This Row],[Class]]="A",WORKDAY(Main[[#This Row],[Tech Start Date]],4),""))))</f>
        <v/>
      </c>
      <c r="O1005" s="69" t="str">
        <f>IF(Main[[#This Row],[Tech Start Date]]&lt;1/1/1990,"",IF(Main[[#This Row],[Class]]="C",WORKDAY(Main[[#This Row],[Tech Start Date]],23),IF(Main[[#This Row],[Class]]="B", WORKDAY(Main[[#This Row],[Tech Start Date]],15),IF(Main[[#This Row],[Class]]="A",WORKDAY(Main[[#This Row],[Tech Start Date]],5),""))))</f>
        <v/>
      </c>
      <c r="P1005" s="69" t="str">
        <f>IF(Main[[#This Row],[Tech Start Date]]&lt;1/1/1990,"",IF(Main[[#This Row],[Class]]="C",WORKDAY(Main[[#This Row],[Tech Start Date]],28),IF(Main[[#This Row],[Class]]="B", WORKDAY(Main[[#This Row],[Tech Start Date]],19),IF(Main[[#This Row],[Class]]="A",WORKDAY(Main[[#This Row],[Tech Start Date]],9),""))))</f>
        <v/>
      </c>
      <c r="Q1005" s="67"/>
      <c r="R1005" s="67"/>
      <c r="S1005" s="65" t="s">
        <v>23</v>
      </c>
      <c r="T1005" s="70" t="s">
        <v>4</v>
      </c>
      <c r="U1005" s="65" t="s">
        <v>14</v>
      </c>
      <c r="V1005" s="65" t="s">
        <v>1917</v>
      </c>
      <c r="W1005" s="65" t="s">
        <v>1921</v>
      </c>
      <c r="X1005" s="65" t="s">
        <v>306</v>
      </c>
      <c r="Y1005" s="65" t="s">
        <v>4</v>
      </c>
      <c r="Z1005" s="65" t="s">
        <v>4</v>
      </c>
      <c r="AA1005" s="65" t="s">
        <v>3454</v>
      </c>
    </row>
    <row r="1006" spans="1:27" ht="17.45" customHeight="1">
      <c r="A1006" s="131" t="str">
        <f>IF(priority(Main[[#This Row],[Comments]])&lt;&gt;0, priority(Main[[#This Row],[Comments]]),"")</f>
        <v/>
      </c>
      <c r="B1006" s="99" t="s">
        <v>1807</v>
      </c>
      <c r="C1006" s="65" t="s">
        <v>95</v>
      </c>
      <c r="D1006" s="66" t="s">
        <v>853</v>
      </c>
      <c r="E1006" s="67">
        <v>40060.34884259259</v>
      </c>
      <c r="F1006" s="67">
        <v>40195</v>
      </c>
      <c r="G1006" s="64" t="str">
        <f>IF(stdProdLT(Main[[#This Row],[Comments]])=0.1,"N/A",IF(stdProdLT(Main[[#This Row],[Comments]])=0,"",stdProdLT(Main[[#This Row],[Comments]])))</f>
        <v/>
      </c>
      <c r="H1006" s="68">
        <f>IF(AND(Main[[#This Row],[In Stock Date]]&lt;&gt;"",Main[[#This Row],[Revised Due Date]]&lt;&gt;""),Main[[#This Row],[In Stock Date]]-Main[[#This Row],[Revised Due Date]],"")</f>
        <v>17</v>
      </c>
      <c r="I1006" s="65" t="s">
        <v>854</v>
      </c>
      <c r="J1006" s="65" t="s">
        <v>4</v>
      </c>
      <c r="K1006" s="65" t="s">
        <v>4</v>
      </c>
      <c r="L1006" s="67"/>
      <c r="M1006" s="69" t="str">
        <f>IF(Main[[#This Row],[Tech Start Date]]&lt;1/1/1990,"",IF(Main[[#This Row],[Class]]="C",WORKDAY(Main[[#This Row],[Tech Start Date]],9),IF(Main[[#This Row],[Class]]="B", WORKDAY(Main[[#This Row],[Tech Start Date]],6),IF(Main[[#This Row],[Class]]="A",WORKDAY(Main[[#This Row],[Tech Start Date]],2),""))))</f>
        <v/>
      </c>
      <c r="N1006" s="69" t="str">
        <f>IF(Main[[#This Row],[Tech Start Date]]&lt;1/1/1990,"",IF(Main[[#This Row],[Class]]="C",WORKDAY(Main[[#This Row],[Tech Start Date]],19),IF(Main[[#This Row],[Class]]="B", WORKDAY(Main[[#This Row],[Tech Start Date]],12),IF(Main[[#This Row],[Class]]="A",WORKDAY(Main[[#This Row],[Tech Start Date]],4),""))))</f>
        <v/>
      </c>
      <c r="O1006" s="69" t="str">
        <f>IF(Main[[#This Row],[Tech Start Date]]&lt;1/1/1990,"",IF(Main[[#This Row],[Class]]="C",WORKDAY(Main[[#This Row],[Tech Start Date]],23),IF(Main[[#This Row],[Class]]="B", WORKDAY(Main[[#This Row],[Tech Start Date]],15),IF(Main[[#This Row],[Class]]="A",WORKDAY(Main[[#This Row],[Tech Start Date]],5),""))))</f>
        <v/>
      </c>
      <c r="P1006" s="69" t="str">
        <f>IF(Main[[#This Row],[Tech Start Date]]&lt;1/1/1990,"",IF(Main[[#This Row],[Class]]="C",WORKDAY(Main[[#This Row],[Tech Start Date]],28),IF(Main[[#This Row],[Class]]="B", WORKDAY(Main[[#This Row],[Tech Start Date]],19),IF(Main[[#This Row],[Class]]="A",WORKDAY(Main[[#This Row],[Tech Start Date]],9),""))))</f>
        <v/>
      </c>
      <c r="Q1006" s="67">
        <v>40080</v>
      </c>
      <c r="R1006" s="67">
        <v>40178</v>
      </c>
      <c r="S1006" s="65" t="s">
        <v>17</v>
      </c>
      <c r="T1006" s="70" t="s">
        <v>4</v>
      </c>
      <c r="U1006" s="65" t="s">
        <v>29</v>
      </c>
      <c r="V1006" s="65" t="s">
        <v>1920</v>
      </c>
      <c r="W1006" s="65" t="s">
        <v>1925</v>
      </c>
      <c r="X1006" s="65" t="s">
        <v>2882</v>
      </c>
      <c r="Y1006" s="65" t="s">
        <v>4</v>
      </c>
      <c r="Z1006" s="65" t="s">
        <v>81</v>
      </c>
      <c r="AA1006" s="65" t="s">
        <v>3418</v>
      </c>
    </row>
    <row r="1007" spans="1:27" ht="17.45" customHeight="1">
      <c r="A1007" s="131" t="str">
        <f>IF(priority(Main[[#This Row],[Comments]])&lt;&gt;0, priority(Main[[#This Row],[Comments]]),"")</f>
        <v/>
      </c>
      <c r="B1007" s="99" t="s">
        <v>3183</v>
      </c>
      <c r="C1007" s="65" t="s">
        <v>4</v>
      </c>
      <c r="D1007" s="66" t="s">
        <v>3269</v>
      </c>
      <c r="E1007" s="67">
        <v>40919.388969907406</v>
      </c>
      <c r="F1007" s="67"/>
      <c r="G1007" s="64" t="str">
        <f>IF(stdProdLT(Main[[#This Row],[Comments]])=0.1,"N/A",IF(stdProdLT(Main[[#This Row],[Comments]])=0,"",stdProdLT(Main[[#This Row],[Comments]])))</f>
        <v/>
      </c>
      <c r="H1007" s="68" t="str">
        <f>IF(AND(Main[[#This Row],[In Stock Date]]&lt;&gt;"",Main[[#This Row],[Revised Due Date]]&lt;&gt;""),Main[[#This Row],[In Stock Date]]-Main[[#This Row],[Revised Due Date]],"")</f>
        <v/>
      </c>
      <c r="I1007" s="65" t="s">
        <v>30</v>
      </c>
      <c r="J1007" s="65" t="s">
        <v>28</v>
      </c>
      <c r="K1007" s="65" t="s">
        <v>1926</v>
      </c>
      <c r="L1007" s="67"/>
      <c r="M1007" s="69" t="str">
        <f>IF(Main[[#This Row],[Tech Start Date]]&lt;1/1/1990,"",IF(Main[[#This Row],[Class]]="C",WORKDAY(Main[[#This Row],[Tech Start Date]],9),IF(Main[[#This Row],[Class]]="B", WORKDAY(Main[[#This Row],[Tech Start Date]],6),IF(Main[[#This Row],[Class]]="A",WORKDAY(Main[[#This Row],[Tech Start Date]],2),""))))</f>
        <v/>
      </c>
      <c r="N1007" s="69" t="str">
        <f>IF(Main[[#This Row],[Tech Start Date]]&lt;1/1/1990,"",IF(Main[[#This Row],[Class]]="C",WORKDAY(Main[[#This Row],[Tech Start Date]],19),IF(Main[[#This Row],[Class]]="B", WORKDAY(Main[[#This Row],[Tech Start Date]],12),IF(Main[[#This Row],[Class]]="A",WORKDAY(Main[[#This Row],[Tech Start Date]],4),""))))</f>
        <v/>
      </c>
      <c r="O1007" s="69" t="str">
        <f>IF(Main[[#This Row],[Tech Start Date]]&lt;1/1/1990,"",IF(Main[[#This Row],[Class]]="C",WORKDAY(Main[[#This Row],[Tech Start Date]],23),IF(Main[[#This Row],[Class]]="B", WORKDAY(Main[[#This Row],[Tech Start Date]],15),IF(Main[[#This Row],[Class]]="A",WORKDAY(Main[[#This Row],[Tech Start Date]],5),""))))</f>
        <v/>
      </c>
      <c r="P1007" s="69" t="str">
        <f>IF(Main[[#This Row],[Tech Start Date]]&lt;1/1/1990,"",IF(Main[[#This Row],[Class]]="C",WORKDAY(Main[[#This Row],[Tech Start Date]],28),IF(Main[[#This Row],[Class]]="B", WORKDAY(Main[[#This Row],[Tech Start Date]],19),IF(Main[[#This Row],[Class]]="A",WORKDAY(Main[[#This Row],[Tech Start Date]],9),""))))</f>
        <v/>
      </c>
      <c r="Q1007" s="67">
        <v>40928</v>
      </c>
      <c r="R1007" s="67"/>
      <c r="S1007" s="65" t="s">
        <v>6</v>
      </c>
      <c r="T1007" s="70" t="s">
        <v>4</v>
      </c>
      <c r="U1007" s="65" t="s">
        <v>29</v>
      </c>
      <c r="V1007" s="65" t="s">
        <v>1920</v>
      </c>
      <c r="W1007" s="65" t="s">
        <v>1921</v>
      </c>
      <c r="X1007" s="65" t="s">
        <v>2909</v>
      </c>
      <c r="Y1007" s="65" t="s">
        <v>3089</v>
      </c>
      <c r="Z1007" s="65" t="s">
        <v>30</v>
      </c>
      <c r="AA1007" s="65" t="s">
        <v>2909</v>
      </c>
    </row>
    <row r="1008" spans="1:27" ht="17.45" customHeight="1">
      <c r="A1008" s="131" t="str">
        <f>IF(priority(Main[[#This Row],[Comments]])&lt;&gt;0, priority(Main[[#This Row],[Comments]]),"")</f>
        <v/>
      </c>
      <c r="B1008" s="99" t="s">
        <v>2131</v>
      </c>
      <c r="C1008" s="65" t="s">
        <v>953</v>
      </c>
      <c r="D1008" s="66" t="s">
        <v>2132</v>
      </c>
      <c r="E1008" s="67"/>
      <c r="F1008" s="67">
        <v>40871</v>
      </c>
      <c r="G1008" s="64" t="str">
        <f>IF(stdProdLT(Main[[#This Row],[Comments]])=0.1,"N/A",IF(stdProdLT(Main[[#This Row],[Comments]])=0,"",stdProdLT(Main[[#This Row],[Comments]])))</f>
        <v/>
      </c>
      <c r="H1008" s="68" t="str">
        <f>IF(AND(Main[[#This Row],[In Stock Date]]&lt;&gt;"",Main[[#This Row],[Revised Due Date]]&lt;&gt;""),Main[[#This Row],[In Stock Date]]-Main[[#This Row],[Revised Due Date]],"")</f>
        <v/>
      </c>
      <c r="I1008" s="65" t="s">
        <v>399</v>
      </c>
      <c r="J1008" s="65" t="s">
        <v>51</v>
      </c>
      <c r="K1008" s="71" t="s">
        <v>1926</v>
      </c>
      <c r="L1008" s="67"/>
      <c r="M1008" s="69" t="str">
        <f>IF(Main[[#This Row],[Tech Start Date]]&lt;1/1/1990,"",IF(Main[[#This Row],[Class]]="C",WORKDAY(Main[[#This Row],[Tech Start Date]],9),IF(Main[[#This Row],[Class]]="B", WORKDAY(Main[[#This Row],[Tech Start Date]],6),IF(Main[[#This Row],[Class]]="A",WORKDAY(Main[[#This Row],[Tech Start Date]],2),""))))</f>
        <v/>
      </c>
      <c r="N1008" s="69" t="str">
        <f>IF(Main[[#This Row],[Tech Start Date]]&lt;1/1/1990,"",IF(Main[[#This Row],[Class]]="C",WORKDAY(Main[[#This Row],[Tech Start Date]],19),IF(Main[[#This Row],[Class]]="B", WORKDAY(Main[[#This Row],[Tech Start Date]],12),IF(Main[[#This Row],[Class]]="A",WORKDAY(Main[[#This Row],[Tech Start Date]],4),""))))</f>
        <v/>
      </c>
      <c r="O1008" s="69" t="str">
        <f>IF(Main[[#This Row],[Tech Start Date]]&lt;1/1/1990,"",IF(Main[[#This Row],[Class]]="C",WORKDAY(Main[[#This Row],[Tech Start Date]],23),IF(Main[[#This Row],[Class]]="B", WORKDAY(Main[[#This Row],[Tech Start Date]],15),IF(Main[[#This Row],[Class]]="A",WORKDAY(Main[[#This Row],[Tech Start Date]],5),""))))</f>
        <v/>
      </c>
      <c r="P1008" s="69" t="str">
        <f>IF(Main[[#This Row],[Tech Start Date]]&lt;1/1/1990,"",IF(Main[[#This Row],[Class]]="C",WORKDAY(Main[[#This Row],[Tech Start Date]],28),IF(Main[[#This Row],[Class]]="B", WORKDAY(Main[[#This Row],[Tech Start Date]],19),IF(Main[[#This Row],[Class]]="A",WORKDAY(Main[[#This Row],[Tech Start Date]],9),""))))</f>
        <v/>
      </c>
      <c r="Q1008" s="67"/>
      <c r="R1008" s="67"/>
      <c r="S1008" s="65" t="s">
        <v>11</v>
      </c>
      <c r="T1008" s="70" t="s">
        <v>4</v>
      </c>
      <c r="U1008" s="65" t="s">
        <v>14</v>
      </c>
      <c r="V1008" s="65" t="s">
        <v>1917</v>
      </c>
      <c r="W1008" s="65" t="s">
        <v>1923</v>
      </c>
      <c r="X1008" s="65" t="s">
        <v>50</v>
      </c>
      <c r="Y1008" s="65" t="s">
        <v>2967</v>
      </c>
      <c r="Z1008" s="65" t="s">
        <v>306</v>
      </c>
      <c r="AA1008" s="65" t="s">
        <v>50</v>
      </c>
    </row>
    <row r="1009" spans="1:27" ht="17.45" customHeight="1">
      <c r="A1009" s="131" t="str">
        <f>IF(priority(Main[[#This Row],[Comments]])&lt;&gt;0, priority(Main[[#This Row],[Comments]]),"")</f>
        <v/>
      </c>
      <c r="B1009" s="99" t="s">
        <v>2133</v>
      </c>
      <c r="C1009" s="65" t="s">
        <v>953</v>
      </c>
      <c r="D1009" s="66" t="s">
        <v>2134</v>
      </c>
      <c r="E1009" s="67"/>
      <c r="F1009" s="67">
        <v>40871</v>
      </c>
      <c r="G1009" s="64" t="str">
        <f>IF(stdProdLT(Main[[#This Row],[Comments]])=0.1,"N/A",IF(stdProdLT(Main[[#This Row],[Comments]])=0,"",stdProdLT(Main[[#This Row],[Comments]])))</f>
        <v/>
      </c>
      <c r="H1009" s="68" t="str">
        <f>IF(AND(Main[[#This Row],[In Stock Date]]&lt;&gt;"",Main[[#This Row],[Revised Due Date]]&lt;&gt;""),Main[[#This Row],[In Stock Date]]-Main[[#This Row],[Revised Due Date]],"")</f>
        <v/>
      </c>
      <c r="I1009" s="65" t="s">
        <v>4</v>
      </c>
      <c r="J1009" s="65" t="s">
        <v>4</v>
      </c>
      <c r="K1009" s="65" t="s">
        <v>4</v>
      </c>
      <c r="L1009" s="67"/>
      <c r="M1009" s="69" t="str">
        <f>IF(Main[[#This Row],[Tech Start Date]]&lt;1/1/1990,"",IF(Main[[#This Row],[Class]]="C",WORKDAY(Main[[#This Row],[Tech Start Date]],9),IF(Main[[#This Row],[Class]]="B", WORKDAY(Main[[#This Row],[Tech Start Date]],6),IF(Main[[#This Row],[Class]]="A",WORKDAY(Main[[#This Row],[Tech Start Date]],2),""))))</f>
        <v/>
      </c>
      <c r="N1009" s="69" t="str">
        <f>IF(Main[[#This Row],[Tech Start Date]]&lt;1/1/1990,"",IF(Main[[#This Row],[Class]]="C",WORKDAY(Main[[#This Row],[Tech Start Date]],19),IF(Main[[#This Row],[Class]]="B", WORKDAY(Main[[#This Row],[Tech Start Date]],12),IF(Main[[#This Row],[Class]]="A",WORKDAY(Main[[#This Row],[Tech Start Date]],4),""))))</f>
        <v/>
      </c>
      <c r="O1009" s="69" t="str">
        <f>IF(Main[[#This Row],[Tech Start Date]]&lt;1/1/1990,"",IF(Main[[#This Row],[Class]]="C",WORKDAY(Main[[#This Row],[Tech Start Date]],23),IF(Main[[#This Row],[Class]]="B", WORKDAY(Main[[#This Row],[Tech Start Date]],15),IF(Main[[#This Row],[Class]]="A",WORKDAY(Main[[#This Row],[Tech Start Date]],5),""))))</f>
        <v/>
      </c>
      <c r="P1009" s="69" t="str">
        <f>IF(Main[[#This Row],[Tech Start Date]]&lt;1/1/1990,"",IF(Main[[#This Row],[Class]]="C",WORKDAY(Main[[#This Row],[Tech Start Date]],28),IF(Main[[#This Row],[Class]]="B", WORKDAY(Main[[#This Row],[Tech Start Date]],19),IF(Main[[#This Row],[Class]]="A",WORKDAY(Main[[#This Row],[Tech Start Date]],9),""))))</f>
        <v/>
      </c>
      <c r="Q1009" s="67"/>
      <c r="R1009" s="67"/>
      <c r="S1009" s="65" t="s">
        <v>11</v>
      </c>
      <c r="T1009" s="70" t="s">
        <v>4</v>
      </c>
      <c r="U1009" s="65" t="s">
        <v>14</v>
      </c>
      <c r="V1009" s="65" t="s">
        <v>1920</v>
      </c>
      <c r="W1009" s="65" t="s">
        <v>1925</v>
      </c>
      <c r="X1009" s="65" t="s">
        <v>50</v>
      </c>
      <c r="Y1009" s="65" t="s">
        <v>2967</v>
      </c>
      <c r="Z1009" s="65" t="s">
        <v>4</v>
      </c>
      <c r="AA1009" s="65" t="s">
        <v>50</v>
      </c>
    </row>
    <row r="1010" spans="1:27" ht="17.45" customHeight="1">
      <c r="A1010" s="131" t="str">
        <f>IF(priority(Main[[#This Row],[Comments]])&lt;&gt;0, priority(Main[[#This Row],[Comments]]),"")</f>
        <v/>
      </c>
      <c r="B1010" s="99" t="s">
        <v>2128</v>
      </c>
      <c r="C1010" s="65" t="s">
        <v>4</v>
      </c>
      <c r="D1010" s="66" t="s">
        <v>3635</v>
      </c>
      <c r="E1010" s="67">
        <v>40764.690844907411</v>
      </c>
      <c r="F1010" s="67"/>
      <c r="G1010" s="64" t="str">
        <f>IF(stdProdLT(Main[[#This Row],[Comments]])=0.1,"N/A",IF(stdProdLT(Main[[#This Row],[Comments]])=0,"",stdProdLT(Main[[#This Row],[Comments]])))</f>
        <v/>
      </c>
      <c r="H1010" s="68" t="str">
        <f>IF(AND(Main[[#This Row],[In Stock Date]]&lt;&gt;"",Main[[#This Row],[Revised Due Date]]&lt;&gt;""),Main[[#This Row],[In Stock Date]]-Main[[#This Row],[Revised Due Date]],"")</f>
        <v/>
      </c>
      <c r="I1010" s="65" t="s">
        <v>2214</v>
      </c>
      <c r="J1010" s="65" t="s">
        <v>4</v>
      </c>
      <c r="K1010" s="65" t="s">
        <v>4</v>
      </c>
      <c r="L1010" s="67"/>
      <c r="M1010" s="69" t="str">
        <f>IF(Main[[#This Row],[Tech Start Date]]&lt;1/1/1990,"",IF(Main[[#This Row],[Class]]="C",WORKDAY(Main[[#This Row],[Tech Start Date]],9),IF(Main[[#This Row],[Class]]="B", WORKDAY(Main[[#This Row],[Tech Start Date]],6),IF(Main[[#This Row],[Class]]="A",WORKDAY(Main[[#This Row],[Tech Start Date]],2),""))))</f>
        <v/>
      </c>
      <c r="N1010" s="69" t="str">
        <f>IF(Main[[#This Row],[Tech Start Date]]&lt;1/1/1990,"",IF(Main[[#This Row],[Class]]="C",WORKDAY(Main[[#This Row],[Tech Start Date]],19),IF(Main[[#This Row],[Class]]="B", WORKDAY(Main[[#This Row],[Tech Start Date]],12),IF(Main[[#This Row],[Class]]="A",WORKDAY(Main[[#This Row],[Tech Start Date]],4),""))))</f>
        <v/>
      </c>
      <c r="O1010" s="69" t="str">
        <f>IF(Main[[#This Row],[Tech Start Date]]&lt;1/1/1990,"",IF(Main[[#This Row],[Class]]="C",WORKDAY(Main[[#This Row],[Tech Start Date]],23),IF(Main[[#This Row],[Class]]="B", WORKDAY(Main[[#This Row],[Tech Start Date]],15),IF(Main[[#This Row],[Class]]="A",WORKDAY(Main[[#This Row],[Tech Start Date]],5),""))))</f>
        <v/>
      </c>
      <c r="P1010" s="69" t="str">
        <f>IF(Main[[#This Row],[Tech Start Date]]&lt;1/1/1990,"",IF(Main[[#This Row],[Class]]="C",WORKDAY(Main[[#This Row],[Tech Start Date]],28),IF(Main[[#This Row],[Class]]="B", WORKDAY(Main[[#This Row],[Tech Start Date]],19),IF(Main[[#This Row],[Class]]="A",WORKDAY(Main[[#This Row],[Tech Start Date]],9),""))))</f>
        <v/>
      </c>
      <c r="Q1010" s="67"/>
      <c r="R1010" s="67"/>
      <c r="S1010" s="65" t="s">
        <v>6</v>
      </c>
      <c r="T1010" s="70" t="s">
        <v>4</v>
      </c>
      <c r="U1010" s="65" t="s">
        <v>7</v>
      </c>
      <c r="V1010" s="65" t="s">
        <v>1932</v>
      </c>
      <c r="W1010" s="65" t="s">
        <v>1919</v>
      </c>
      <c r="X1010" s="65" t="s">
        <v>306</v>
      </c>
      <c r="Y1010" s="65" t="s">
        <v>4</v>
      </c>
      <c r="Z1010" s="65" t="s">
        <v>2214</v>
      </c>
      <c r="AA1010" s="65" t="s">
        <v>4</v>
      </c>
    </row>
    <row r="1011" spans="1:27" ht="17.45" customHeight="1">
      <c r="A1011" s="12" t="str">
        <f>IF(priority(Main[[#This Row],[Comments]])&lt;&gt;0, priority(Main[[#This Row],[Comments]]),"")</f>
        <v/>
      </c>
      <c r="B1011" s="99" t="s">
        <v>3536</v>
      </c>
      <c r="C1011" s="63" t="s">
        <v>4</v>
      </c>
      <c r="D1011" s="72" t="s">
        <v>3537</v>
      </c>
      <c r="E1011" s="73"/>
      <c r="F1011" s="73"/>
      <c r="G1011" s="63" t="str">
        <f>IF(stdProdLT(Main[[#This Row],[Comments]])=0.1,"N/A",IF(stdProdLT(Main[[#This Row],[Comments]])=0,"",stdProdLT(Main[[#This Row],[Comments]])))</f>
        <v/>
      </c>
      <c r="H1011" s="74" t="str">
        <f>IF(AND(Main[[#This Row],[In Stock Date]]&lt;&gt;"",Main[[#This Row],[Revised Due Date]]&lt;&gt;""),Main[[#This Row],[In Stock Date]]-Main[[#This Row],[Revised Due Date]],"")</f>
        <v/>
      </c>
      <c r="I1011" s="63" t="s">
        <v>4</v>
      </c>
      <c r="J1011" s="63" t="s">
        <v>4</v>
      </c>
      <c r="K1011" s="63" t="s">
        <v>4</v>
      </c>
      <c r="L1011" s="73"/>
      <c r="M1011" s="69" t="str">
        <f>IF(Main[[#This Row],[Tech Start Date]]&lt;1/1/1990,"",IF(Main[[#This Row],[Class]]="C",WORKDAY(Main[[#This Row],[Tech Start Date]],9),IF(Main[[#This Row],[Class]]="B", WORKDAY(Main[[#This Row],[Tech Start Date]],6),IF(Main[[#This Row],[Class]]="A",WORKDAY(Main[[#This Row],[Tech Start Date]],2),""))))</f>
        <v/>
      </c>
      <c r="N1011" s="69" t="str">
        <f>IF(Main[[#This Row],[Tech Start Date]]&lt;1/1/1990,"",IF(Main[[#This Row],[Class]]="C",WORKDAY(Main[[#This Row],[Tech Start Date]],19),IF(Main[[#This Row],[Class]]="B", WORKDAY(Main[[#This Row],[Tech Start Date]],12),IF(Main[[#This Row],[Class]]="A",WORKDAY(Main[[#This Row],[Tech Start Date]],4),""))))</f>
        <v/>
      </c>
      <c r="O1011" s="69" t="str">
        <f>IF(Main[[#This Row],[Tech Start Date]]&lt;1/1/1990,"",IF(Main[[#This Row],[Class]]="C",WORKDAY(Main[[#This Row],[Tech Start Date]],23),IF(Main[[#This Row],[Class]]="B", WORKDAY(Main[[#This Row],[Tech Start Date]],15),IF(Main[[#This Row],[Class]]="A",WORKDAY(Main[[#This Row],[Tech Start Date]],5),""))))</f>
        <v/>
      </c>
      <c r="P1011" s="69" t="str">
        <f>IF(Main[[#This Row],[Tech Start Date]]&lt;1/1/1990,"",IF(Main[[#This Row],[Class]]="C",WORKDAY(Main[[#This Row],[Tech Start Date]],28),IF(Main[[#This Row],[Class]]="B", WORKDAY(Main[[#This Row],[Tech Start Date]],19),IF(Main[[#This Row],[Class]]="A",WORKDAY(Main[[#This Row],[Tech Start Date]],9),""))))</f>
        <v/>
      </c>
      <c r="Q1011" s="73"/>
      <c r="R1011" s="73"/>
      <c r="S1011" s="63" t="s">
        <v>6</v>
      </c>
      <c r="T1011" s="75" t="s">
        <v>4</v>
      </c>
      <c r="U1011" s="63" t="s">
        <v>14</v>
      </c>
      <c r="V1011" s="63" t="s">
        <v>2288</v>
      </c>
      <c r="W1011" s="63" t="s">
        <v>1921</v>
      </c>
      <c r="X1011" s="63" t="s">
        <v>2847</v>
      </c>
      <c r="Y1011" s="63" t="s">
        <v>2977</v>
      </c>
      <c r="Z1011" s="63" t="s">
        <v>4</v>
      </c>
      <c r="AA1011" s="65" t="s">
        <v>2847</v>
      </c>
    </row>
    <row r="1012" spans="1:27" ht="17.45" customHeight="1">
      <c r="A1012" s="131" t="str">
        <f>IF(priority(Main[[#This Row],[Comments]])&lt;&gt;0, priority(Main[[#This Row],[Comments]]),"")</f>
        <v/>
      </c>
      <c r="B1012" s="99" t="s">
        <v>2517</v>
      </c>
      <c r="C1012" s="65" t="s">
        <v>47</v>
      </c>
      <c r="D1012" s="66" t="s">
        <v>3511</v>
      </c>
      <c r="E1012" s="67">
        <v>40857.653622685182</v>
      </c>
      <c r="F1012" s="67"/>
      <c r="G1012" s="64" t="str">
        <f>IF(stdProdLT(Main[[#This Row],[Comments]])=0.1,"N/A",IF(stdProdLT(Main[[#This Row],[Comments]])=0,"",stdProdLT(Main[[#This Row],[Comments]])))</f>
        <v/>
      </c>
      <c r="H1012" s="68" t="str">
        <f>IF(AND(Main[[#This Row],[In Stock Date]]&lt;&gt;"",Main[[#This Row],[Revised Due Date]]&lt;&gt;""),Main[[#This Row],[In Stock Date]]-Main[[#This Row],[Revised Due Date]],"")</f>
        <v/>
      </c>
      <c r="I1012" s="65" t="s">
        <v>4</v>
      </c>
      <c r="J1012" s="65" t="s">
        <v>4</v>
      </c>
      <c r="K1012" s="65" t="s">
        <v>4</v>
      </c>
      <c r="L1012" s="67"/>
      <c r="M1012" s="69" t="str">
        <f>IF(Main[[#This Row],[Tech Start Date]]&lt;1/1/1990,"",IF(Main[[#This Row],[Class]]="C",WORKDAY(Main[[#This Row],[Tech Start Date]],9),IF(Main[[#This Row],[Class]]="B", WORKDAY(Main[[#This Row],[Tech Start Date]],6),IF(Main[[#This Row],[Class]]="A",WORKDAY(Main[[#This Row],[Tech Start Date]],2),""))))</f>
        <v/>
      </c>
      <c r="N1012" s="69" t="str">
        <f>IF(Main[[#This Row],[Tech Start Date]]&lt;1/1/1990,"",IF(Main[[#This Row],[Class]]="C",WORKDAY(Main[[#This Row],[Tech Start Date]],19),IF(Main[[#This Row],[Class]]="B", WORKDAY(Main[[#This Row],[Tech Start Date]],12),IF(Main[[#This Row],[Class]]="A",WORKDAY(Main[[#This Row],[Tech Start Date]],4),""))))</f>
        <v/>
      </c>
      <c r="O1012" s="69" t="str">
        <f>IF(Main[[#This Row],[Tech Start Date]]&lt;1/1/1990,"",IF(Main[[#This Row],[Class]]="C",WORKDAY(Main[[#This Row],[Tech Start Date]],23),IF(Main[[#This Row],[Class]]="B", WORKDAY(Main[[#This Row],[Tech Start Date]],15),IF(Main[[#This Row],[Class]]="A",WORKDAY(Main[[#This Row],[Tech Start Date]],5),""))))</f>
        <v/>
      </c>
      <c r="P1012" s="69" t="str">
        <f>IF(Main[[#This Row],[Tech Start Date]]&lt;1/1/1990,"",IF(Main[[#This Row],[Class]]="C",WORKDAY(Main[[#This Row],[Tech Start Date]],28),IF(Main[[#This Row],[Class]]="B", WORKDAY(Main[[#This Row],[Tech Start Date]],19),IF(Main[[#This Row],[Class]]="A",WORKDAY(Main[[#This Row],[Tech Start Date]],9),""))))</f>
        <v/>
      </c>
      <c r="Q1012" s="67">
        <v>40892</v>
      </c>
      <c r="R1012" s="67"/>
      <c r="S1012" s="65" t="s">
        <v>6</v>
      </c>
      <c r="T1012" s="70" t="s">
        <v>4</v>
      </c>
      <c r="U1012" s="65" t="s">
        <v>29</v>
      </c>
      <c r="V1012" s="65" t="s">
        <v>2288</v>
      </c>
      <c r="W1012" s="65" t="s">
        <v>4</v>
      </c>
      <c r="X1012" s="65" t="s">
        <v>2871</v>
      </c>
      <c r="Y1012" s="65" t="s">
        <v>3016</v>
      </c>
      <c r="Z1012" s="65" t="s">
        <v>4</v>
      </c>
      <c r="AA1012" s="65" t="s">
        <v>2871</v>
      </c>
    </row>
    <row r="1013" spans="1:27" ht="17.45" customHeight="1">
      <c r="A1013" s="131" t="str">
        <f>IF(priority(Main[[#This Row],[Comments]])&lt;&gt;0, priority(Main[[#This Row],[Comments]]),"")</f>
        <v/>
      </c>
      <c r="B1013" s="99" t="s">
        <v>2118</v>
      </c>
      <c r="C1013" s="65" t="s">
        <v>4</v>
      </c>
      <c r="D1013" s="66" t="s">
        <v>2119</v>
      </c>
      <c r="E1013" s="67"/>
      <c r="F1013" s="67"/>
      <c r="G1013" s="64" t="str">
        <f>IF(stdProdLT(Main[[#This Row],[Comments]])=0.1,"N/A",IF(stdProdLT(Main[[#This Row],[Comments]])=0,"",stdProdLT(Main[[#This Row],[Comments]])))</f>
        <v/>
      </c>
      <c r="H1013" s="68" t="str">
        <f>IF(AND(Main[[#This Row],[In Stock Date]]&lt;&gt;"",Main[[#This Row],[Revised Due Date]]&lt;&gt;""),Main[[#This Row],[In Stock Date]]-Main[[#This Row],[Revised Due Date]],"")</f>
        <v/>
      </c>
      <c r="I1013" s="65" t="s">
        <v>69</v>
      </c>
      <c r="J1013" s="65" t="s">
        <v>70</v>
      </c>
      <c r="K1013" s="65" t="s">
        <v>1926</v>
      </c>
      <c r="L1013" s="67"/>
      <c r="M1013" s="69" t="str">
        <f>IF(Main[[#This Row],[Tech Start Date]]&lt;1/1/1990,"",IF(Main[[#This Row],[Class]]="C",WORKDAY(Main[[#This Row],[Tech Start Date]],9),IF(Main[[#This Row],[Class]]="B", WORKDAY(Main[[#This Row],[Tech Start Date]],6),IF(Main[[#This Row],[Class]]="A",WORKDAY(Main[[#This Row],[Tech Start Date]],2),""))))</f>
        <v/>
      </c>
      <c r="N1013" s="69" t="str">
        <f>IF(Main[[#This Row],[Tech Start Date]]&lt;1/1/1990,"",IF(Main[[#This Row],[Class]]="C",WORKDAY(Main[[#This Row],[Tech Start Date]],19),IF(Main[[#This Row],[Class]]="B", WORKDAY(Main[[#This Row],[Tech Start Date]],12),IF(Main[[#This Row],[Class]]="A",WORKDAY(Main[[#This Row],[Tech Start Date]],4),""))))</f>
        <v/>
      </c>
      <c r="O1013" s="69" t="str">
        <f>IF(Main[[#This Row],[Tech Start Date]]&lt;1/1/1990,"",IF(Main[[#This Row],[Class]]="C",WORKDAY(Main[[#This Row],[Tech Start Date]],23),IF(Main[[#This Row],[Class]]="B", WORKDAY(Main[[#This Row],[Tech Start Date]],15),IF(Main[[#This Row],[Class]]="A",WORKDAY(Main[[#This Row],[Tech Start Date]],5),""))))</f>
        <v/>
      </c>
      <c r="P1013" s="69" t="str">
        <f>IF(Main[[#This Row],[Tech Start Date]]&lt;1/1/1990,"",IF(Main[[#This Row],[Class]]="C",WORKDAY(Main[[#This Row],[Tech Start Date]],28),IF(Main[[#This Row],[Class]]="B", WORKDAY(Main[[#This Row],[Tech Start Date]],19),IF(Main[[#This Row],[Class]]="A",WORKDAY(Main[[#This Row],[Tech Start Date]],9),""))))</f>
        <v/>
      </c>
      <c r="Q1013" s="67">
        <v>40816</v>
      </c>
      <c r="R1013" s="67"/>
      <c r="S1013" s="65" t="s">
        <v>6</v>
      </c>
      <c r="T1013" s="70" t="s">
        <v>4</v>
      </c>
      <c r="U1013" s="65" t="s">
        <v>14</v>
      </c>
      <c r="V1013" s="65" t="s">
        <v>1920</v>
      </c>
      <c r="W1013" s="65" t="s">
        <v>1921</v>
      </c>
      <c r="X1013" s="65" t="s">
        <v>306</v>
      </c>
      <c r="Y1013" s="65" t="s">
        <v>3117</v>
      </c>
      <c r="Z1013" s="65" t="s">
        <v>30</v>
      </c>
      <c r="AA1013" s="65" t="s">
        <v>3398</v>
      </c>
    </row>
    <row r="1014" spans="1:27" ht="17.45" customHeight="1">
      <c r="A1014" s="131" t="str">
        <f>IF(priority(Main[[#This Row],[Comments]])&lt;&gt;0, priority(Main[[#This Row],[Comments]]),"")</f>
        <v/>
      </c>
      <c r="B1014" s="99" t="s">
        <v>2185</v>
      </c>
      <c r="C1014" s="65" t="s">
        <v>4</v>
      </c>
      <c r="D1014" s="66" t="s">
        <v>2186</v>
      </c>
      <c r="E1014" s="67">
        <v>40784.630833333336</v>
      </c>
      <c r="F1014" s="67">
        <v>41153</v>
      </c>
      <c r="G1014" s="64" t="str">
        <f>IF(stdProdLT(Main[[#This Row],[Comments]])=0.1,"N/A",IF(stdProdLT(Main[[#This Row],[Comments]])=0,"",stdProdLT(Main[[#This Row],[Comments]])))</f>
        <v/>
      </c>
      <c r="H1014" s="68" t="str">
        <f>IF(AND(Main[[#This Row],[In Stock Date]]&lt;&gt;"",Main[[#This Row],[Revised Due Date]]&lt;&gt;""),Main[[#This Row],[In Stock Date]]-Main[[#This Row],[Revised Due Date]],"")</f>
        <v/>
      </c>
      <c r="I1014" s="65" t="s">
        <v>4</v>
      </c>
      <c r="J1014" s="65" t="s">
        <v>4</v>
      </c>
      <c r="K1014" s="65" t="s">
        <v>4</v>
      </c>
      <c r="L1014" s="67"/>
      <c r="M1014" s="69" t="str">
        <f>IF(Main[[#This Row],[Tech Start Date]]&lt;1/1/1990,"",IF(Main[[#This Row],[Class]]="C",WORKDAY(Main[[#This Row],[Tech Start Date]],9),IF(Main[[#This Row],[Class]]="B", WORKDAY(Main[[#This Row],[Tech Start Date]],6),IF(Main[[#This Row],[Class]]="A",WORKDAY(Main[[#This Row],[Tech Start Date]],2),""))))</f>
        <v/>
      </c>
      <c r="N1014" s="69" t="str">
        <f>IF(Main[[#This Row],[Tech Start Date]]&lt;1/1/1990,"",IF(Main[[#This Row],[Class]]="C",WORKDAY(Main[[#This Row],[Tech Start Date]],19),IF(Main[[#This Row],[Class]]="B", WORKDAY(Main[[#This Row],[Tech Start Date]],12),IF(Main[[#This Row],[Class]]="A",WORKDAY(Main[[#This Row],[Tech Start Date]],4),""))))</f>
        <v/>
      </c>
      <c r="O1014" s="69" t="str">
        <f>IF(Main[[#This Row],[Tech Start Date]]&lt;1/1/1990,"",IF(Main[[#This Row],[Class]]="C",WORKDAY(Main[[#This Row],[Tech Start Date]],23),IF(Main[[#This Row],[Class]]="B", WORKDAY(Main[[#This Row],[Tech Start Date]],15),IF(Main[[#This Row],[Class]]="A",WORKDAY(Main[[#This Row],[Tech Start Date]],5),""))))</f>
        <v/>
      </c>
      <c r="P1014" s="69" t="str">
        <f>IF(Main[[#This Row],[Tech Start Date]]&lt;1/1/1990,"",IF(Main[[#This Row],[Class]]="C",WORKDAY(Main[[#This Row],[Tech Start Date]],28),IF(Main[[#This Row],[Class]]="B", WORKDAY(Main[[#This Row],[Tech Start Date]],19),IF(Main[[#This Row],[Class]]="A",WORKDAY(Main[[#This Row],[Tech Start Date]],9),""))))</f>
        <v/>
      </c>
      <c r="Q1014" s="67"/>
      <c r="R1014" s="67"/>
      <c r="S1014" s="65" t="s">
        <v>17</v>
      </c>
      <c r="T1014" s="70" t="s">
        <v>4</v>
      </c>
      <c r="U1014" s="65" t="s">
        <v>7</v>
      </c>
      <c r="V1014" s="65" t="s">
        <v>1920</v>
      </c>
      <c r="W1014" s="65" t="s">
        <v>1922</v>
      </c>
      <c r="X1014" s="65" t="s">
        <v>2891</v>
      </c>
      <c r="Y1014" s="65" t="s">
        <v>3047</v>
      </c>
      <c r="Z1014" s="65" t="s">
        <v>4</v>
      </c>
      <c r="AA1014" s="65" t="s">
        <v>2891</v>
      </c>
    </row>
    <row r="1015" spans="1:27" ht="17.45" customHeight="1">
      <c r="A1015" s="131" t="str">
        <f>IF(priority(Main[[#This Row],[Comments]])&lt;&gt;0, priority(Main[[#This Row],[Comments]]),"")</f>
        <v/>
      </c>
      <c r="B1015" s="99" t="s">
        <v>2062</v>
      </c>
      <c r="C1015" s="65" t="s">
        <v>4</v>
      </c>
      <c r="D1015" s="66" t="s">
        <v>2063</v>
      </c>
      <c r="E1015" s="67">
        <v>40758.348310185182</v>
      </c>
      <c r="F1015" s="67"/>
      <c r="G1015" s="64" t="str">
        <f>IF(stdProdLT(Main[[#This Row],[Comments]])=0.1,"N/A",IF(stdProdLT(Main[[#This Row],[Comments]])=0,"",stdProdLT(Main[[#This Row],[Comments]])))</f>
        <v/>
      </c>
      <c r="H1015" s="68" t="str">
        <f>IF(AND(Main[[#This Row],[In Stock Date]]&lt;&gt;"",Main[[#This Row],[Revised Due Date]]&lt;&gt;""),Main[[#This Row],[In Stock Date]]-Main[[#This Row],[Revised Due Date]],"")</f>
        <v/>
      </c>
      <c r="I1015" s="65" t="s">
        <v>415</v>
      </c>
      <c r="J1015" s="65" t="s">
        <v>28</v>
      </c>
      <c r="K1015" s="65" t="s">
        <v>1924</v>
      </c>
      <c r="L1015" s="67"/>
      <c r="M1015" s="69" t="str">
        <f>IF(Main[[#This Row],[Tech Start Date]]&lt;1/1/1990,"",IF(Main[[#This Row],[Class]]="C",WORKDAY(Main[[#This Row],[Tech Start Date]],9),IF(Main[[#This Row],[Class]]="B", WORKDAY(Main[[#This Row],[Tech Start Date]],6),IF(Main[[#This Row],[Class]]="A",WORKDAY(Main[[#This Row],[Tech Start Date]],2),""))))</f>
        <v/>
      </c>
      <c r="N1015" s="69" t="str">
        <f>IF(Main[[#This Row],[Tech Start Date]]&lt;1/1/1990,"",IF(Main[[#This Row],[Class]]="C",WORKDAY(Main[[#This Row],[Tech Start Date]],19),IF(Main[[#This Row],[Class]]="B", WORKDAY(Main[[#This Row],[Tech Start Date]],12),IF(Main[[#This Row],[Class]]="A",WORKDAY(Main[[#This Row],[Tech Start Date]],4),""))))</f>
        <v/>
      </c>
      <c r="O1015" s="69" t="str">
        <f>IF(Main[[#This Row],[Tech Start Date]]&lt;1/1/1990,"",IF(Main[[#This Row],[Class]]="C",WORKDAY(Main[[#This Row],[Tech Start Date]],23),IF(Main[[#This Row],[Class]]="B", WORKDAY(Main[[#This Row],[Tech Start Date]],15),IF(Main[[#This Row],[Class]]="A",WORKDAY(Main[[#This Row],[Tech Start Date]],5),""))))</f>
        <v/>
      </c>
      <c r="P1015" s="69" t="str">
        <f>IF(Main[[#This Row],[Tech Start Date]]&lt;1/1/1990,"",IF(Main[[#This Row],[Class]]="C",WORKDAY(Main[[#This Row],[Tech Start Date]],28),IF(Main[[#This Row],[Class]]="B", WORKDAY(Main[[#This Row],[Tech Start Date]],19),IF(Main[[#This Row],[Class]]="A",WORKDAY(Main[[#This Row],[Tech Start Date]],9),""))))</f>
        <v/>
      </c>
      <c r="Q1015" s="67"/>
      <c r="R1015" s="67"/>
      <c r="S1015" s="65" t="s">
        <v>6</v>
      </c>
      <c r="T1015" s="70" t="s">
        <v>4</v>
      </c>
      <c r="U1015" s="65" t="s">
        <v>29</v>
      </c>
      <c r="V1015" s="65" t="s">
        <v>1920</v>
      </c>
      <c r="W1015" s="65" t="s">
        <v>1919</v>
      </c>
      <c r="X1015" s="65" t="s">
        <v>2872</v>
      </c>
      <c r="Y1015" s="65" t="s">
        <v>3006</v>
      </c>
      <c r="Z1015" s="65" t="s">
        <v>415</v>
      </c>
      <c r="AA1015" s="65" t="s">
        <v>2872</v>
      </c>
    </row>
    <row r="1016" spans="1:27" ht="17.45" customHeight="1">
      <c r="A1016" s="131" t="str">
        <f>IF(priority(Main[[#This Row],[Comments]])&lt;&gt;0, priority(Main[[#This Row],[Comments]]),"")</f>
        <v/>
      </c>
      <c r="B1016" s="99" t="s">
        <v>2202</v>
      </c>
      <c r="C1016" s="65" t="s">
        <v>4</v>
      </c>
      <c r="D1016" s="66" t="s">
        <v>2203</v>
      </c>
      <c r="E1016" s="67">
        <v>40784.953148148146</v>
      </c>
      <c r="F1016" s="67"/>
      <c r="G1016" s="64" t="str">
        <f>IF(stdProdLT(Main[[#This Row],[Comments]])=0.1,"N/A",IF(stdProdLT(Main[[#This Row],[Comments]])=0,"",stdProdLT(Main[[#This Row],[Comments]])))</f>
        <v/>
      </c>
      <c r="H1016" s="68" t="str">
        <f>IF(AND(Main[[#This Row],[In Stock Date]]&lt;&gt;"",Main[[#This Row],[Revised Due Date]]&lt;&gt;""),Main[[#This Row],[In Stock Date]]-Main[[#This Row],[Revised Due Date]],"")</f>
        <v/>
      </c>
      <c r="I1016" s="65" t="s">
        <v>489</v>
      </c>
      <c r="J1016" s="65" t="s">
        <v>70</v>
      </c>
      <c r="K1016" s="65" t="s">
        <v>1926</v>
      </c>
      <c r="L1016" s="67"/>
      <c r="M1016" s="69" t="str">
        <f>IF(Main[[#This Row],[Tech Start Date]]&lt;1/1/1990,"",IF(Main[[#This Row],[Class]]="C",WORKDAY(Main[[#This Row],[Tech Start Date]],9),IF(Main[[#This Row],[Class]]="B", WORKDAY(Main[[#This Row],[Tech Start Date]],6),IF(Main[[#This Row],[Class]]="A",WORKDAY(Main[[#This Row],[Tech Start Date]],2),""))))</f>
        <v/>
      </c>
      <c r="N1016" s="69" t="str">
        <f>IF(Main[[#This Row],[Tech Start Date]]&lt;1/1/1990,"",IF(Main[[#This Row],[Class]]="C",WORKDAY(Main[[#This Row],[Tech Start Date]],19),IF(Main[[#This Row],[Class]]="B", WORKDAY(Main[[#This Row],[Tech Start Date]],12),IF(Main[[#This Row],[Class]]="A",WORKDAY(Main[[#This Row],[Tech Start Date]],4),""))))</f>
        <v/>
      </c>
      <c r="O1016" s="69" t="str">
        <f>IF(Main[[#This Row],[Tech Start Date]]&lt;1/1/1990,"",IF(Main[[#This Row],[Class]]="C",WORKDAY(Main[[#This Row],[Tech Start Date]],23),IF(Main[[#This Row],[Class]]="B", WORKDAY(Main[[#This Row],[Tech Start Date]],15),IF(Main[[#This Row],[Class]]="A",WORKDAY(Main[[#This Row],[Tech Start Date]],5),""))))</f>
        <v/>
      </c>
      <c r="P1016" s="69" t="str">
        <f>IF(Main[[#This Row],[Tech Start Date]]&lt;1/1/1990,"",IF(Main[[#This Row],[Class]]="C",WORKDAY(Main[[#This Row],[Tech Start Date]],28),IF(Main[[#This Row],[Class]]="B", WORKDAY(Main[[#This Row],[Tech Start Date]],19),IF(Main[[#This Row],[Class]]="A",WORKDAY(Main[[#This Row],[Tech Start Date]],9),""))))</f>
        <v/>
      </c>
      <c r="Q1016" s="67">
        <v>40847</v>
      </c>
      <c r="R1016" s="67"/>
      <c r="S1016" s="65" t="s">
        <v>6</v>
      </c>
      <c r="T1016" s="70" t="s">
        <v>4</v>
      </c>
      <c r="U1016" s="65" t="s">
        <v>29</v>
      </c>
      <c r="V1016" s="65" t="s">
        <v>1920</v>
      </c>
      <c r="W1016" s="65" t="s">
        <v>1921</v>
      </c>
      <c r="X1016" s="65" t="s">
        <v>30</v>
      </c>
      <c r="Y1016" s="65" t="s">
        <v>3118</v>
      </c>
      <c r="Z1016" s="65" t="s">
        <v>30</v>
      </c>
      <c r="AA1016" s="65" t="s">
        <v>3455</v>
      </c>
    </row>
    <row r="1017" spans="1:27" ht="17.45" customHeight="1">
      <c r="A1017" s="131" t="str">
        <f>IF(priority(Main[[#This Row],[Comments]])&lt;&gt;0, priority(Main[[#This Row],[Comments]]),"")</f>
        <v/>
      </c>
      <c r="B1017" s="99" t="s">
        <v>1985</v>
      </c>
      <c r="C1017" s="65" t="s">
        <v>4</v>
      </c>
      <c r="D1017" s="66" t="s">
        <v>2019</v>
      </c>
      <c r="E1017" s="67">
        <v>40737.35056712963</v>
      </c>
      <c r="F1017" s="67"/>
      <c r="G1017" s="64" t="str">
        <f>IF(stdProdLT(Main[[#This Row],[Comments]])=0.1,"N/A",IF(stdProdLT(Main[[#This Row],[Comments]])=0,"",stdProdLT(Main[[#This Row],[Comments]])))</f>
        <v/>
      </c>
      <c r="H1017" s="68" t="str">
        <f>IF(AND(Main[[#This Row],[In Stock Date]]&lt;&gt;"",Main[[#This Row],[Revised Due Date]]&lt;&gt;""),Main[[#This Row],[In Stock Date]]-Main[[#This Row],[Revised Due Date]],"")</f>
        <v/>
      </c>
      <c r="I1017" s="65" t="s">
        <v>2017</v>
      </c>
      <c r="J1017" s="65" t="s">
        <v>28</v>
      </c>
      <c r="K1017" s="65" t="s">
        <v>4</v>
      </c>
      <c r="L1017" s="67"/>
      <c r="M1017" s="69" t="str">
        <f>IF(Main[[#This Row],[Tech Start Date]]&lt;1/1/1990,"",IF(Main[[#This Row],[Class]]="C",WORKDAY(Main[[#This Row],[Tech Start Date]],9),IF(Main[[#This Row],[Class]]="B", WORKDAY(Main[[#This Row],[Tech Start Date]],6),IF(Main[[#This Row],[Class]]="A",WORKDAY(Main[[#This Row],[Tech Start Date]],2),""))))</f>
        <v/>
      </c>
      <c r="N1017" s="69" t="str">
        <f>IF(Main[[#This Row],[Tech Start Date]]&lt;1/1/1990,"",IF(Main[[#This Row],[Class]]="C",WORKDAY(Main[[#This Row],[Tech Start Date]],19),IF(Main[[#This Row],[Class]]="B", WORKDAY(Main[[#This Row],[Tech Start Date]],12),IF(Main[[#This Row],[Class]]="A",WORKDAY(Main[[#This Row],[Tech Start Date]],4),""))))</f>
        <v/>
      </c>
      <c r="O1017" s="69" t="str">
        <f>IF(Main[[#This Row],[Tech Start Date]]&lt;1/1/1990,"",IF(Main[[#This Row],[Class]]="C",WORKDAY(Main[[#This Row],[Tech Start Date]],23),IF(Main[[#This Row],[Class]]="B", WORKDAY(Main[[#This Row],[Tech Start Date]],15),IF(Main[[#This Row],[Class]]="A",WORKDAY(Main[[#This Row],[Tech Start Date]],5),""))))</f>
        <v/>
      </c>
      <c r="P1017" s="69" t="str">
        <f>IF(Main[[#This Row],[Tech Start Date]]&lt;1/1/1990,"",IF(Main[[#This Row],[Class]]="C",WORKDAY(Main[[#This Row],[Tech Start Date]],28),IF(Main[[#This Row],[Class]]="B", WORKDAY(Main[[#This Row],[Tech Start Date]],19),IF(Main[[#This Row],[Class]]="A",WORKDAY(Main[[#This Row],[Tech Start Date]],9),""))))</f>
        <v/>
      </c>
      <c r="Q1017" s="67"/>
      <c r="R1017" s="67"/>
      <c r="S1017" s="65" t="s">
        <v>17</v>
      </c>
      <c r="T1017" s="70" t="s">
        <v>4</v>
      </c>
      <c r="U1017" s="65" t="s">
        <v>7</v>
      </c>
      <c r="V1017" s="65" t="s">
        <v>1932</v>
      </c>
      <c r="W1017" s="65" t="s">
        <v>1921</v>
      </c>
      <c r="X1017" s="65" t="s">
        <v>924</v>
      </c>
      <c r="Y1017" s="65" t="s">
        <v>3119</v>
      </c>
      <c r="Z1017" s="65" t="s">
        <v>2214</v>
      </c>
      <c r="AA1017" s="65" t="s">
        <v>3456</v>
      </c>
    </row>
    <row r="1018" spans="1:27" ht="17.45" customHeight="1">
      <c r="A1018" s="131" t="str">
        <f>IF(priority(Main[[#This Row],[Comments]])&lt;&gt;0, priority(Main[[#This Row],[Comments]]),"")</f>
        <v/>
      </c>
      <c r="B1018" s="99" t="s">
        <v>1080</v>
      </c>
      <c r="C1018" s="65" t="s">
        <v>4</v>
      </c>
      <c r="D1018" s="66" t="s">
        <v>2165</v>
      </c>
      <c r="E1018" s="67">
        <v>40696.780057870368</v>
      </c>
      <c r="F1018" s="67"/>
      <c r="G1018" s="64" t="str">
        <f>IF(stdProdLT(Main[[#This Row],[Comments]])=0.1,"N/A",IF(stdProdLT(Main[[#This Row],[Comments]])=0,"",stdProdLT(Main[[#This Row],[Comments]])))</f>
        <v/>
      </c>
      <c r="H1018" s="68" t="str">
        <f>IF(AND(Main[[#This Row],[In Stock Date]]&lt;&gt;"",Main[[#This Row],[Revised Due Date]]&lt;&gt;""),Main[[#This Row],[In Stock Date]]-Main[[#This Row],[Revised Due Date]],"")</f>
        <v/>
      </c>
      <c r="I1018" s="65" t="s">
        <v>489</v>
      </c>
      <c r="J1018" s="65" t="s">
        <v>52</v>
      </c>
      <c r="K1018" s="65" t="s">
        <v>1926</v>
      </c>
      <c r="L1018" s="67"/>
      <c r="M1018" s="69" t="str">
        <f>IF(Main[[#This Row],[Tech Start Date]]&lt;1/1/1990,"",IF(Main[[#This Row],[Class]]="C",WORKDAY(Main[[#This Row],[Tech Start Date]],9),IF(Main[[#This Row],[Class]]="B", WORKDAY(Main[[#This Row],[Tech Start Date]],6),IF(Main[[#This Row],[Class]]="A",WORKDAY(Main[[#This Row],[Tech Start Date]],2),""))))</f>
        <v/>
      </c>
      <c r="N1018" s="69" t="str">
        <f>IF(Main[[#This Row],[Tech Start Date]]&lt;1/1/1990,"",IF(Main[[#This Row],[Class]]="C",WORKDAY(Main[[#This Row],[Tech Start Date]],19),IF(Main[[#This Row],[Class]]="B", WORKDAY(Main[[#This Row],[Tech Start Date]],12),IF(Main[[#This Row],[Class]]="A",WORKDAY(Main[[#This Row],[Tech Start Date]],4),""))))</f>
        <v/>
      </c>
      <c r="O1018" s="69" t="str">
        <f>IF(Main[[#This Row],[Tech Start Date]]&lt;1/1/1990,"",IF(Main[[#This Row],[Class]]="C",WORKDAY(Main[[#This Row],[Tech Start Date]],23),IF(Main[[#This Row],[Class]]="B", WORKDAY(Main[[#This Row],[Tech Start Date]],15),IF(Main[[#This Row],[Class]]="A",WORKDAY(Main[[#This Row],[Tech Start Date]],5),""))))</f>
        <v/>
      </c>
      <c r="P1018" s="69" t="str">
        <f>IF(Main[[#This Row],[Tech Start Date]]&lt;1/1/1990,"",IF(Main[[#This Row],[Class]]="C",WORKDAY(Main[[#This Row],[Tech Start Date]],28),IF(Main[[#This Row],[Class]]="B", WORKDAY(Main[[#This Row],[Tech Start Date]],19),IF(Main[[#This Row],[Class]]="A",WORKDAY(Main[[#This Row],[Tech Start Date]],9),""))))</f>
        <v/>
      </c>
      <c r="Q1018" s="67">
        <v>40753</v>
      </c>
      <c r="R1018" s="67"/>
      <c r="S1018" s="65" t="s">
        <v>6</v>
      </c>
      <c r="T1018" s="70" t="s">
        <v>4</v>
      </c>
      <c r="U1018" s="65" t="s">
        <v>29</v>
      </c>
      <c r="V1018" s="65" t="s">
        <v>1927</v>
      </c>
      <c r="W1018" s="65" t="s">
        <v>1921</v>
      </c>
      <c r="X1018" s="65" t="s">
        <v>30</v>
      </c>
      <c r="Y1018" s="65" t="s">
        <v>2963</v>
      </c>
      <c r="Z1018" s="65" t="s">
        <v>44</v>
      </c>
      <c r="AA1018" s="65" t="s">
        <v>30</v>
      </c>
    </row>
    <row r="1019" spans="1:27" ht="17.45" customHeight="1">
      <c r="A1019" s="131" t="str">
        <f>IF(priority(Main[[#This Row],[Comments]])&lt;&gt;0, priority(Main[[#This Row],[Comments]]),"")</f>
        <v/>
      </c>
      <c r="B1019" s="99" t="s">
        <v>1815</v>
      </c>
      <c r="C1019" s="65" t="s">
        <v>67</v>
      </c>
      <c r="D1019" s="66" t="s">
        <v>863</v>
      </c>
      <c r="E1019" s="67">
        <v>39981.506990740738</v>
      </c>
      <c r="F1019" s="67"/>
      <c r="G1019" s="64" t="str">
        <f>IF(stdProdLT(Main[[#This Row],[Comments]])=0.1,"N/A",IF(stdProdLT(Main[[#This Row],[Comments]])=0,"",stdProdLT(Main[[#This Row],[Comments]])))</f>
        <v/>
      </c>
      <c r="H1019" s="68" t="str">
        <f>IF(AND(Main[[#This Row],[In Stock Date]]&lt;&gt;"",Main[[#This Row],[Revised Due Date]]&lt;&gt;""),Main[[#This Row],[In Stock Date]]-Main[[#This Row],[Revised Due Date]],"")</f>
        <v/>
      </c>
      <c r="I1019" s="65" t="s">
        <v>854</v>
      </c>
      <c r="J1019" s="65" t="s">
        <v>4</v>
      </c>
      <c r="K1019" s="65" t="s">
        <v>1930</v>
      </c>
      <c r="L1019" s="67"/>
      <c r="M1019" s="69" t="str">
        <f>IF(Main[[#This Row],[Tech Start Date]]&lt;1/1/1990,"",IF(Main[[#This Row],[Class]]="C",WORKDAY(Main[[#This Row],[Tech Start Date]],9),IF(Main[[#This Row],[Class]]="B", WORKDAY(Main[[#This Row],[Tech Start Date]],6),IF(Main[[#This Row],[Class]]="A",WORKDAY(Main[[#This Row],[Tech Start Date]],2),""))))</f>
        <v/>
      </c>
      <c r="N1019" s="69" t="str">
        <f>IF(Main[[#This Row],[Tech Start Date]]&lt;1/1/1990,"",IF(Main[[#This Row],[Class]]="C",WORKDAY(Main[[#This Row],[Tech Start Date]],19),IF(Main[[#This Row],[Class]]="B", WORKDAY(Main[[#This Row],[Tech Start Date]],12),IF(Main[[#This Row],[Class]]="A",WORKDAY(Main[[#This Row],[Tech Start Date]],4),""))))</f>
        <v/>
      </c>
      <c r="O1019" s="69" t="str">
        <f>IF(Main[[#This Row],[Tech Start Date]]&lt;1/1/1990,"",IF(Main[[#This Row],[Class]]="C",WORKDAY(Main[[#This Row],[Tech Start Date]],23),IF(Main[[#This Row],[Class]]="B", WORKDAY(Main[[#This Row],[Tech Start Date]],15),IF(Main[[#This Row],[Class]]="A",WORKDAY(Main[[#This Row],[Tech Start Date]],5),""))))</f>
        <v/>
      </c>
      <c r="P1019" s="69" t="str">
        <f>IF(Main[[#This Row],[Tech Start Date]]&lt;1/1/1990,"",IF(Main[[#This Row],[Class]]="C",WORKDAY(Main[[#This Row],[Tech Start Date]],28),IF(Main[[#This Row],[Class]]="B", WORKDAY(Main[[#This Row],[Tech Start Date]],19),IF(Main[[#This Row],[Class]]="A",WORKDAY(Main[[#This Row],[Tech Start Date]],9),""))))</f>
        <v/>
      </c>
      <c r="Q1019" s="67">
        <v>40142</v>
      </c>
      <c r="R1019" s="67">
        <v>40259</v>
      </c>
      <c r="S1019" s="65" t="s">
        <v>17</v>
      </c>
      <c r="T1019" s="70" t="s">
        <v>4</v>
      </c>
      <c r="U1019" s="65" t="s">
        <v>29</v>
      </c>
      <c r="V1019" s="65" t="s">
        <v>1927</v>
      </c>
      <c r="W1019" s="65" t="s">
        <v>1922</v>
      </c>
      <c r="X1019" s="65" t="s">
        <v>2826</v>
      </c>
      <c r="Y1019" s="65" t="s">
        <v>3034</v>
      </c>
      <c r="Z1019" s="65" t="s">
        <v>81</v>
      </c>
      <c r="AA1019" s="65" t="s">
        <v>3421</v>
      </c>
    </row>
    <row r="1020" spans="1:27" ht="17.45" customHeight="1">
      <c r="A1020" s="131" t="str">
        <f>IF(priority(Main[[#This Row],[Comments]])&lt;&gt;0, priority(Main[[#This Row],[Comments]]),"")</f>
        <v/>
      </c>
      <c r="B1020" s="99" t="s">
        <v>2257</v>
      </c>
      <c r="C1020" s="65" t="s">
        <v>4</v>
      </c>
      <c r="D1020" s="66" t="s">
        <v>2258</v>
      </c>
      <c r="E1020" s="67">
        <v>40806.34847222222</v>
      </c>
      <c r="F1020" s="67"/>
      <c r="G1020" s="64" t="str">
        <f>IF(stdProdLT(Main[[#This Row],[Comments]])=0.1,"N/A",IF(stdProdLT(Main[[#This Row],[Comments]])=0,"",stdProdLT(Main[[#This Row],[Comments]])))</f>
        <v/>
      </c>
      <c r="H1020" s="68" t="str">
        <f>IF(AND(Main[[#This Row],[In Stock Date]]&lt;&gt;"",Main[[#This Row],[Revised Due Date]]&lt;&gt;""),Main[[#This Row],[In Stock Date]]-Main[[#This Row],[Revised Due Date]],"")</f>
        <v/>
      </c>
      <c r="I1020" s="65" t="s">
        <v>4</v>
      </c>
      <c r="J1020" s="65" t="s">
        <v>4</v>
      </c>
      <c r="K1020" s="65" t="s">
        <v>4</v>
      </c>
      <c r="L1020" s="67"/>
      <c r="M1020" s="69" t="str">
        <f>IF(Main[[#This Row],[Tech Start Date]]&lt;1/1/1990,"",IF(Main[[#This Row],[Class]]="C",WORKDAY(Main[[#This Row],[Tech Start Date]],9),IF(Main[[#This Row],[Class]]="B", WORKDAY(Main[[#This Row],[Tech Start Date]],6),IF(Main[[#This Row],[Class]]="A",WORKDAY(Main[[#This Row],[Tech Start Date]],2),""))))</f>
        <v/>
      </c>
      <c r="N1020" s="69" t="str">
        <f>IF(Main[[#This Row],[Tech Start Date]]&lt;1/1/1990,"",IF(Main[[#This Row],[Class]]="C",WORKDAY(Main[[#This Row],[Tech Start Date]],19),IF(Main[[#This Row],[Class]]="B", WORKDAY(Main[[#This Row],[Tech Start Date]],12),IF(Main[[#This Row],[Class]]="A",WORKDAY(Main[[#This Row],[Tech Start Date]],4),""))))</f>
        <v/>
      </c>
      <c r="O1020" s="69" t="str">
        <f>IF(Main[[#This Row],[Tech Start Date]]&lt;1/1/1990,"",IF(Main[[#This Row],[Class]]="C",WORKDAY(Main[[#This Row],[Tech Start Date]],23),IF(Main[[#This Row],[Class]]="B", WORKDAY(Main[[#This Row],[Tech Start Date]],15),IF(Main[[#This Row],[Class]]="A",WORKDAY(Main[[#This Row],[Tech Start Date]],5),""))))</f>
        <v/>
      </c>
      <c r="P1020" s="69" t="str">
        <f>IF(Main[[#This Row],[Tech Start Date]]&lt;1/1/1990,"",IF(Main[[#This Row],[Class]]="C",WORKDAY(Main[[#This Row],[Tech Start Date]],28),IF(Main[[#This Row],[Class]]="B", WORKDAY(Main[[#This Row],[Tech Start Date]],19),IF(Main[[#This Row],[Class]]="A",WORKDAY(Main[[#This Row],[Tech Start Date]],9),""))))</f>
        <v/>
      </c>
      <c r="Q1020" s="67">
        <v>40820</v>
      </c>
      <c r="R1020" s="67"/>
      <c r="S1020" s="65" t="s">
        <v>6</v>
      </c>
      <c r="T1020" s="70" t="s">
        <v>4</v>
      </c>
      <c r="U1020" s="65" t="s">
        <v>7</v>
      </c>
      <c r="V1020" s="65" t="s">
        <v>1917</v>
      </c>
      <c r="W1020" s="65" t="s">
        <v>4</v>
      </c>
      <c r="X1020" s="65" t="s">
        <v>2857</v>
      </c>
      <c r="Y1020" s="65" t="s">
        <v>2992</v>
      </c>
      <c r="Z1020" s="65" t="s">
        <v>4</v>
      </c>
      <c r="AA1020" s="65" t="s">
        <v>2857</v>
      </c>
    </row>
    <row r="1021" spans="1:27" ht="17.45" customHeight="1">
      <c r="A1021" s="131" t="str">
        <f>IF(priority(Main[[#This Row],[Comments]])&lt;&gt;0, priority(Main[[#This Row],[Comments]]),"")</f>
        <v/>
      </c>
      <c r="B1021" s="99" t="s">
        <v>2124</v>
      </c>
      <c r="C1021" s="65" t="s">
        <v>4</v>
      </c>
      <c r="D1021" s="66" t="s">
        <v>2125</v>
      </c>
      <c r="E1021" s="67">
        <v>40764.689583333333</v>
      </c>
      <c r="F1021" s="67"/>
      <c r="G1021" s="64" t="str">
        <f>IF(stdProdLT(Main[[#This Row],[Comments]])=0.1,"N/A",IF(stdProdLT(Main[[#This Row],[Comments]])=0,"",stdProdLT(Main[[#This Row],[Comments]])))</f>
        <v/>
      </c>
      <c r="H1021" s="68" t="str">
        <f>IF(AND(Main[[#This Row],[In Stock Date]]&lt;&gt;"",Main[[#This Row],[Revised Due Date]]&lt;&gt;""),Main[[#This Row],[In Stock Date]]-Main[[#This Row],[Revised Due Date]],"")</f>
        <v/>
      </c>
      <c r="I1021" s="65" t="s">
        <v>879</v>
      </c>
      <c r="J1021" s="65" t="s">
        <v>4</v>
      </c>
      <c r="K1021" s="71" t="s">
        <v>4</v>
      </c>
      <c r="L1021" s="67"/>
      <c r="M1021" s="69" t="str">
        <f>IF(Main[[#This Row],[Tech Start Date]]&lt;1/1/1990,"",IF(Main[[#This Row],[Class]]="C",WORKDAY(Main[[#This Row],[Tech Start Date]],9),IF(Main[[#This Row],[Class]]="B", WORKDAY(Main[[#This Row],[Tech Start Date]],6),IF(Main[[#This Row],[Class]]="A",WORKDAY(Main[[#This Row],[Tech Start Date]],2),""))))</f>
        <v/>
      </c>
      <c r="N1021" s="69" t="str">
        <f>IF(Main[[#This Row],[Tech Start Date]]&lt;1/1/1990,"",IF(Main[[#This Row],[Class]]="C",WORKDAY(Main[[#This Row],[Tech Start Date]],19),IF(Main[[#This Row],[Class]]="B", WORKDAY(Main[[#This Row],[Tech Start Date]],12),IF(Main[[#This Row],[Class]]="A",WORKDAY(Main[[#This Row],[Tech Start Date]],4),""))))</f>
        <v/>
      </c>
      <c r="O1021" s="69" t="str">
        <f>IF(Main[[#This Row],[Tech Start Date]]&lt;1/1/1990,"",IF(Main[[#This Row],[Class]]="C",WORKDAY(Main[[#This Row],[Tech Start Date]],23),IF(Main[[#This Row],[Class]]="B", WORKDAY(Main[[#This Row],[Tech Start Date]],15),IF(Main[[#This Row],[Class]]="A",WORKDAY(Main[[#This Row],[Tech Start Date]],5),""))))</f>
        <v/>
      </c>
      <c r="P1021" s="69" t="str">
        <f>IF(Main[[#This Row],[Tech Start Date]]&lt;1/1/1990,"",IF(Main[[#This Row],[Class]]="C",WORKDAY(Main[[#This Row],[Tech Start Date]],28),IF(Main[[#This Row],[Class]]="B", WORKDAY(Main[[#This Row],[Tech Start Date]],19),IF(Main[[#This Row],[Class]]="A",WORKDAY(Main[[#This Row],[Tech Start Date]],9),""))))</f>
        <v/>
      </c>
      <c r="Q1021" s="67"/>
      <c r="R1021" s="67"/>
      <c r="S1021" s="65" t="s">
        <v>6</v>
      </c>
      <c r="T1021" s="70" t="s">
        <v>4</v>
      </c>
      <c r="U1021" s="65" t="s">
        <v>7</v>
      </c>
      <c r="V1021" s="65" t="s">
        <v>1917</v>
      </c>
      <c r="W1021" s="65" t="s">
        <v>1919</v>
      </c>
      <c r="X1021" s="65" t="s">
        <v>306</v>
      </c>
      <c r="Y1021" s="65" t="s">
        <v>4</v>
      </c>
      <c r="Z1021" s="65" t="s">
        <v>879</v>
      </c>
      <c r="AA1021" s="65" t="s">
        <v>4</v>
      </c>
    </row>
    <row r="1022" spans="1:27" ht="17.45" customHeight="1">
      <c r="A1022" s="131" t="str">
        <f>IF(priority(Main[[#This Row],[Comments]])&lt;&gt;0, priority(Main[[#This Row],[Comments]]),"")</f>
        <v/>
      </c>
      <c r="B1022" s="99" t="s">
        <v>1078</v>
      </c>
      <c r="C1022" s="65" t="s">
        <v>4</v>
      </c>
      <c r="D1022" s="66" t="s">
        <v>2238</v>
      </c>
      <c r="E1022" s="67">
        <v>40659.528229166666</v>
      </c>
      <c r="F1022" s="67"/>
      <c r="G1022" s="64" t="str">
        <f>IF(stdProdLT(Main[[#This Row],[Comments]])=0.1,"N/A",IF(stdProdLT(Main[[#This Row],[Comments]])=0,"",stdProdLT(Main[[#This Row],[Comments]])))</f>
        <v/>
      </c>
      <c r="H1022" s="68" t="str">
        <f>IF(AND(Main[[#This Row],[In Stock Date]]&lt;&gt;"",Main[[#This Row],[Revised Due Date]]&lt;&gt;""),Main[[#This Row],[In Stock Date]]-Main[[#This Row],[Revised Due Date]],"")</f>
        <v/>
      </c>
      <c r="I1022" s="65" t="s">
        <v>102</v>
      </c>
      <c r="J1022" s="65" t="s">
        <v>51</v>
      </c>
      <c r="K1022" s="65" t="s">
        <v>1926</v>
      </c>
      <c r="L1022" s="67"/>
      <c r="M1022" s="69" t="str">
        <f>IF(Main[[#This Row],[Tech Start Date]]&lt;1/1/1990,"",IF(Main[[#This Row],[Class]]="C",WORKDAY(Main[[#This Row],[Tech Start Date]],9),IF(Main[[#This Row],[Class]]="B", WORKDAY(Main[[#This Row],[Tech Start Date]],6),IF(Main[[#This Row],[Class]]="A",WORKDAY(Main[[#This Row],[Tech Start Date]],2),""))))</f>
        <v/>
      </c>
      <c r="N1022" s="69" t="str">
        <f>IF(Main[[#This Row],[Tech Start Date]]&lt;1/1/1990,"",IF(Main[[#This Row],[Class]]="C",WORKDAY(Main[[#This Row],[Tech Start Date]],19),IF(Main[[#This Row],[Class]]="B", WORKDAY(Main[[#This Row],[Tech Start Date]],12),IF(Main[[#This Row],[Class]]="A",WORKDAY(Main[[#This Row],[Tech Start Date]],4),""))))</f>
        <v/>
      </c>
      <c r="O1022" s="69" t="str">
        <f>IF(Main[[#This Row],[Tech Start Date]]&lt;1/1/1990,"",IF(Main[[#This Row],[Class]]="C",WORKDAY(Main[[#This Row],[Tech Start Date]],23),IF(Main[[#This Row],[Class]]="B", WORKDAY(Main[[#This Row],[Tech Start Date]],15),IF(Main[[#This Row],[Class]]="A",WORKDAY(Main[[#This Row],[Tech Start Date]],5),""))))</f>
        <v/>
      </c>
      <c r="P1022" s="69" t="str">
        <f>IF(Main[[#This Row],[Tech Start Date]]&lt;1/1/1990,"",IF(Main[[#This Row],[Class]]="C",WORKDAY(Main[[#This Row],[Tech Start Date]],28),IF(Main[[#This Row],[Class]]="B", WORKDAY(Main[[#This Row],[Tech Start Date]],19),IF(Main[[#This Row],[Class]]="A",WORKDAY(Main[[#This Row],[Tech Start Date]],9),""))))</f>
        <v/>
      </c>
      <c r="Q1022" s="67"/>
      <c r="R1022" s="67"/>
      <c r="S1022" s="65" t="s">
        <v>6</v>
      </c>
      <c r="T1022" s="70" t="s">
        <v>4</v>
      </c>
      <c r="U1022" s="65" t="s">
        <v>29</v>
      </c>
      <c r="V1022" s="65" t="s">
        <v>1920</v>
      </c>
      <c r="W1022" s="65" t="s">
        <v>1921</v>
      </c>
      <c r="X1022" s="65" t="s">
        <v>102</v>
      </c>
      <c r="Y1022" s="65" t="s">
        <v>3120</v>
      </c>
      <c r="Z1022" s="65" t="s">
        <v>306</v>
      </c>
      <c r="AA1022" s="65" t="s">
        <v>3457</v>
      </c>
    </row>
    <row r="1023" spans="1:27" ht="17.45" customHeight="1">
      <c r="A1023" s="131" t="str">
        <f>IF(priority(Main[[#This Row],[Comments]])&lt;&gt;0, priority(Main[[#This Row],[Comments]]),"")</f>
        <v/>
      </c>
      <c r="B1023" s="99" t="s">
        <v>3260</v>
      </c>
      <c r="C1023" s="65" t="s">
        <v>4</v>
      </c>
      <c r="D1023" s="66" t="s">
        <v>3636</v>
      </c>
      <c r="E1023" s="67">
        <v>40935.463946759257</v>
      </c>
      <c r="F1023" s="67"/>
      <c r="G1023" s="64" t="str">
        <f>IF(stdProdLT(Main[[#This Row],[Comments]])=0.1,"N/A",IF(stdProdLT(Main[[#This Row],[Comments]])=0,"",stdProdLT(Main[[#This Row],[Comments]])))</f>
        <v/>
      </c>
      <c r="H1023" s="68" t="str">
        <f>IF(AND(Main[[#This Row],[In Stock Date]]&lt;&gt;"",Main[[#This Row],[Revised Due Date]]&lt;&gt;""),Main[[#This Row],[In Stock Date]]-Main[[#This Row],[Revised Due Date]],"")</f>
        <v/>
      </c>
      <c r="I1023" s="65" t="s">
        <v>69</v>
      </c>
      <c r="J1023" s="65" t="s">
        <v>70</v>
      </c>
      <c r="K1023" s="65" t="s">
        <v>1926</v>
      </c>
      <c r="L1023" s="67"/>
      <c r="M1023" s="69" t="str">
        <f>IF(Main[[#This Row],[Tech Start Date]]&lt;1/1/1990,"",IF(Main[[#This Row],[Class]]="C",WORKDAY(Main[[#This Row],[Tech Start Date]],9),IF(Main[[#This Row],[Class]]="B", WORKDAY(Main[[#This Row],[Tech Start Date]],6),IF(Main[[#This Row],[Class]]="A",WORKDAY(Main[[#This Row],[Tech Start Date]],2),""))))</f>
        <v/>
      </c>
      <c r="N1023" s="69" t="str">
        <f>IF(Main[[#This Row],[Tech Start Date]]&lt;1/1/1990,"",IF(Main[[#This Row],[Class]]="C",WORKDAY(Main[[#This Row],[Tech Start Date]],19),IF(Main[[#This Row],[Class]]="B", WORKDAY(Main[[#This Row],[Tech Start Date]],12),IF(Main[[#This Row],[Class]]="A",WORKDAY(Main[[#This Row],[Tech Start Date]],4),""))))</f>
        <v/>
      </c>
      <c r="O1023" s="69" t="str">
        <f>IF(Main[[#This Row],[Tech Start Date]]&lt;1/1/1990,"",IF(Main[[#This Row],[Class]]="C",WORKDAY(Main[[#This Row],[Tech Start Date]],23),IF(Main[[#This Row],[Class]]="B", WORKDAY(Main[[#This Row],[Tech Start Date]],15),IF(Main[[#This Row],[Class]]="A",WORKDAY(Main[[#This Row],[Tech Start Date]],5),""))))</f>
        <v/>
      </c>
      <c r="P1023" s="69" t="str">
        <f>IF(Main[[#This Row],[Tech Start Date]]&lt;1/1/1990,"",IF(Main[[#This Row],[Class]]="C",WORKDAY(Main[[#This Row],[Tech Start Date]],28),IF(Main[[#This Row],[Class]]="B", WORKDAY(Main[[#This Row],[Tech Start Date]],19),IF(Main[[#This Row],[Class]]="A",WORKDAY(Main[[#This Row],[Tech Start Date]],9),""))))</f>
        <v/>
      </c>
      <c r="Q1023" s="67">
        <v>40999</v>
      </c>
      <c r="R1023" s="67"/>
      <c r="S1023" s="65" t="s">
        <v>6</v>
      </c>
      <c r="T1023" s="70" t="s">
        <v>4</v>
      </c>
      <c r="U1023" s="65" t="s">
        <v>29</v>
      </c>
      <c r="V1023" s="65" t="s">
        <v>1927</v>
      </c>
      <c r="W1023" s="65" t="s">
        <v>1921</v>
      </c>
      <c r="X1023" s="65" t="s">
        <v>2847</v>
      </c>
      <c r="Y1023" s="65" t="s">
        <v>2977</v>
      </c>
      <c r="Z1023" s="65" t="s">
        <v>30</v>
      </c>
      <c r="AA1023" s="65" t="s">
        <v>2847</v>
      </c>
    </row>
    <row r="1024" spans="1:27" ht="17.45" customHeight="1">
      <c r="A1024" s="131" t="str">
        <f>IF(priority(Main[[#This Row],[Comments]])&lt;&gt;0, priority(Main[[#This Row],[Comments]]),"")</f>
        <v/>
      </c>
      <c r="B1024" s="99" t="s">
        <v>2500</v>
      </c>
      <c r="C1024" s="65" t="s">
        <v>47</v>
      </c>
      <c r="D1024" s="66" t="s">
        <v>3342</v>
      </c>
      <c r="E1024" s="67">
        <v>40865.812858796293</v>
      </c>
      <c r="F1024" s="67"/>
      <c r="G1024" s="64" t="str">
        <f>IF(stdProdLT(Main[[#This Row],[Comments]])=0.1,"N/A",IF(stdProdLT(Main[[#This Row],[Comments]])=0,"",stdProdLT(Main[[#This Row],[Comments]])))</f>
        <v/>
      </c>
      <c r="H1024" s="68" t="str">
        <f>IF(AND(Main[[#This Row],[In Stock Date]]&lt;&gt;"",Main[[#This Row],[Revised Due Date]]&lt;&gt;""),Main[[#This Row],[In Stock Date]]-Main[[#This Row],[Revised Due Date]],"")</f>
        <v/>
      </c>
      <c r="I1024" s="65" t="s">
        <v>4</v>
      </c>
      <c r="J1024" s="65" t="s">
        <v>4</v>
      </c>
      <c r="K1024" s="65" t="s">
        <v>4</v>
      </c>
      <c r="L1024" s="67"/>
      <c r="M1024" s="69" t="str">
        <f>IF(Main[[#This Row],[Tech Start Date]]&lt;1/1/1990,"",IF(Main[[#This Row],[Class]]="C",WORKDAY(Main[[#This Row],[Tech Start Date]],9),IF(Main[[#This Row],[Class]]="B", WORKDAY(Main[[#This Row],[Tech Start Date]],6),IF(Main[[#This Row],[Class]]="A",WORKDAY(Main[[#This Row],[Tech Start Date]],2),""))))</f>
        <v/>
      </c>
      <c r="N1024" s="69" t="str">
        <f>IF(Main[[#This Row],[Tech Start Date]]&lt;1/1/1990,"",IF(Main[[#This Row],[Class]]="C",WORKDAY(Main[[#This Row],[Tech Start Date]],19),IF(Main[[#This Row],[Class]]="B", WORKDAY(Main[[#This Row],[Tech Start Date]],12),IF(Main[[#This Row],[Class]]="A",WORKDAY(Main[[#This Row],[Tech Start Date]],4),""))))</f>
        <v/>
      </c>
      <c r="O1024" s="69" t="str">
        <f>IF(Main[[#This Row],[Tech Start Date]]&lt;1/1/1990,"",IF(Main[[#This Row],[Class]]="C",WORKDAY(Main[[#This Row],[Tech Start Date]],23),IF(Main[[#This Row],[Class]]="B", WORKDAY(Main[[#This Row],[Tech Start Date]],15),IF(Main[[#This Row],[Class]]="A",WORKDAY(Main[[#This Row],[Tech Start Date]],5),""))))</f>
        <v/>
      </c>
      <c r="P1024" s="69" t="str">
        <f>IF(Main[[#This Row],[Tech Start Date]]&lt;1/1/1990,"",IF(Main[[#This Row],[Class]]="C",WORKDAY(Main[[#This Row],[Tech Start Date]],28),IF(Main[[#This Row],[Class]]="B", WORKDAY(Main[[#This Row],[Tech Start Date]],19),IF(Main[[#This Row],[Class]]="A",WORKDAY(Main[[#This Row],[Tech Start Date]],9),""))))</f>
        <v/>
      </c>
      <c r="Q1024" s="67">
        <v>40906</v>
      </c>
      <c r="R1024" s="67"/>
      <c r="S1024" s="65" t="s">
        <v>6</v>
      </c>
      <c r="T1024" s="70" t="s">
        <v>4</v>
      </c>
      <c r="U1024" s="65" t="s">
        <v>29</v>
      </c>
      <c r="V1024" s="65" t="s">
        <v>2288</v>
      </c>
      <c r="W1024" s="65" t="s">
        <v>4</v>
      </c>
      <c r="X1024" s="65" t="s">
        <v>2871</v>
      </c>
      <c r="Y1024" s="65" t="s">
        <v>3016</v>
      </c>
      <c r="Z1024" s="65" t="s">
        <v>4</v>
      </c>
      <c r="AA1024" s="65" t="s">
        <v>2871</v>
      </c>
    </row>
    <row r="1025" spans="1:27" ht="17.45" customHeight="1">
      <c r="A1025" s="131" t="str">
        <f>IF(priority(Main[[#This Row],[Comments]])&lt;&gt;0, priority(Main[[#This Row],[Comments]]),"")</f>
        <v/>
      </c>
      <c r="B1025" s="99" t="s">
        <v>1515</v>
      </c>
      <c r="C1025" s="65" t="s">
        <v>4</v>
      </c>
      <c r="D1025" s="66" t="s">
        <v>590</v>
      </c>
      <c r="E1025" s="67"/>
      <c r="F1025" s="67"/>
      <c r="G1025" s="64" t="str">
        <f>IF(stdProdLT(Main[[#This Row],[Comments]])=0.1,"N/A",IF(stdProdLT(Main[[#This Row],[Comments]])=0,"",stdProdLT(Main[[#This Row],[Comments]])))</f>
        <v/>
      </c>
      <c r="H1025" s="68" t="str">
        <f>IF(AND(Main[[#This Row],[In Stock Date]]&lt;&gt;"",Main[[#This Row],[Revised Due Date]]&lt;&gt;""),Main[[#This Row],[In Stock Date]]-Main[[#This Row],[Revised Due Date]],"")</f>
        <v/>
      </c>
      <c r="I1025" s="65" t="s">
        <v>306</v>
      </c>
      <c r="J1025" s="65" t="s">
        <v>28</v>
      </c>
      <c r="K1025" s="65" t="s">
        <v>4</v>
      </c>
      <c r="L1025" s="67"/>
      <c r="M1025" s="69" t="str">
        <f>IF(Main[[#This Row],[Tech Start Date]]&lt;1/1/1990,"",IF(Main[[#This Row],[Class]]="C",WORKDAY(Main[[#This Row],[Tech Start Date]],9),IF(Main[[#This Row],[Class]]="B", WORKDAY(Main[[#This Row],[Tech Start Date]],6),IF(Main[[#This Row],[Class]]="A",WORKDAY(Main[[#This Row],[Tech Start Date]],2),""))))</f>
        <v/>
      </c>
      <c r="N1025" s="69" t="str">
        <f>IF(Main[[#This Row],[Tech Start Date]]&lt;1/1/1990,"",IF(Main[[#This Row],[Class]]="C",WORKDAY(Main[[#This Row],[Tech Start Date]],19),IF(Main[[#This Row],[Class]]="B", WORKDAY(Main[[#This Row],[Tech Start Date]],12),IF(Main[[#This Row],[Class]]="A",WORKDAY(Main[[#This Row],[Tech Start Date]],4),""))))</f>
        <v/>
      </c>
      <c r="O1025" s="69" t="str">
        <f>IF(Main[[#This Row],[Tech Start Date]]&lt;1/1/1990,"",IF(Main[[#This Row],[Class]]="C",WORKDAY(Main[[#This Row],[Tech Start Date]],23),IF(Main[[#This Row],[Class]]="B", WORKDAY(Main[[#This Row],[Tech Start Date]],15),IF(Main[[#This Row],[Class]]="A",WORKDAY(Main[[#This Row],[Tech Start Date]],5),""))))</f>
        <v/>
      </c>
      <c r="P1025" s="69" t="str">
        <f>IF(Main[[#This Row],[Tech Start Date]]&lt;1/1/1990,"",IF(Main[[#This Row],[Class]]="C",WORKDAY(Main[[#This Row],[Tech Start Date]],28),IF(Main[[#This Row],[Class]]="B", WORKDAY(Main[[#This Row],[Tech Start Date]],19),IF(Main[[#This Row],[Class]]="A",WORKDAY(Main[[#This Row],[Tech Start Date]],9),""))))</f>
        <v/>
      </c>
      <c r="Q1025" s="67"/>
      <c r="R1025" s="67"/>
      <c r="S1025" s="65" t="s">
        <v>6</v>
      </c>
      <c r="T1025" s="70" t="s">
        <v>4</v>
      </c>
      <c r="U1025" s="65" t="s">
        <v>14</v>
      </c>
      <c r="V1025" s="65" t="s">
        <v>1920</v>
      </c>
      <c r="W1025" s="65" t="s">
        <v>1919</v>
      </c>
      <c r="X1025" s="65" t="s">
        <v>306</v>
      </c>
      <c r="Y1025" s="65" t="s">
        <v>3110</v>
      </c>
      <c r="Z1025" s="65" t="s">
        <v>306</v>
      </c>
      <c r="AA1025" s="65" t="s">
        <v>306</v>
      </c>
    </row>
    <row r="1026" spans="1:27" ht="17.45" customHeight="1">
      <c r="A1026" s="131" t="str">
        <f>IF(priority(Main[[#This Row],[Comments]])&lt;&gt;0, priority(Main[[#This Row],[Comments]]),"")</f>
        <v/>
      </c>
      <c r="B1026" s="99" t="s">
        <v>1770</v>
      </c>
      <c r="C1026" s="65" t="s">
        <v>4</v>
      </c>
      <c r="D1026" s="66" t="s">
        <v>814</v>
      </c>
      <c r="E1026" s="67"/>
      <c r="F1026" s="67"/>
      <c r="G1026" s="64" t="str">
        <f>IF(stdProdLT(Main[[#This Row],[Comments]])=0.1,"N/A",IF(stdProdLT(Main[[#This Row],[Comments]])=0,"",stdProdLT(Main[[#This Row],[Comments]])))</f>
        <v/>
      </c>
      <c r="H1026" s="68" t="str">
        <f>IF(AND(Main[[#This Row],[In Stock Date]]&lt;&gt;"",Main[[#This Row],[Revised Due Date]]&lt;&gt;""),Main[[#This Row],[In Stock Date]]-Main[[#This Row],[Revised Due Date]],"")</f>
        <v/>
      </c>
      <c r="I1026" s="65" t="s">
        <v>4</v>
      </c>
      <c r="J1026" s="65" t="s">
        <v>4</v>
      </c>
      <c r="K1026" s="65" t="s">
        <v>4</v>
      </c>
      <c r="L1026" s="67"/>
      <c r="M1026" s="69" t="str">
        <f>IF(Main[[#This Row],[Tech Start Date]]&lt;1/1/1990,"",IF(Main[[#This Row],[Class]]="C",WORKDAY(Main[[#This Row],[Tech Start Date]],9),IF(Main[[#This Row],[Class]]="B", WORKDAY(Main[[#This Row],[Tech Start Date]],6),IF(Main[[#This Row],[Class]]="A",WORKDAY(Main[[#This Row],[Tech Start Date]],2),""))))</f>
        <v/>
      </c>
      <c r="N1026" s="69" t="str">
        <f>IF(Main[[#This Row],[Tech Start Date]]&lt;1/1/1990,"",IF(Main[[#This Row],[Class]]="C",WORKDAY(Main[[#This Row],[Tech Start Date]],19),IF(Main[[#This Row],[Class]]="B", WORKDAY(Main[[#This Row],[Tech Start Date]],12),IF(Main[[#This Row],[Class]]="A",WORKDAY(Main[[#This Row],[Tech Start Date]],4),""))))</f>
        <v/>
      </c>
      <c r="O1026" s="69" t="str">
        <f>IF(Main[[#This Row],[Tech Start Date]]&lt;1/1/1990,"",IF(Main[[#This Row],[Class]]="C",WORKDAY(Main[[#This Row],[Tech Start Date]],23),IF(Main[[#This Row],[Class]]="B", WORKDAY(Main[[#This Row],[Tech Start Date]],15),IF(Main[[#This Row],[Class]]="A",WORKDAY(Main[[#This Row],[Tech Start Date]],5),""))))</f>
        <v/>
      </c>
      <c r="P1026" s="69" t="str">
        <f>IF(Main[[#This Row],[Tech Start Date]]&lt;1/1/1990,"",IF(Main[[#This Row],[Class]]="C",WORKDAY(Main[[#This Row],[Tech Start Date]],28),IF(Main[[#This Row],[Class]]="B", WORKDAY(Main[[#This Row],[Tech Start Date]],19),IF(Main[[#This Row],[Class]]="A",WORKDAY(Main[[#This Row],[Tech Start Date]],9),""))))</f>
        <v/>
      </c>
      <c r="Q1026" s="67">
        <v>40209</v>
      </c>
      <c r="R1026" s="67"/>
      <c r="S1026" s="65" t="s">
        <v>6</v>
      </c>
      <c r="T1026" s="70" t="s">
        <v>4</v>
      </c>
      <c r="U1026" s="65" t="s">
        <v>14</v>
      </c>
      <c r="V1026" s="65" t="s">
        <v>1920</v>
      </c>
      <c r="W1026" s="65" t="s">
        <v>4</v>
      </c>
      <c r="X1026" s="65" t="s">
        <v>2893</v>
      </c>
      <c r="Y1026" s="65" t="s">
        <v>3049</v>
      </c>
      <c r="Z1026" s="65" t="s">
        <v>4</v>
      </c>
      <c r="AA1026" s="65" t="s">
        <v>2893</v>
      </c>
    </row>
    <row r="1027" spans="1:27" ht="17.45" customHeight="1">
      <c r="A1027" s="131" t="str">
        <f>IF(priority(Main[[#This Row],[Comments]])&lt;&gt;0, priority(Main[[#This Row],[Comments]]),"")</f>
        <v/>
      </c>
      <c r="B1027" s="99" t="s">
        <v>1771</v>
      </c>
      <c r="C1027" s="65" t="s">
        <v>815</v>
      </c>
      <c r="D1027" s="66" t="s">
        <v>816</v>
      </c>
      <c r="E1027" s="67"/>
      <c r="F1027" s="67">
        <v>40678</v>
      </c>
      <c r="G1027" s="64" t="str">
        <f>IF(stdProdLT(Main[[#This Row],[Comments]])=0.1,"N/A",IF(stdProdLT(Main[[#This Row],[Comments]])=0,"",stdProdLT(Main[[#This Row],[Comments]])))</f>
        <v/>
      </c>
      <c r="H1027" s="68" t="str">
        <f>IF(AND(Main[[#This Row],[In Stock Date]]&lt;&gt;"",Main[[#This Row],[Revised Due Date]]&lt;&gt;""),Main[[#This Row],[In Stock Date]]-Main[[#This Row],[Revised Due Date]],"")</f>
        <v/>
      </c>
      <c r="I1027" s="65" t="s">
        <v>4</v>
      </c>
      <c r="J1027" s="65" t="s">
        <v>4</v>
      </c>
      <c r="K1027" s="65" t="s">
        <v>4</v>
      </c>
      <c r="L1027" s="67"/>
      <c r="M1027" s="69" t="str">
        <f>IF(Main[[#This Row],[Tech Start Date]]&lt;1/1/1990,"",IF(Main[[#This Row],[Class]]="C",WORKDAY(Main[[#This Row],[Tech Start Date]],9),IF(Main[[#This Row],[Class]]="B", WORKDAY(Main[[#This Row],[Tech Start Date]],6),IF(Main[[#This Row],[Class]]="A",WORKDAY(Main[[#This Row],[Tech Start Date]],2),""))))</f>
        <v/>
      </c>
      <c r="N1027" s="69" t="str">
        <f>IF(Main[[#This Row],[Tech Start Date]]&lt;1/1/1990,"",IF(Main[[#This Row],[Class]]="C",WORKDAY(Main[[#This Row],[Tech Start Date]],19),IF(Main[[#This Row],[Class]]="B", WORKDAY(Main[[#This Row],[Tech Start Date]],12),IF(Main[[#This Row],[Class]]="A",WORKDAY(Main[[#This Row],[Tech Start Date]],4),""))))</f>
        <v/>
      </c>
      <c r="O1027" s="69" t="str">
        <f>IF(Main[[#This Row],[Tech Start Date]]&lt;1/1/1990,"",IF(Main[[#This Row],[Class]]="C",WORKDAY(Main[[#This Row],[Tech Start Date]],23),IF(Main[[#This Row],[Class]]="B", WORKDAY(Main[[#This Row],[Tech Start Date]],15),IF(Main[[#This Row],[Class]]="A",WORKDAY(Main[[#This Row],[Tech Start Date]],5),""))))</f>
        <v/>
      </c>
      <c r="P1027" s="69" t="str">
        <f>IF(Main[[#This Row],[Tech Start Date]]&lt;1/1/1990,"",IF(Main[[#This Row],[Class]]="C",WORKDAY(Main[[#This Row],[Tech Start Date]],28),IF(Main[[#This Row],[Class]]="B", WORKDAY(Main[[#This Row],[Tech Start Date]],19),IF(Main[[#This Row],[Class]]="A",WORKDAY(Main[[#This Row],[Tech Start Date]],9),""))))</f>
        <v/>
      </c>
      <c r="Q1027" s="67">
        <v>40602</v>
      </c>
      <c r="R1027" s="67"/>
      <c r="S1027" s="65" t="s">
        <v>11</v>
      </c>
      <c r="T1027" s="70" t="s">
        <v>4</v>
      </c>
      <c r="U1027" s="65" t="s">
        <v>14</v>
      </c>
      <c r="V1027" s="65" t="s">
        <v>1917</v>
      </c>
      <c r="W1027" s="65" t="s">
        <v>1923</v>
      </c>
      <c r="X1027" s="65" t="s">
        <v>2830</v>
      </c>
      <c r="Y1027" s="65" t="s">
        <v>2949</v>
      </c>
      <c r="Z1027" s="65" t="s">
        <v>4</v>
      </c>
      <c r="AA1027" s="65" t="s">
        <v>2830</v>
      </c>
    </row>
    <row r="1028" spans="1:27" ht="17.45" customHeight="1">
      <c r="A1028" s="131" t="str">
        <f>IF(priority(Main[[#This Row],[Comments]])&lt;&gt;0, priority(Main[[#This Row],[Comments]]),"")</f>
        <v/>
      </c>
      <c r="B1028" s="99" t="s">
        <v>1774</v>
      </c>
      <c r="C1028" s="65" t="s">
        <v>817</v>
      </c>
      <c r="D1028" s="66" t="s">
        <v>818</v>
      </c>
      <c r="E1028" s="67"/>
      <c r="F1028" s="67"/>
      <c r="G1028" s="64" t="str">
        <f>IF(stdProdLT(Main[[#This Row],[Comments]])=0.1,"N/A",IF(stdProdLT(Main[[#This Row],[Comments]])=0,"",stdProdLT(Main[[#This Row],[Comments]])))</f>
        <v/>
      </c>
      <c r="H1028" s="68" t="str">
        <f>IF(AND(Main[[#This Row],[In Stock Date]]&lt;&gt;"",Main[[#This Row],[Revised Due Date]]&lt;&gt;""),Main[[#This Row],[In Stock Date]]-Main[[#This Row],[Revised Due Date]],"")</f>
        <v/>
      </c>
      <c r="I1028" s="65" t="s">
        <v>4</v>
      </c>
      <c r="J1028" s="65" t="s">
        <v>4</v>
      </c>
      <c r="K1028" s="65" t="s">
        <v>4</v>
      </c>
      <c r="L1028" s="67"/>
      <c r="M1028" s="69" t="str">
        <f>IF(Main[[#This Row],[Tech Start Date]]&lt;1/1/1990,"",IF(Main[[#This Row],[Class]]="C",WORKDAY(Main[[#This Row],[Tech Start Date]],9),IF(Main[[#This Row],[Class]]="B", WORKDAY(Main[[#This Row],[Tech Start Date]],6),IF(Main[[#This Row],[Class]]="A",WORKDAY(Main[[#This Row],[Tech Start Date]],2),""))))</f>
        <v/>
      </c>
      <c r="N1028" s="69" t="str">
        <f>IF(Main[[#This Row],[Tech Start Date]]&lt;1/1/1990,"",IF(Main[[#This Row],[Class]]="C",WORKDAY(Main[[#This Row],[Tech Start Date]],19),IF(Main[[#This Row],[Class]]="B", WORKDAY(Main[[#This Row],[Tech Start Date]],12),IF(Main[[#This Row],[Class]]="A",WORKDAY(Main[[#This Row],[Tech Start Date]],4),""))))</f>
        <v/>
      </c>
      <c r="O1028" s="69" t="str">
        <f>IF(Main[[#This Row],[Tech Start Date]]&lt;1/1/1990,"",IF(Main[[#This Row],[Class]]="C",WORKDAY(Main[[#This Row],[Tech Start Date]],23),IF(Main[[#This Row],[Class]]="B", WORKDAY(Main[[#This Row],[Tech Start Date]],15),IF(Main[[#This Row],[Class]]="A",WORKDAY(Main[[#This Row],[Tech Start Date]],5),""))))</f>
        <v/>
      </c>
      <c r="P1028" s="69" t="str">
        <f>IF(Main[[#This Row],[Tech Start Date]]&lt;1/1/1990,"",IF(Main[[#This Row],[Class]]="C",WORKDAY(Main[[#This Row],[Tech Start Date]],28),IF(Main[[#This Row],[Class]]="B", WORKDAY(Main[[#This Row],[Tech Start Date]],19),IF(Main[[#This Row],[Class]]="A",WORKDAY(Main[[#This Row],[Tech Start Date]],9),""))))</f>
        <v/>
      </c>
      <c r="Q1028" s="67">
        <v>40715</v>
      </c>
      <c r="R1028" s="67"/>
      <c r="S1028" s="65" t="s">
        <v>11</v>
      </c>
      <c r="T1028" s="70" t="s">
        <v>4</v>
      </c>
      <c r="U1028" s="65" t="s">
        <v>14</v>
      </c>
      <c r="V1028" s="65" t="s">
        <v>1918</v>
      </c>
      <c r="W1028" s="65" t="s">
        <v>1919</v>
      </c>
      <c r="X1028" s="65" t="s">
        <v>2822</v>
      </c>
      <c r="Y1028" s="65" t="s">
        <v>4</v>
      </c>
      <c r="Z1028" s="65" t="s">
        <v>4</v>
      </c>
      <c r="AA1028" s="65" t="s">
        <v>2822</v>
      </c>
    </row>
    <row r="1029" spans="1:27" ht="17.45" customHeight="1">
      <c r="A1029" s="131" t="str">
        <f>IF(priority(Main[[#This Row],[Comments]])&lt;&gt;0, priority(Main[[#This Row],[Comments]]),"")</f>
        <v/>
      </c>
      <c r="B1029" s="99" t="s">
        <v>2169</v>
      </c>
      <c r="C1029" s="65" t="s">
        <v>2163</v>
      </c>
      <c r="D1029" s="66" t="s">
        <v>2164</v>
      </c>
      <c r="E1029" s="67">
        <v>40781.39603009259</v>
      </c>
      <c r="F1029" s="67"/>
      <c r="G1029" s="64" t="str">
        <f>IF(stdProdLT(Main[[#This Row],[Comments]])=0.1,"N/A",IF(stdProdLT(Main[[#This Row],[Comments]])=0,"",stdProdLT(Main[[#This Row],[Comments]])))</f>
        <v/>
      </c>
      <c r="H1029" s="68" t="str">
        <f>IF(AND(Main[[#This Row],[In Stock Date]]&lt;&gt;"",Main[[#This Row],[Revised Due Date]]&lt;&gt;""),Main[[#This Row],[In Stock Date]]-Main[[#This Row],[Revised Due Date]],"")</f>
        <v/>
      </c>
      <c r="I1029" s="65" t="s">
        <v>69</v>
      </c>
      <c r="J1029" s="65" t="s">
        <v>1981</v>
      </c>
      <c r="K1029" s="65" t="s">
        <v>1926</v>
      </c>
      <c r="L1029" s="67"/>
      <c r="M1029" s="69" t="str">
        <f>IF(Main[[#This Row],[Tech Start Date]]&lt;1/1/1990,"",IF(Main[[#This Row],[Class]]="C",WORKDAY(Main[[#This Row],[Tech Start Date]],9),IF(Main[[#This Row],[Class]]="B", WORKDAY(Main[[#This Row],[Tech Start Date]],6),IF(Main[[#This Row],[Class]]="A",WORKDAY(Main[[#This Row],[Tech Start Date]],2),""))))</f>
        <v/>
      </c>
      <c r="N1029" s="69" t="str">
        <f>IF(Main[[#This Row],[Tech Start Date]]&lt;1/1/1990,"",IF(Main[[#This Row],[Class]]="C",WORKDAY(Main[[#This Row],[Tech Start Date]],19),IF(Main[[#This Row],[Class]]="B", WORKDAY(Main[[#This Row],[Tech Start Date]],12),IF(Main[[#This Row],[Class]]="A",WORKDAY(Main[[#This Row],[Tech Start Date]],4),""))))</f>
        <v/>
      </c>
      <c r="O1029" s="69" t="str">
        <f>IF(Main[[#This Row],[Tech Start Date]]&lt;1/1/1990,"",IF(Main[[#This Row],[Class]]="C",WORKDAY(Main[[#This Row],[Tech Start Date]],23),IF(Main[[#This Row],[Class]]="B", WORKDAY(Main[[#This Row],[Tech Start Date]],15),IF(Main[[#This Row],[Class]]="A",WORKDAY(Main[[#This Row],[Tech Start Date]],5),""))))</f>
        <v/>
      </c>
      <c r="P1029" s="69" t="str">
        <f>IF(Main[[#This Row],[Tech Start Date]]&lt;1/1/1990,"",IF(Main[[#This Row],[Class]]="C",WORKDAY(Main[[#This Row],[Tech Start Date]],28),IF(Main[[#This Row],[Class]]="B", WORKDAY(Main[[#This Row],[Tech Start Date]],19),IF(Main[[#This Row],[Class]]="A",WORKDAY(Main[[#This Row],[Tech Start Date]],9),""))))</f>
        <v/>
      </c>
      <c r="Q1029" s="67">
        <v>40836</v>
      </c>
      <c r="R1029" s="67"/>
      <c r="S1029" s="65" t="s">
        <v>6</v>
      </c>
      <c r="T1029" s="70" t="s">
        <v>4</v>
      </c>
      <c r="U1029" s="65" t="s">
        <v>29</v>
      </c>
      <c r="V1029" s="65" t="s">
        <v>1920</v>
      </c>
      <c r="W1029" s="65" t="s">
        <v>1921</v>
      </c>
      <c r="X1029" s="65" t="s">
        <v>2842</v>
      </c>
      <c r="Y1029" s="65" t="s">
        <v>2971</v>
      </c>
      <c r="Z1029" s="65" t="s">
        <v>30</v>
      </c>
      <c r="AA1029" s="65" t="s">
        <v>2842</v>
      </c>
    </row>
    <row r="1030" spans="1:27" ht="17.45" customHeight="1">
      <c r="A1030" s="131" t="str">
        <f>IF(priority(Main[[#This Row],[Comments]])&lt;&gt;0, priority(Main[[#This Row],[Comments]]),"")</f>
        <v/>
      </c>
      <c r="B1030" s="99" t="s">
        <v>1784</v>
      </c>
      <c r="C1030" s="65" t="s">
        <v>180</v>
      </c>
      <c r="D1030" s="66" t="s">
        <v>825</v>
      </c>
      <c r="E1030" s="67"/>
      <c r="F1030" s="67">
        <v>40389</v>
      </c>
      <c r="G1030" s="64" t="str">
        <f>IF(stdProdLT(Main[[#This Row],[Comments]])=0.1,"N/A",IF(stdProdLT(Main[[#This Row],[Comments]])=0,"",stdProdLT(Main[[#This Row],[Comments]])))</f>
        <v/>
      </c>
      <c r="H1030" s="68" t="str">
        <f>IF(AND(Main[[#This Row],[In Stock Date]]&lt;&gt;"",Main[[#This Row],[Revised Due Date]]&lt;&gt;""),Main[[#This Row],[In Stock Date]]-Main[[#This Row],[Revised Due Date]],"")</f>
        <v/>
      </c>
      <c r="I1030" s="65" t="s">
        <v>4</v>
      </c>
      <c r="J1030" s="65" t="s">
        <v>4</v>
      </c>
      <c r="K1030" s="65" t="s">
        <v>4</v>
      </c>
      <c r="L1030" s="67"/>
      <c r="M1030" s="69" t="str">
        <f>IF(Main[[#This Row],[Tech Start Date]]&lt;1/1/1990,"",IF(Main[[#This Row],[Class]]="C",WORKDAY(Main[[#This Row],[Tech Start Date]],9),IF(Main[[#This Row],[Class]]="B", WORKDAY(Main[[#This Row],[Tech Start Date]],6),IF(Main[[#This Row],[Class]]="A",WORKDAY(Main[[#This Row],[Tech Start Date]],2),""))))</f>
        <v/>
      </c>
      <c r="N1030" s="69" t="str">
        <f>IF(Main[[#This Row],[Tech Start Date]]&lt;1/1/1990,"",IF(Main[[#This Row],[Class]]="C",WORKDAY(Main[[#This Row],[Tech Start Date]],19),IF(Main[[#This Row],[Class]]="B", WORKDAY(Main[[#This Row],[Tech Start Date]],12),IF(Main[[#This Row],[Class]]="A",WORKDAY(Main[[#This Row],[Tech Start Date]],4),""))))</f>
        <v/>
      </c>
      <c r="O1030" s="69" t="str">
        <f>IF(Main[[#This Row],[Tech Start Date]]&lt;1/1/1990,"",IF(Main[[#This Row],[Class]]="C",WORKDAY(Main[[#This Row],[Tech Start Date]],23),IF(Main[[#This Row],[Class]]="B", WORKDAY(Main[[#This Row],[Tech Start Date]],15),IF(Main[[#This Row],[Class]]="A",WORKDAY(Main[[#This Row],[Tech Start Date]],5),""))))</f>
        <v/>
      </c>
      <c r="P1030" s="69" t="str">
        <f>IF(Main[[#This Row],[Tech Start Date]]&lt;1/1/1990,"",IF(Main[[#This Row],[Class]]="C",WORKDAY(Main[[#This Row],[Tech Start Date]],28),IF(Main[[#This Row],[Class]]="B", WORKDAY(Main[[#This Row],[Tech Start Date]],19),IF(Main[[#This Row],[Class]]="A",WORKDAY(Main[[#This Row],[Tech Start Date]],9),""))))</f>
        <v/>
      </c>
      <c r="Q1030" s="67">
        <v>40298</v>
      </c>
      <c r="R1030" s="67"/>
      <c r="S1030" s="65" t="s">
        <v>11</v>
      </c>
      <c r="T1030" s="70" t="s">
        <v>4</v>
      </c>
      <c r="U1030" s="65" t="s">
        <v>14</v>
      </c>
      <c r="V1030" s="65" t="s">
        <v>1917</v>
      </c>
      <c r="W1030" s="65" t="s">
        <v>1923</v>
      </c>
      <c r="X1030" s="65" t="s">
        <v>2830</v>
      </c>
      <c r="Y1030" s="65" t="s">
        <v>2949</v>
      </c>
      <c r="Z1030" s="65" t="s">
        <v>4</v>
      </c>
      <c r="AA1030" s="65" t="s">
        <v>2830</v>
      </c>
    </row>
    <row r="1031" spans="1:27" ht="17.45" customHeight="1">
      <c r="A1031" s="131" t="str">
        <f>IF(priority(Main[[#This Row],[Comments]])&lt;&gt;0, priority(Main[[#This Row],[Comments]]),"")</f>
        <v/>
      </c>
      <c r="B1031" s="99" t="s">
        <v>1785</v>
      </c>
      <c r="C1031" s="65" t="s">
        <v>826</v>
      </c>
      <c r="D1031" s="66" t="s">
        <v>827</v>
      </c>
      <c r="E1031" s="67"/>
      <c r="F1031" s="67"/>
      <c r="G1031" s="64" t="str">
        <f>IF(stdProdLT(Main[[#This Row],[Comments]])=0.1,"N/A",IF(stdProdLT(Main[[#This Row],[Comments]])=0,"",stdProdLT(Main[[#This Row],[Comments]])))</f>
        <v/>
      </c>
      <c r="H1031" s="68" t="str">
        <f>IF(AND(Main[[#This Row],[In Stock Date]]&lt;&gt;"",Main[[#This Row],[Revised Due Date]]&lt;&gt;""),Main[[#This Row],[In Stock Date]]-Main[[#This Row],[Revised Due Date]],"")</f>
        <v/>
      </c>
      <c r="I1031" s="65" t="s">
        <v>4</v>
      </c>
      <c r="J1031" s="65" t="s">
        <v>4</v>
      </c>
      <c r="K1031" s="65" t="s">
        <v>4</v>
      </c>
      <c r="L1031" s="67"/>
      <c r="M1031" s="69" t="str">
        <f>IF(Main[[#This Row],[Tech Start Date]]&lt;1/1/1990,"",IF(Main[[#This Row],[Class]]="C",WORKDAY(Main[[#This Row],[Tech Start Date]],9),IF(Main[[#This Row],[Class]]="B", WORKDAY(Main[[#This Row],[Tech Start Date]],6),IF(Main[[#This Row],[Class]]="A",WORKDAY(Main[[#This Row],[Tech Start Date]],2),""))))</f>
        <v/>
      </c>
      <c r="N1031" s="69" t="str">
        <f>IF(Main[[#This Row],[Tech Start Date]]&lt;1/1/1990,"",IF(Main[[#This Row],[Class]]="C",WORKDAY(Main[[#This Row],[Tech Start Date]],19),IF(Main[[#This Row],[Class]]="B", WORKDAY(Main[[#This Row],[Tech Start Date]],12),IF(Main[[#This Row],[Class]]="A",WORKDAY(Main[[#This Row],[Tech Start Date]],4),""))))</f>
        <v/>
      </c>
      <c r="O1031" s="69" t="str">
        <f>IF(Main[[#This Row],[Tech Start Date]]&lt;1/1/1990,"",IF(Main[[#This Row],[Class]]="C",WORKDAY(Main[[#This Row],[Tech Start Date]],23),IF(Main[[#This Row],[Class]]="B", WORKDAY(Main[[#This Row],[Tech Start Date]],15),IF(Main[[#This Row],[Class]]="A",WORKDAY(Main[[#This Row],[Tech Start Date]],5),""))))</f>
        <v/>
      </c>
      <c r="P1031" s="69" t="str">
        <f>IF(Main[[#This Row],[Tech Start Date]]&lt;1/1/1990,"",IF(Main[[#This Row],[Class]]="C",WORKDAY(Main[[#This Row],[Tech Start Date]],28),IF(Main[[#This Row],[Class]]="B", WORKDAY(Main[[#This Row],[Tech Start Date]],19),IF(Main[[#This Row],[Class]]="A",WORKDAY(Main[[#This Row],[Tech Start Date]],9),""))))</f>
        <v/>
      </c>
      <c r="Q1031" s="67"/>
      <c r="R1031" s="67"/>
      <c r="S1031" s="65" t="s">
        <v>11</v>
      </c>
      <c r="T1031" s="70" t="s">
        <v>4</v>
      </c>
      <c r="U1031" s="65" t="s">
        <v>14</v>
      </c>
      <c r="V1031" s="65" t="s">
        <v>1920</v>
      </c>
      <c r="W1031" s="65" t="s">
        <v>1928</v>
      </c>
      <c r="X1031" s="65" t="s">
        <v>2874</v>
      </c>
      <c r="Y1031" s="65" t="s">
        <v>3018</v>
      </c>
      <c r="Z1031" s="65" t="s">
        <v>4</v>
      </c>
      <c r="AA1031" s="65" t="s">
        <v>3453</v>
      </c>
    </row>
    <row r="1032" spans="1:27" ht="17.45" customHeight="1">
      <c r="A1032" s="131" t="str">
        <f>IF(priority(Main[[#This Row],[Comments]])&lt;&gt;0, priority(Main[[#This Row],[Comments]]),"")</f>
        <v/>
      </c>
      <c r="B1032" s="99" t="s">
        <v>1787</v>
      </c>
      <c r="C1032" s="65" t="s">
        <v>4</v>
      </c>
      <c r="D1032" s="66" t="s">
        <v>830</v>
      </c>
      <c r="E1032" s="67"/>
      <c r="F1032" s="67"/>
      <c r="G1032" s="64" t="str">
        <f>IF(stdProdLT(Main[[#This Row],[Comments]])=0.1,"N/A",IF(stdProdLT(Main[[#This Row],[Comments]])=0,"",stdProdLT(Main[[#This Row],[Comments]])))</f>
        <v/>
      </c>
      <c r="H1032" s="68" t="str">
        <f>IF(AND(Main[[#This Row],[In Stock Date]]&lt;&gt;"",Main[[#This Row],[Revised Due Date]]&lt;&gt;""),Main[[#This Row],[In Stock Date]]-Main[[#This Row],[Revised Due Date]],"")</f>
        <v/>
      </c>
      <c r="I1032" s="65" t="s">
        <v>4</v>
      </c>
      <c r="J1032" s="65" t="s">
        <v>4</v>
      </c>
      <c r="K1032" s="65" t="s">
        <v>4</v>
      </c>
      <c r="L1032" s="67"/>
      <c r="M1032" s="69" t="str">
        <f>IF(Main[[#This Row],[Tech Start Date]]&lt;1/1/1990,"",IF(Main[[#This Row],[Class]]="C",WORKDAY(Main[[#This Row],[Tech Start Date]],9),IF(Main[[#This Row],[Class]]="B", WORKDAY(Main[[#This Row],[Tech Start Date]],6),IF(Main[[#This Row],[Class]]="A",WORKDAY(Main[[#This Row],[Tech Start Date]],2),""))))</f>
        <v/>
      </c>
      <c r="N1032" s="69" t="str">
        <f>IF(Main[[#This Row],[Tech Start Date]]&lt;1/1/1990,"",IF(Main[[#This Row],[Class]]="C",WORKDAY(Main[[#This Row],[Tech Start Date]],19),IF(Main[[#This Row],[Class]]="B", WORKDAY(Main[[#This Row],[Tech Start Date]],12),IF(Main[[#This Row],[Class]]="A",WORKDAY(Main[[#This Row],[Tech Start Date]],4),""))))</f>
        <v/>
      </c>
      <c r="O1032" s="69" t="str">
        <f>IF(Main[[#This Row],[Tech Start Date]]&lt;1/1/1990,"",IF(Main[[#This Row],[Class]]="C",WORKDAY(Main[[#This Row],[Tech Start Date]],23),IF(Main[[#This Row],[Class]]="B", WORKDAY(Main[[#This Row],[Tech Start Date]],15),IF(Main[[#This Row],[Class]]="A",WORKDAY(Main[[#This Row],[Tech Start Date]],5),""))))</f>
        <v/>
      </c>
      <c r="P1032" s="69" t="str">
        <f>IF(Main[[#This Row],[Tech Start Date]]&lt;1/1/1990,"",IF(Main[[#This Row],[Class]]="C",WORKDAY(Main[[#This Row],[Tech Start Date]],28),IF(Main[[#This Row],[Class]]="B", WORKDAY(Main[[#This Row],[Tech Start Date]],19),IF(Main[[#This Row],[Class]]="A",WORKDAY(Main[[#This Row],[Tech Start Date]],9),""))))</f>
        <v/>
      </c>
      <c r="Q1032" s="67"/>
      <c r="R1032" s="67"/>
      <c r="S1032" s="65" t="s">
        <v>11</v>
      </c>
      <c r="T1032" s="70" t="s">
        <v>4</v>
      </c>
      <c r="U1032" s="65" t="s">
        <v>12</v>
      </c>
      <c r="V1032" s="65" t="s">
        <v>1918</v>
      </c>
      <c r="W1032" s="65" t="s">
        <v>1922</v>
      </c>
      <c r="X1032" s="65" t="s">
        <v>971</v>
      </c>
      <c r="Y1032" s="65" t="s">
        <v>3091</v>
      </c>
      <c r="Z1032" s="65" t="s">
        <v>4</v>
      </c>
      <c r="AA1032" s="65" t="s">
        <v>971</v>
      </c>
    </row>
    <row r="1033" spans="1:27" ht="17.45" customHeight="1">
      <c r="A1033" s="131" t="str">
        <f>IF(priority(Main[[#This Row],[Comments]])&lt;&gt;0, priority(Main[[#This Row],[Comments]]),"")</f>
        <v/>
      </c>
      <c r="B1033" s="99" t="s">
        <v>1758</v>
      </c>
      <c r="C1033" s="65" t="s">
        <v>4</v>
      </c>
      <c r="D1033" s="66" t="s">
        <v>805</v>
      </c>
      <c r="E1033" s="67">
        <v>40584.403622685182</v>
      </c>
      <c r="F1033" s="67">
        <v>40602</v>
      </c>
      <c r="G1033" s="64" t="str">
        <f>IF(stdProdLT(Main[[#This Row],[Comments]])=0.1,"N/A",IF(stdProdLT(Main[[#This Row],[Comments]])=0,"",stdProdLT(Main[[#This Row],[Comments]])))</f>
        <v/>
      </c>
      <c r="H1033" s="68" t="str">
        <f>IF(AND(Main[[#This Row],[In Stock Date]]&lt;&gt;"",Main[[#This Row],[Revised Due Date]]&lt;&gt;""),Main[[#This Row],[In Stock Date]]-Main[[#This Row],[Revised Due Date]],"")</f>
        <v/>
      </c>
      <c r="I1033" s="65" t="s">
        <v>4</v>
      </c>
      <c r="J1033" s="65" t="s">
        <v>28</v>
      </c>
      <c r="K1033" s="65" t="s">
        <v>1929</v>
      </c>
      <c r="L1033" s="67"/>
      <c r="M1033" s="69" t="str">
        <f>IF(Main[[#This Row],[Tech Start Date]]&lt;1/1/1990,"",IF(Main[[#This Row],[Class]]="C",WORKDAY(Main[[#This Row],[Tech Start Date]],9),IF(Main[[#This Row],[Class]]="B", WORKDAY(Main[[#This Row],[Tech Start Date]],6),IF(Main[[#This Row],[Class]]="A",WORKDAY(Main[[#This Row],[Tech Start Date]],2),""))))</f>
        <v/>
      </c>
      <c r="N1033" s="69" t="str">
        <f>IF(Main[[#This Row],[Tech Start Date]]&lt;1/1/1990,"",IF(Main[[#This Row],[Class]]="C",WORKDAY(Main[[#This Row],[Tech Start Date]],19),IF(Main[[#This Row],[Class]]="B", WORKDAY(Main[[#This Row],[Tech Start Date]],12),IF(Main[[#This Row],[Class]]="A",WORKDAY(Main[[#This Row],[Tech Start Date]],4),""))))</f>
        <v/>
      </c>
      <c r="O1033" s="69" t="str">
        <f>IF(Main[[#This Row],[Tech Start Date]]&lt;1/1/1990,"",IF(Main[[#This Row],[Class]]="C",WORKDAY(Main[[#This Row],[Tech Start Date]],23),IF(Main[[#This Row],[Class]]="B", WORKDAY(Main[[#This Row],[Tech Start Date]],15),IF(Main[[#This Row],[Class]]="A",WORKDAY(Main[[#This Row],[Tech Start Date]],5),""))))</f>
        <v/>
      </c>
      <c r="P1033" s="69" t="str">
        <f>IF(Main[[#This Row],[Tech Start Date]]&lt;1/1/1990,"",IF(Main[[#This Row],[Class]]="C",WORKDAY(Main[[#This Row],[Tech Start Date]],28),IF(Main[[#This Row],[Class]]="B", WORKDAY(Main[[#This Row],[Tech Start Date]],19),IF(Main[[#This Row],[Class]]="A",WORKDAY(Main[[#This Row],[Tech Start Date]],9),""))))</f>
        <v/>
      </c>
      <c r="Q1033" s="67">
        <v>40602</v>
      </c>
      <c r="R1033" s="67"/>
      <c r="S1033" s="65" t="s">
        <v>17</v>
      </c>
      <c r="T1033" s="70" t="s">
        <v>4</v>
      </c>
      <c r="U1033" s="65" t="s">
        <v>7</v>
      </c>
      <c r="V1033" s="65" t="s">
        <v>1917</v>
      </c>
      <c r="W1033" s="65" t="s">
        <v>1925</v>
      </c>
      <c r="X1033" s="65" t="s">
        <v>2834</v>
      </c>
      <c r="Y1033" s="65" t="s">
        <v>2956</v>
      </c>
      <c r="Z1033" s="65" t="s">
        <v>129</v>
      </c>
      <c r="AA1033" s="65" t="s">
        <v>2834</v>
      </c>
    </row>
    <row r="1034" spans="1:27" ht="17.45" customHeight="1">
      <c r="A1034" s="131" t="str">
        <f>IF(priority(Main[[#This Row],[Comments]])&lt;&gt;0, priority(Main[[#This Row],[Comments]]),"")</f>
        <v/>
      </c>
      <c r="B1034" s="99" t="s">
        <v>1735</v>
      </c>
      <c r="C1034" s="65" t="s">
        <v>4</v>
      </c>
      <c r="D1034" s="66" t="s">
        <v>2233</v>
      </c>
      <c r="E1034" s="67"/>
      <c r="F1034" s="67"/>
      <c r="G1034" s="64" t="str">
        <f>IF(stdProdLT(Main[[#This Row],[Comments]])=0.1,"N/A",IF(stdProdLT(Main[[#This Row],[Comments]])=0,"",stdProdLT(Main[[#This Row],[Comments]])))</f>
        <v/>
      </c>
      <c r="H1034" s="68" t="str">
        <f>IF(AND(Main[[#This Row],[In Stock Date]]&lt;&gt;"",Main[[#This Row],[Revised Due Date]]&lt;&gt;""),Main[[#This Row],[In Stock Date]]-Main[[#This Row],[Revised Due Date]],"")</f>
        <v/>
      </c>
      <c r="I1034" s="65" t="s">
        <v>914</v>
      </c>
      <c r="J1034" s="65" t="s">
        <v>21</v>
      </c>
      <c r="K1034" s="65" t="s">
        <v>1926</v>
      </c>
      <c r="L1034" s="67"/>
      <c r="M1034" s="69" t="str">
        <f>IF(Main[[#This Row],[Tech Start Date]]&lt;1/1/1990,"",IF(Main[[#This Row],[Class]]="C",WORKDAY(Main[[#This Row],[Tech Start Date]],9),IF(Main[[#This Row],[Class]]="B", WORKDAY(Main[[#This Row],[Tech Start Date]],6),IF(Main[[#This Row],[Class]]="A",WORKDAY(Main[[#This Row],[Tech Start Date]],2),""))))</f>
        <v/>
      </c>
      <c r="N1034" s="69" t="str">
        <f>IF(Main[[#This Row],[Tech Start Date]]&lt;1/1/1990,"",IF(Main[[#This Row],[Class]]="C",WORKDAY(Main[[#This Row],[Tech Start Date]],19),IF(Main[[#This Row],[Class]]="B", WORKDAY(Main[[#This Row],[Tech Start Date]],12),IF(Main[[#This Row],[Class]]="A",WORKDAY(Main[[#This Row],[Tech Start Date]],4),""))))</f>
        <v/>
      </c>
      <c r="O1034" s="69" t="str">
        <f>IF(Main[[#This Row],[Tech Start Date]]&lt;1/1/1990,"",IF(Main[[#This Row],[Class]]="C",WORKDAY(Main[[#This Row],[Tech Start Date]],23),IF(Main[[#This Row],[Class]]="B", WORKDAY(Main[[#This Row],[Tech Start Date]],15),IF(Main[[#This Row],[Class]]="A",WORKDAY(Main[[#This Row],[Tech Start Date]],5),""))))</f>
        <v/>
      </c>
      <c r="P1034" s="69" t="str">
        <f>IF(Main[[#This Row],[Tech Start Date]]&lt;1/1/1990,"",IF(Main[[#This Row],[Class]]="C",WORKDAY(Main[[#This Row],[Tech Start Date]],28),IF(Main[[#This Row],[Class]]="B", WORKDAY(Main[[#This Row],[Tech Start Date]],19),IF(Main[[#This Row],[Class]]="A",WORKDAY(Main[[#This Row],[Tech Start Date]],9),""))))</f>
        <v/>
      </c>
      <c r="Q1034" s="67"/>
      <c r="R1034" s="67"/>
      <c r="S1034" s="65" t="s">
        <v>23</v>
      </c>
      <c r="T1034" s="70" t="s">
        <v>4</v>
      </c>
      <c r="U1034" s="65" t="s">
        <v>14</v>
      </c>
      <c r="V1034" s="65" t="s">
        <v>1917</v>
      </c>
      <c r="W1034" s="65" t="s">
        <v>1921</v>
      </c>
      <c r="X1034" s="65" t="s">
        <v>399</v>
      </c>
      <c r="Y1034" s="65" t="s">
        <v>4</v>
      </c>
      <c r="Z1034" s="65" t="s">
        <v>914</v>
      </c>
      <c r="AA1034" s="65" t="s">
        <v>3459</v>
      </c>
    </row>
    <row r="1035" spans="1:27" ht="17.45" customHeight="1">
      <c r="A1035" s="131" t="str">
        <f>IF(priority(Main[[#This Row],[Comments]])&lt;&gt;0, priority(Main[[#This Row],[Comments]]),"")</f>
        <v/>
      </c>
      <c r="B1035" s="99" t="s">
        <v>1403</v>
      </c>
      <c r="C1035" s="65" t="s">
        <v>4</v>
      </c>
      <c r="D1035" s="66" t="s">
        <v>2199</v>
      </c>
      <c r="E1035" s="67"/>
      <c r="F1035" s="67"/>
      <c r="G1035" s="64" t="str">
        <f>IF(stdProdLT(Main[[#This Row],[Comments]])=0.1,"N/A",IF(stdProdLT(Main[[#This Row],[Comments]])=0,"",stdProdLT(Main[[#This Row],[Comments]])))</f>
        <v/>
      </c>
      <c r="H1035" s="68" t="str">
        <f>IF(AND(Main[[#This Row],[In Stock Date]]&lt;&gt;"",Main[[#This Row],[Revised Due Date]]&lt;&gt;""),Main[[#This Row],[In Stock Date]]-Main[[#This Row],[Revised Due Date]],"")</f>
        <v/>
      </c>
      <c r="I1035" s="65" t="s">
        <v>530</v>
      </c>
      <c r="J1035" s="65" t="s">
        <v>52</v>
      </c>
      <c r="K1035" s="65" t="s">
        <v>1926</v>
      </c>
      <c r="L1035" s="67"/>
      <c r="M1035" s="69" t="str">
        <f>IF(Main[[#This Row],[Tech Start Date]]&lt;1/1/1990,"",IF(Main[[#This Row],[Class]]="C",WORKDAY(Main[[#This Row],[Tech Start Date]],9),IF(Main[[#This Row],[Class]]="B", WORKDAY(Main[[#This Row],[Tech Start Date]],6),IF(Main[[#This Row],[Class]]="A",WORKDAY(Main[[#This Row],[Tech Start Date]],2),""))))</f>
        <v/>
      </c>
      <c r="N1035" s="69" t="str">
        <f>IF(Main[[#This Row],[Tech Start Date]]&lt;1/1/1990,"",IF(Main[[#This Row],[Class]]="C",WORKDAY(Main[[#This Row],[Tech Start Date]],19),IF(Main[[#This Row],[Class]]="B", WORKDAY(Main[[#This Row],[Tech Start Date]],12),IF(Main[[#This Row],[Class]]="A",WORKDAY(Main[[#This Row],[Tech Start Date]],4),""))))</f>
        <v/>
      </c>
      <c r="O1035" s="69" t="str">
        <f>IF(Main[[#This Row],[Tech Start Date]]&lt;1/1/1990,"",IF(Main[[#This Row],[Class]]="C",WORKDAY(Main[[#This Row],[Tech Start Date]],23),IF(Main[[#This Row],[Class]]="B", WORKDAY(Main[[#This Row],[Tech Start Date]],15),IF(Main[[#This Row],[Class]]="A",WORKDAY(Main[[#This Row],[Tech Start Date]],5),""))))</f>
        <v/>
      </c>
      <c r="P1035" s="69" t="str">
        <f>IF(Main[[#This Row],[Tech Start Date]]&lt;1/1/1990,"",IF(Main[[#This Row],[Class]]="C",WORKDAY(Main[[#This Row],[Tech Start Date]],28),IF(Main[[#This Row],[Class]]="B", WORKDAY(Main[[#This Row],[Tech Start Date]],19),IF(Main[[#This Row],[Class]]="A",WORKDAY(Main[[#This Row],[Tech Start Date]],9),""))))</f>
        <v/>
      </c>
      <c r="Q1035" s="67">
        <v>40390</v>
      </c>
      <c r="R1035" s="67"/>
      <c r="S1035" s="65" t="s">
        <v>6</v>
      </c>
      <c r="T1035" s="70" t="s">
        <v>4</v>
      </c>
      <c r="U1035" s="65" t="s">
        <v>14</v>
      </c>
      <c r="V1035" s="65" t="s">
        <v>1920</v>
      </c>
      <c r="W1035" s="65" t="s">
        <v>1921</v>
      </c>
      <c r="X1035" s="65" t="s">
        <v>2825</v>
      </c>
      <c r="Y1035" s="65" t="s">
        <v>2938</v>
      </c>
      <c r="Z1035" s="65" t="s">
        <v>44</v>
      </c>
      <c r="AA1035" s="65" t="s">
        <v>2825</v>
      </c>
    </row>
    <row r="1036" spans="1:27" ht="17.45" customHeight="1">
      <c r="A1036" s="131" t="str">
        <f>IF(priority(Main[[#This Row],[Comments]])&lt;&gt;0, priority(Main[[#This Row],[Comments]]),"")</f>
        <v/>
      </c>
      <c r="B1036" s="99" t="s">
        <v>1650</v>
      </c>
      <c r="C1036" s="65" t="s">
        <v>499</v>
      </c>
      <c r="D1036" s="66" t="s">
        <v>2177</v>
      </c>
      <c r="E1036" s="67">
        <v>40655.401631944442</v>
      </c>
      <c r="F1036" s="67"/>
      <c r="G1036" s="64" t="str">
        <f>IF(stdProdLT(Main[[#This Row],[Comments]])=0.1,"N/A",IF(stdProdLT(Main[[#This Row],[Comments]])=0,"",stdProdLT(Main[[#This Row],[Comments]])))</f>
        <v/>
      </c>
      <c r="H1036" s="68" t="str">
        <f>IF(AND(Main[[#This Row],[In Stock Date]]&lt;&gt;"",Main[[#This Row],[Revised Due Date]]&lt;&gt;""),Main[[#This Row],[In Stock Date]]-Main[[#This Row],[Revised Due Date]],"")</f>
        <v/>
      </c>
      <c r="I1036" s="65" t="s">
        <v>50</v>
      </c>
      <c r="J1036" s="65" t="s">
        <v>52</v>
      </c>
      <c r="K1036" s="65" t="s">
        <v>1926</v>
      </c>
      <c r="L1036" s="67"/>
      <c r="M1036" s="69" t="str">
        <f>IF(Main[[#This Row],[Tech Start Date]]&lt;1/1/1990,"",IF(Main[[#This Row],[Class]]="C",WORKDAY(Main[[#This Row],[Tech Start Date]],9),IF(Main[[#This Row],[Class]]="B", WORKDAY(Main[[#This Row],[Tech Start Date]],6),IF(Main[[#This Row],[Class]]="A",WORKDAY(Main[[#This Row],[Tech Start Date]],2),""))))</f>
        <v/>
      </c>
      <c r="N1036" s="69" t="str">
        <f>IF(Main[[#This Row],[Tech Start Date]]&lt;1/1/1990,"",IF(Main[[#This Row],[Class]]="C",WORKDAY(Main[[#This Row],[Tech Start Date]],19),IF(Main[[#This Row],[Class]]="B", WORKDAY(Main[[#This Row],[Tech Start Date]],12),IF(Main[[#This Row],[Class]]="A",WORKDAY(Main[[#This Row],[Tech Start Date]],4),""))))</f>
        <v/>
      </c>
      <c r="O1036" s="69" t="str">
        <f>IF(Main[[#This Row],[Tech Start Date]]&lt;1/1/1990,"",IF(Main[[#This Row],[Class]]="C",WORKDAY(Main[[#This Row],[Tech Start Date]],23),IF(Main[[#This Row],[Class]]="B", WORKDAY(Main[[#This Row],[Tech Start Date]],15),IF(Main[[#This Row],[Class]]="A",WORKDAY(Main[[#This Row],[Tech Start Date]],5),""))))</f>
        <v/>
      </c>
      <c r="P1036" s="69" t="str">
        <f>IF(Main[[#This Row],[Tech Start Date]]&lt;1/1/1990,"",IF(Main[[#This Row],[Class]]="C",WORKDAY(Main[[#This Row],[Tech Start Date]],28),IF(Main[[#This Row],[Class]]="B", WORKDAY(Main[[#This Row],[Tech Start Date]],19),IF(Main[[#This Row],[Class]]="A",WORKDAY(Main[[#This Row],[Tech Start Date]],9),""))))</f>
        <v/>
      </c>
      <c r="Q1036" s="67"/>
      <c r="R1036" s="67"/>
      <c r="S1036" s="65" t="s">
        <v>6</v>
      </c>
      <c r="T1036" s="70" t="s">
        <v>4</v>
      </c>
      <c r="U1036" s="65" t="s">
        <v>534</v>
      </c>
      <c r="V1036" s="65" t="s">
        <v>1917</v>
      </c>
      <c r="W1036" s="65" t="s">
        <v>1923</v>
      </c>
      <c r="X1036" s="65" t="s">
        <v>399</v>
      </c>
      <c r="Y1036" s="65" t="s">
        <v>4</v>
      </c>
      <c r="Z1036" s="65" t="s">
        <v>129</v>
      </c>
      <c r="AA1036" s="65" t="s">
        <v>3460</v>
      </c>
    </row>
    <row r="1037" spans="1:27" ht="17.45" customHeight="1">
      <c r="A1037" s="131" t="str">
        <f>IF(priority(Main[[#This Row],[Comments]])&lt;&gt;0, priority(Main[[#This Row],[Comments]]),"")</f>
        <v/>
      </c>
      <c r="B1037" s="99" t="s">
        <v>1866</v>
      </c>
      <c r="C1037" s="65" t="s">
        <v>4</v>
      </c>
      <c r="D1037" s="66" t="s">
        <v>2678</v>
      </c>
      <c r="E1037" s="67">
        <v>40501.677928240744</v>
      </c>
      <c r="F1037" s="67"/>
      <c r="G1037" s="64" t="str">
        <f>IF(stdProdLT(Main[[#This Row],[Comments]])=0.1,"N/A",IF(stdProdLT(Main[[#This Row],[Comments]])=0,"",stdProdLT(Main[[#This Row],[Comments]])))</f>
        <v/>
      </c>
      <c r="H1037" s="68" t="str">
        <f>IF(AND(Main[[#This Row],[In Stock Date]]&lt;&gt;"",Main[[#This Row],[Revised Due Date]]&lt;&gt;""),Main[[#This Row],[In Stock Date]]-Main[[#This Row],[Revised Due Date]],"")</f>
        <v/>
      </c>
      <c r="I1037" s="65" t="s">
        <v>909</v>
      </c>
      <c r="J1037" s="65" t="s">
        <v>28</v>
      </c>
      <c r="K1037" s="65" t="s">
        <v>1929</v>
      </c>
      <c r="L1037" s="67"/>
      <c r="M1037" s="69" t="str">
        <f>IF(Main[[#This Row],[Tech Start Date]]&lt;1/1/1990,"",IF(Main[[#This Row],[Class]]="C",WORKDAY(Main[[#This Row],[Tech Start Date]],9),IF(Main[[#This Row],[Class]]="B", WORKDAY(Main[[#This Row],[Tech Start Date]],6),IF(Main[[#This Row],[Class]]="A",WORKDAY(Main[[#This Row],[Tech Start Date]],2),""))))</f>
        <v/>
      </c>
      <c r="N1037" s="69" t="str">
        <f>IF(Main[[#This Row],[Tech Start Date]]&lt;1/1/1990,"",IF(Main[[#This Row],[Class]]="C",WORKDAY(Main[[#This Row],[Tech Start Date]],19),IF(Main[[#This Row],[Class]]="B", WORKDAY(Main[[#This Row],[Tech Start Date]],12),IF(Main[[#This Row],[Class]]="A",WORKDAY(Main[[#This Row],[Tech Start Date]],4),""))))</f>
        <v/>
      </c>
      <c r="O1037" s="69" t="str">
        <f>IF(Main[[#This Row],[Tech Start Date]]&lt;1/1/1990,"",IF(Main[[#This Row],[Class]]="C",WORKDAY(Main[[#This Row],[Tech Start Date]],23),IF(Main[[#This Row],[Class]]="B", WORKDAY(Main[[#This Row],[Tech Start Date]],15),IF(Main[[#This Row],[Class]]="A",WORKDAY(Main[[#This Row],[Tech Start Date]],5),""))))</f>
        <v/>
      </c>
      <c r="P1037" s="69" t="str">
        <f>IF(Main[[#This Row],[Tech Start Date]]&lt;1/1/1990,"",IF(Main[[#This Row],[Class]]="C",WORKDAY(Main[[#This Row],[Tech Start Date]],28),IF(Main[[#This Row],[Class]]="B", WORKDAY(Main[[#This Row],[Tech Start Date]],19),IF(Main[[#This Row],[Class]]="A",WORKDAY(Main[[#This Row],[Tech Start Date]],9),""))))</f>
        <v/>
      </c>
      <c r="Q1037" s="67">
        <v>41274</v>
      </c>
      <c r="R1037" s="67">
        <v>41274</v>
      </c>
      <c r="S1037" s="65" t="s">
        <v>17</v>
      </c>
      <c r="T1037" s="70" t="s">
        <v>4</v>
      </c>
      <c r="U1037" s="65" t="s">
        <v>29</v>
      </c>
      <c r="V1037" s="65" t="s">
        <v>1917</v>
      </c>
      <c r="W1037" s="65" t="s">
        <v>1922</v>
      </c>
      <c r="X1037" s="65" t="s">
        <v>909</v>
      </c>
      <c r="Y1037" s="65" t="s">
        <v>4</v>
      </c>
      <c r="Z1037" s="65" t="s">
        <v>129</v>
      </c>
      <c r="AA1037" s="65" t="s">
        <v>2834</v>
      </c>
    </row>
    <row r="1038" spans="1:27" ht="17.45" customHeight="1">
      <c r="A1038" s="131" t="str">
        <f>IF(priority(Main[[#This Row],[Comments]])&lt;&gt;0, priority(Main[[#This Row],[Comments]]),"")</f>
        <v/>
      </c>
      <c r="B1038" s="99" t="s">
        <v>2239</v>
      </c>
      <c r="C1038" s="65" t="s">
        <v>4</v>
      </c>
      <c r="D1038" s="66" t="s">
        <v>2240</v>
      </c>
      <c r="E1038" s="67"/>
      <c r="F1038" s="67"/>
      <c r="G1038" s="64" t="str">
        <f>IF(stdProdLT(Main[[#This Row],[Comments]])=0.1,"N/A",IF(stdProdLT(Main[[#This Row],[Comments]])=0,"",stdProdLT(Main[[#This Row],[Comments]])))</f>
        <v/>
      </c>
      <c r="H1038" s="68" t="str">
        <f>IF(AND(Main[[#This Row],[In Stock Date]]&lt;&gt;"",Main[[#This Row],[Revised Due Date]]&lt;&gt;""),Main[[#This Row],[In Stock Date]]-Main[[#This Row],[Revised Due Date]],"")</f>
        <v/>
      </c>
      <c r="I1038" s="65" t="s">
        <v>4</v>
      </c>
      <c r="J1038" s="65" t="s">
        <v>4</v>
      </c>
      <c r="K1038" s="65" t="s">
        <v>4</v>
      </c>
      <c r="L1038" s="67"/>
      <c r="M1038" s="69" t="str">
        <f>IF(Main[[#This Row],[Tech Start Date]]&lt;1/1/1990,"",IF(Main[[#This Row],[Class]]="C",WORKDAY(Main[[#This Row],[Tech Start Date]],9),IF(Main[[#This Row],[Class]]="B", WORKDAY(Main[[#This Row],[Tech Start Date]],6),IF(Main[[#This Row],[Class]]="A",WORKDAY(Main[[#This Row],[Tech Start Date]],2),""))))</f>
        <v/>
      </c>
      <c r="N1038" s="69" t="str">
        <f>IF(Main[[#This Row],[Tech Start Date]]&lt;1/1/1990,"",IF(Main[[#This Row],[Class]]="C",WORKDAY(Main[[#This Row],[Tech Start Date]],19),IF(Main[[#This Row],[Class]]="B", WORKDAY(Main[[#This Row],[Tech Start Date]],12),IF(Main[[#This Row],[Class]]="A",WORKDAY(Main[[#This Row],[Tech Start Date]],4),""))))</f>
        <v/>
      </c>
      <c r="O1038" s="69" t="str">
        <f>IF(Main[[#This Row],[Tech Start Date]]&lt;1/1/1990,"",IF(Main[[#This Row],[Class]]="C",WORKDAY(Main[[#This Row],[Tech Start Date]],23),IF(Main[[#This Row],[Class]]="B", WORKDAY(Main[[#This Row],[Tech Start Date]],15),IF(Main[[#This Row],[Class]]="A",WORKDAY(Main[[#This Row],[Tech Start Date]],5),""))))</f>
        <v/>
      </c>
      <c r="P1038" s="69" t="str">
        <f>IF(Main[[#This Row],[Tech Start Date]]&lt;1/1/1990,"",IF(Main[[#This Row],[Class]]="C",WORKDAY(Main[[#This Row],[Tech Start Date]],28),IF(Main[[#This Row],[Class]]="B", WORKDAY(Main[[#This Row],[Tech Start Date]],19),IF(Main[[#This Row],[Class]]="A",WORKDAY(Main[[#This Row],[Tech Start Date]],9),""))))</f>
        <v/>
      </c>
      <c r="Q1038" s="67"/>
      <c r="R1038" s="67"/>
      <c r="S1038" s="65" t="s">
        <v>49</v>
      </c>
      <c r="T1038" s="70" t="s">
        <v>4</v>
      </c>
      <c r="U1038" s="65" t="s">
        <v>14</v>
      </c>
      <c r="V1038" s="65" t="s">
        <v>1932</v>
      </c>
      <c r="W1038" s="65" t="s">
        <v>1921</v>
      </c>
      <c r="X1038" s="65" t="s">
        <v>306</v>
      </c>
      <c r="Y1038" s="65" t="s">
        <v>4</v>
      </c>
      <c r="Z1038" s="65" t="s">
        <v>4</v>
      </c>
      <c r="AA1038" s="65" t="s">
        <v>4</v>
      </c>
    </row>
    <row r="1039" spans="1:27" ht="17.45" customHeight="1">
      <c r="A1039" s="131" t="str">
        <f>IF(priority(Main[[#This Row],[Comments]])&lt;&gt;0, priority(Main[[#This Row],[Comments]]),"")</f>
        <v/>
      </c>
      <c r="B1039" s="99" t="s">
        <v>2410</v>
      </c>
      <c r="C1039" s="65" t="s">
        <v>2011</v>
      </c>
      <c r="D1039" s="66" t="s">
        <v>2383</v>
      </c>
      <c r="E1039" s="67"/>
      <c r="F1039" s="67"/>
      <c r="G1039" s="64" t="str">
        <f>IF(stdProdLT(Main[[#This Row],[Comments]])=0.1,"N/A",IF(stdProdLT(Main[[#This Row],[Comments]])=0,"",stdProdLT(Main[[#This Row],[Comments]])))</f>
        <v/>
      </c>
      <c r="H1039" s="68" t="str">
        <f>IF(AND(Main[[#This Row],[In Stock Date]]&lt;&gt;"",Main[[#This Row],[Revised Due Date]]&lt;&gt;""),Main[[#This Row],[In Stock Date]]-Main[[#This Row],[Revised Due Date]],"")</f>
        <v/>
      </c>
      <c r="I1039" s="65" t="s">
        <v>4</v>
      </c>
      <c r="J1039" s="65" t="s">
        <v>4</v>
      </c>
      <c r="K1039" s="71" t="s">
        <v>4</v>
      </c>
      <c r="L1039" s="67"/>
      <c r="M1039" s="69" t="str">
        <f>IF(Main[[#This Row],[Tech Start Date]]&lt;1/1/1990,"",IF(Main[[#This Row],[Class]]="C",WORKDAY(Main[[#This Row],[Tech Start Date]],9),IF(Main[[#This Row],[Class]]="B", WORKDAY(Main[[#This Row],[Tech Start Date]],6),IF(Main[[#This Row],[Class]]="A",WORKDAY(Main[[#This Row],[Tech Start Date]],2),""))))</f>
        <v/>
      </c>
      <c r="N1039" s="69" t="str">
        <f>IF(Main[[#This Row],[Tech Start Date]]&lt;1/1/1990,"",IF(Main[[#This Row],[Class]]="C",WORKDAY(Main[[#This Row],[Tech Start Date]],19),IF(Main[[#This Row],[Class]]="B", WORKDAY(Main[[#This Row],[Tech Start Date]],12),IF(Main[[#This Row],[Class]]="A",WORKDAY(Main[[#This Row],[Tech Start Date]],4),""))))</f>
        <v/>
      </c>
      <c r="O1039" s="69" t="str">
        <f>IF(Main[[#This Row],[Tech Start Date]]&lt;1/1/1990,"",IF(Main[[#This Row],[Class]]="C",WORKDAY(Main[[#This Row],[Tech Start Date]],23),IF(Main[[#This Row],[Class]]="B", WORKDAY(Main[[#This Row],[Tech Start Date]],15),IF(Main[[#This Row],[Class]]="A",WORKDAY(Main[[#This Row],[Tech Start Date]],5),""))))</f>
        <v/>
      </c>
      <c r="P1039" s="69" t="str">
        <f>IF(Main[[#This Row],[Tech Start Date]]&lt;1/1/1990,"",IF(Main[[#This Row],[Class]]="C",WORKDAY(Main[[#This Row],[Tech Start Date]],28),IF(Main[[#This Row],[Class]]="B", WORKDAY(Main[[#This Row],[Tech Start Date]],19),IF(Main[[#This Row],[Class]]="A",WORKDAY(Main[[#This Row],[Tech Start Date]],9),""))))</f>
        <v/>
      </c>
      <c r="Q1039" s="67">
        <v>40908</v>
      </c>
      <c r="R1039" s="67"/>
      <c r="S1039" s="65" t="s">
        <v>11</v>
      </c>
      <c r="T1039" s="70" t="s">
        <v>4</v>
      </c>
      <c r="U1039" s="65" t="s">
        <v>14</v>
      </c>
      <c r="V1039" s="65" t="s">
        <v>1920</v>
      </c>
      <c r="W1039" s="65" t="s">
        <v>1919</v>
      </c>
      <c r="X1039" s="65" t="s">
        <v>554</v>
      </c>
      <c r="Y1039" s="65" t="s">
        <v>2958</v>
      </c>
      <c r="Z1039" s="65" t="s">
        <v>4</v>
      </c>
      <c r="AA1039" s="65" t="s">
        <v>554</v>
      </c>
    </row>
    <row r="1040" spans="1:27" ht="17.45" customHeight="1">
      <c r="A1040" s="131" t="str">
        <f>IF(priority(Main[[#This Row],[Comments]])&lt;&gt;0, priority(Main[[#This Row],[Comments]]),"")</f>
        <v/>
      </c>
      <c r="B1040" s="99" t="s">
        <v>1553</v>
      </c>
      <c r="C1040" s="65" t="s">
        <v>4</v>
      </c>
      <c r="D1040" s="66" t="s">
        <v>635</v>
      </c>
      <c r="E1040" s="67">
        <v>40711.765081018515</v>
      </c>
      <c r="F1040" s="67"/>
      <c r="G1040" s="64" t="str">
        <f>IF(stdProdLT(Main[[#This Row],[Comments]])=0.1,"N/A",IF(stdProdLT(Main[[#This Row],[Comments]])=0,"",stdProdLT(Main[[#This Row],[Comments]])))</f>
        <v/>
      </c>
      <c r="H1040" s="68" t="str">
        <f>IF(AND(Main[[#This Row],[In Stock Date]]&lt;&gt;"",Main[[#This Row],[Revised Due Date]]&lt;&gt;""),Main[[#This Row],[In Stock Date]]-Main[[#This Row],[Revised Due Date]],"")</f>
        <v/>
      </c>
      <c r="I1040" s="65" t="s">
        <v>2056</v>
      </c>
      <c r="J1040" s="65" t="s">
        <v>21</v>
      </c>
      <c r="K1040" s="65" t="s">
        <v>1926</v>
      </c>
      <c r="L1040" s="67"/>
      <c r="M1040" s="69" t="str">
        <f>IF(Main[[#This Row],[Tech Start Date]]&lt;1/1/1990,"",IF(Main[[#This Row],[Class]]="C",WORKDAY(Main[[#This Row],[Tech Start Date]],9),IF(Main[[#This Row],[Class]]="B", WORKDAY(Main[[#This Row],[Tech Start Date]],6),IF(Main[[#This Row],[Class]]="A",WORKDAY(Main[[#This Row],[Tech Start Date]],2),""))))</f>
        <v/>
      </c>
      <c r="N1040" s="69" t="str">
        <f>IF(Main[[#This Row],[Tech Start Date]]&lt;1/1/1990,"",IF(Main[[#This Row],[Class]]="C",WORKDAY(Main[[#This Row],[Tech Start Date]],19),IF(Main[[#This Row],[Class]]="B", WORKDAY(Main[[#This Row],[Tech Start Date]],12),IF(Main[[#This Row],[Class]]="A",WORKDAY(Main[[#This Row],[Tech Start Date]],4),""))))</f>
        <v/>
      </c>
      <c r="O1040" s="69" t="str">
        <f>IF(Main[[#This Row],[Tech Start Date]]&lt;1/1/1990,"",IF(Main[[#This Row],[Class]]="C",WORKDAY(Main[[#This Row],[Tech Start Date]],23),IF(Main[[#This Row],[Class]]="B", WORKDAY(Main[[#This Row],[Tech Start Date]],15),IF(Main[[#This Row],[Class]]="A",WORKDAY(Main[[#This Row],[Tech Start Date]],5),""))))</f>
        <v/>
      </c>
      <c r="P1040" s="69" t="str">
        <f>IF(Main[[#This Row],[Tech Start Date]]&lt;1/1/1990,"",IF(Main[[#This Row],[Class]]="C",WORKDAY(Main[[#This Row],[Tech Start Date]],28),IF(Main[[#This Row],[Class]]="B", WORKDAY(Main[[#This Row],[Tech Start Date]],19),IF(Main[[#This Row],[Class]]="A",WORKDAY(Main[[#This Row],[Tech Start Date]],9),""))))</f>
        <v/>
      </c>
      <c r="Q1040" s="67">
        <v>40732</v>
      </c>
      <c r="R1040" s="67"/>
      <c r="S1040" s="65" t="s">
        <v>6</v>
      </c>
      <c r="T1040" s="70" t="s">
        <v>4</v>
      </c>
      <c r="U1040" s="65" t="s">
        <v>29</v>
      </c>
      <c r="V1040" s="65" t="s">
        <v>1918</v>
      </c>
      <c r="W1040" s="65" t="s">
        <v>1921</v>
      </c>
      <c r="X1040" s="65" t="s">
        <v>30</v>
      </c>
      <c r="Y1040" s="65" t="s">
        <v>3122</v>
      </c>
      <c r="Z1040" s="65" t="s">
        <v>30</v>
      </c>
      <c r="AA1040" s="65" t="s">
        <v>3402</v>
      </c>
    </row>
    <row r="1041" spans="1:27" ht="17.45" customHeight="1">
      <c r="A1041" s="131" t="str">
        <f>IF(priority(Main[[#This Row],[Comments]])&lt;&gt;0, priority(Main[[#This Row],[Comments]]),"")</f>
        <v/>
      </c>
      <c r="B1041" s="99" t="s">
        <v>2285</v>
      </c>
      <c r="C1041" s="65" t="s">
        <v>2283</v>
      </c>
      <c r="D1041" s="66" t="s">
        <v>2286</v>
      </c>
      <c r="E1041" s="67"/>
      <c r="F1041" s="67">
        <v>40907</v>
      </c>
      <c r="G1041" s="64" t="str">
        <f>IF(stdProdLT(Main[[#This Row],[Comments]])=0.1,"N/A",IF(stdProdLT(Main[[#This Row],[Comments]])=0,"",stdProdLT(Main[[#This Row],[Comments]])))</f>
        <v/>
      </c>
      <c r="H1041" s="68" t="str">
        <f>IF(AND(Main[[#This Row],[In Stock Date]]&lt;&gt;"",Main[[#This Row],[Revised Due Date]]&lt;&gt;""),Main[[#This Row],[In Stock Date]]-Main[[#This Row],[Revised Due Date]],"")</f>
        <v/>
      </c>
      <c r="I1041" s="65" t="s">
        <v>4</v>
      </c>
      <c r="J1041" s="65" t="s">
        <v>4</v>
      </c>
      <c r="K1041" s="65" t="s">
        <v>4</v>
      </c>
      <c r="L1041" s="67"/>
      <c r="M1041" s="69" t="str">
        <f>IF(Main[[#This Row],[Tech Start Date]]&lt;1/1/1990,"",IF(Main[[#This Row],[Class]]="C",WORKDAY(Main[[#This Row],[Tech Start Date]],9),IF(Main[[#This Row],[Class]]="B", WORKDAY(Main[[#This Row],[Tech Start Date]],6),IF(Main[[#This Row],[Class]]="A",WORKDAY(Main[[#This Row],[Tech Start Date]],2),""))))</f>
        <v/>
      </c>
      <c r="N1041" s="69" t="str">
        <f>IF(Main[[#This Row],[Tech Start Date]]&lt;1/1/1990,"",IF(Main[[#This Row],[Class]]="C",WORKDAY(Main[[#This Row],[Tech Start Date]],19),IF(Main[[#This Row],[Class]]="B", WORKDAY(Main[[#This Row],[Tech Start Date]],12),IF(Main[[#This Row],[Class]]="A",WORKDAY(Main[[#This Row],[Tech Start Date]],4),""))))</f>
        <v/>
      </c>
      <c r="O1041" s="69" t="str">
        <f>IF(Main[[#This Row],[Tech Start Date]]&lt;1/1/1990,"",IF(Main[[#This Row],[Class]]="C",WORKDAY(Main[[#This Row],[Tech Start Date]],23),IF(Main[[#This Row],[Class]]="B", WORKDAY(Main[[#This Row],[Tech Start Date]],15),IF(Main[[#This Row],[Class]]="A",WORKDAY(Main[[#This Row],[Tech Start Date]],5),""))))</f>
        <v/>
      </c>
      <c r="P1041" s="69" t="str">
        <f>IF(Main[[#This Row],[Tech Start Date]]&lt;1/1/1990,"",IF(Main[[#This Row],[Class]]="C",WORKDAY(Main[[#This Row],[Tech Start Date]],28),IF(Main[[#This Row],[Class]]="B", WORKDAY(Main[[#This Row],[Tech Start Date]],19),IF(Main[[#This Row],[Class]]="A",WORKDAY(Main[[#This Row],[Tech Start Date]],9),""))))</f>
        <v/>
      </c>
      <c r="Q1041" s="67">
        <v>40816</v>
      </c>
      <c r="R1041" s="67"/>
      <c r="S1041" s="65" t="s">
        <v>296</v>
      </c>
      <c r="T1041" s="70" t="s">
        <v>4</v>
      </c>
      <c r="U1041" s="65" t="s">
        <v>14</v>
      </c>
      <c r="V1041" s="65" t="s">
        <v>1927</v>
      </c>
      <c r="W1041" s="65" t="s">
        <v>1925</v>
      </c>
      <c r="X1041" s="65" t="s">
        <v>2916</v>
      </c>
      <c r="Y1041" s="65" t="s">
        <v>3123</v>
      </c>
      <c r="Z1041" s="65" t="s">
        <v>4</v>
      </c>
      <c r="AA1041" s="65" t="s">
        <v>3461</v>
      </c>
    </row>
    <row r="1042" spans="1:27" ht="17.45" customHeight="1">
      <c r="A1042" s="131" t="str">
        <f>IF(priority(Main[[#This Row],[Comments]])&lt;&gt;0, priority(Main[[#This Row],[Comments]]),"")</f>
        <v/>
      </c>
      <c r="B1042" s="99" t="s">
        <v>2279</v>
      </c>
      <c r="C1042" s="65" t="s">
        <v>518</v>
      </c>
      <c r="D1042" s="66" t="s">
        <v>2280</v>
      </c>
      <c r="E1042" s="67"/>
      <c r="F1042" s="67">
        <v>40854</v>
      </c>
      <c r="G1042" s="64" t="str">
        <f>IF(stdProdLT(Main[[#This Row],[Comments]])=0.1,"N/A",IF(stdProdLT(Main[[#This Row],[Comments]])=0,"",stdProdLT(Main[[#This Row],[Comments]])))</f>
        <v/>
      </c>
      <c r="H1042" s="68" t="str">
        <f>IF(AND(Main[[#This Row],[In Stock Date]]&lt;&gt;"",Main[[#This Row],[Revised Due Date]]&lt;&gt;""),Main[[#This Row],[In Stock Date]]-Main[[#This Row],[Revised Due Date]],"")</f>
        <v/>
      </c>
      <c r="I1042" s="65" t="s">
        <v>4</v>
      </c>
      <c r="J1042" s="65" t="s">
        <v>4</v>
      </c>
      <c r="K1042" s="65" t="s">
        <v>4</v>
      </c>
      <c r="L1042" s="67"/>
      <c r="M1042" s="69" t="str">
        <f>IF(Main[[#This Row],[Tech Start Date]]&lt;1/1/1990,"",IF(Main[[#This Row],[Class]]="C",WORKDAY(Main[[#This Row],[Tech Start Date]],9),IF(Main[[#This Row],[Class]]="B", WORKDAY(Main[[#This Row],[Tech Start Date]],6),IF(Main[[#This Row],[Class]]="A",WORKDAY(Main[[#This Row],[Tech Start Date]],2),""))))</f>
        <v/>
      </c>
      <c r="N1042" s="69" t="str">
        <f>IF(Main[[#This Row],[Tech Start Date]]&lt;1/1/1990,"",IF(Main[[#This Row],[Class]]="C",WORKDAY(Main[[#This Row],[Tech Start Date]],19),IF(Main[[#This Row],[Class]]="B", WORKDAY(Main[[#This Row],[Tech Start Date]],12),IF(Main[[#This Row],[Class]]="A",WORKDAY(Main[[#This Row],[Tech Start Date]],4),""))))</f>
        <v/>
      </c>
      <c r="O1042" s="69" t="str">
        <f>IF(Main[[#This Row],[Tech Start Date]]&lt;1/1/1990,"",IF(Main[[#This Row],[Class]]="C",WORKDAY(Main[[#This Row],[Tech Start Date]],23),IF(Main[[#This Row],[Class]]="B", WORKDAY(Main[[#This Row],[Tech Start Date]],15),IF(Main[[#This Row],[Class]]="A",WORKDAY(Main[[#This Row],[Tech Start Date]],5),""))))</f>
        <v/>
      </c>
      <c r="P1042" s="69" t="str">
        <f>IF(Main[[#This Row],[Tech Start Date]]&lt;1/1/1990,"",IF(Main[[#This Row],[Class]]="C",WORKDAY(Main[[#This Row],[Tech Start Date]],28),IF(Main[[#This Row],[Class]]="B", WORKDAY(Main[[#This Row],[Tech Start Date]],19),IF(Main[[#This Row],[Class]]="A",WORKDAY(Main[[#This Row],[Tech Start Date]],9),""))))</f>
        <v/>
      </c>
      <c r="Q1042" s="67">
        <v>40816</v>
      </c>
      <c r="R1042" s="67"/>
      <c r="S1042" s="65" t="s">
        <v>296</v>
      </c>
      <c r="T1042" s="70" t="s">
        <v>4</v>
      </c>
      <c r="U1042" s="65" t="s">
        <v>14</v>
      </c>
      <c r="V1042" s="65" t="s">
        <v>1927</v>
      </c>
      <c r="W1042" s="65" t="s">
        <v>1925</v>
      </c>
      <c r="X1042" s="65" t="s">
        <v>2916</v>
      </c>
      <c r="Y1042" s="65" t="s">
        <v>3124</v>
      </c>
      <c r="Z1042" s="65" t="s">
        <v>4</v>
      </c>
      <c r="AA1042" s="65" t="s">
        <v>3461</v>
      </c>
    </row>
    <row r="1043" spans="1:27" ht="17.45" customHeight="1">
      <c r="A1043" s="131" t="str">
        <f>IF(priority(Main[[#This Row],[Comments]])&lt;&gt;0, priority(Main[[#This Row],[Comments]]),"")</f>
        <v/>
      </c>
      <c r="B1043" s="99" t="s">
        <v>2241</v>
      </c>
      <c r="C1043" s="65" t="s">
        <v>4</v>
      </c>
      <c r="D1043" s="66" t="s">
        <v>2242</v>
      </c>
      <c r="E1043" s="67"/>
      <c r="F1043" s="67"/>
      <c r="G1043" s="64" t="str">
        <f>IF(stdProdLT(Main[[#This Row],[Comments]])=0.1,"N/A",IF(stdProdLT(Main[[#This Row],[Comments]])=0,"",stdProdLT(Main[[#This Row],[Comments]])))</f>
        <v/>
      </c>
      <c r="H1043" s="68" t="str">
        <f>IF(AND(Main[[#This Row],[In Stock Date]]&lt;&gt;"",Main[[#This Row],[Revised Due Date]]&lt;&gt;""),Main[[#This Row],[In Stock Date]]-Main[[#This Row],[Revised Due Date]],"")</f>
        <v/>
      </c>
      <c r="I1043" s="65" t="s">
        <v>4</v>
      </c>
      <c r="J1043" s="65" t="s">
        <v>4</v>
      </c>
      <c r="K1043" s="65" t="s">
        <v>4</v>
      </c>
      <c r="L1043" s="67"/>
      <c r="M1043" s="69" t="str">
        <f>IF(Main[[#This Row],[Tech Start Date]]&lt;1/1/1990,"",IF(Main[[#This Row],[Class]]="C",WORKDAY(Main[[#This Row],[Tech Start Date]],9),IF(Main[[#This Row],[Class]]="B", WORKDAY(Main[[#This Row],[Tech Start Date]],6),IF(Main[[#This Row],[Class]]="A",WORKDAY(Main[[#This Row],[Tech Start Date]],2),""))))</f>
        <v/>
      </c>
      <c r="N1043" s="69" t="str">
        <f>IF(Main[[#This Row],[Tech Start Date]]&lt;1/1/1990,"",IF(Main[[#This Row],[Class]]="C",WORKDAY(Main[[#This Row],[Tech Start Date]],19),IF(Main[[#This Row],[Class]]="B", WORKDAY(Main[[#This Row],[Tech Start Date]],12),IF(Main[[#This Row],[Class]]="A",WORKDAY(Main[[#This Row],[Tech Start Date]],4),""))))</f>
        <v/>
      </c>
      <c r="O1043" s="69" t="str">
        <f>IF(Main[[#This Row],[Tech Start Date]]&lt;1/1/1990,"",IF(Main[[#This Row],[Class]]="C",WORKDAY(Main[[#This Row],[Tech Start Date]],23),IF(Main[[#This Row],[Class]]="B", WORKDAY(Main[[#This Row],[Tech Start Date]],15),IF(Main[[#This Row],[Class]]="A",WORKDAY(Main[[#This Row],[Tech Start Date]],5),""))))</f>
        <v/>
      </c>
      <c r="P1043" s="69" t="str">
        <f>IF(Main[[#This Row],[Tech Start Date]]&lt;1/1/1990,"",IF(Main[[#This Row],[Class]]="C",WORKDAY(Main[[#This Row],[Tech Start Date]],28),IF(Main[[#This Row],[Class]]="B", WORKDAY(Main[[#This Row],[Tech Start Date]],19),IF(Main[[#This Row],[Class]]="A",WORKDAY(Main[[#This Row],[Tech Start Date]],9),""))))</f>
        <v/>
      </c>
      <c r="Q1043" s="67"/>
      <c r="R1043" s="67"/>
      <c r="S1043" s="65" t="s">
        <v>49</v>
      </c>
      <c r="T1043" s="70" t="s">
        <v>4</v>
      </c>
      <c r="U1043" s="65" t="s">
        <v>14</v>
      </c>
      <c r="V1043" s="65" t="s">
        <v>1917</v>
      </c>
      <c r="W1043" s="65" t="s">
        <v>1921</v>
      </c>
      <c r="X1043" s="65" t="s">
        <v>306</v>
      </c>
      <c r="Y1043" s="65" t="s">
        <v>4</v>
      </c>
      <c r="Z1043" s="65" t="s">
        <v>4</v>
      </c>
      <c r="AA1043" s="65" t="s">
        <v>4</v>
      </c>
    </row>
    <row r="1044" spans="1:27" ht="17.45" customHeight="1">
      <c r="A1044" s="131" t="str">
        <f>IF(priority(Main[[#This Row],[Comments]])&lt;&gt;0, priority(Main[[#This Row],[Comments]]),"")</f>
        <v/>
      </c>
      <c r="B1044" s="99" t="s">
        <v>1348</v>
      </c>
      <c r="C1044" s="65" t="s">
        <v>433</v>
      </c>
      <c r="D1044" s="66" t="s">
        <v>434</v>
      </c>
      <c r="E1044" s="67">
        <v>40505.653032407405</v>
      </c>
      <c r="F1044" s="67"/>
      <c r="G1044" s="64" t="str">
        <f>IF(stdProdLT(Main[[#This Row],[Comments]])=0.1,"N/A",IF(stdProdLT(Main[[#This Row],[Comments]])=0,"",stdProdLT(Main[[#This Row],[Comments]])))</f>
        <v/>
      </c>
      <c r="H1044" s="68" t="str">
        <f>IF(AND(Main[[#This Row],[In Stock Date]]&lt;&gt;"",Main[[#This Row],[Revised Due Date]]&lt;&gt;""),Main[[#This Row],[In Stock Date]]-Main[[#This Row],[Revised Due Date]],"")</f>
        <v/>
      </c>
      <c r="I1044" s="65" t="s">
        <v>30</v>
      </c>
      <c r="J1044" s="65" t="s">
        <v>28</v>
      </c>
      <c r="K1044" s="65" t="s">
        <v>1929</v>
      </c>
      <c r="L1044" s="67"/>
      <c r="M1044" s="69" t="str">
        <f>IF(Main[[#This Row],[Tech Start Date]]&lt;1/1/1990,"",IF(Main[[#This Row],[Class]]="C",WORKDAY(Main[[#This Row],[Tech Start Date]],9),IF(Main[[#This Row],[Class]]="B", WORKDAY(Main[[#This Row],[Tech Start Date]],6),IF(Main[[#This Row],[Class]]="A",WORKDAY(Main[[#This Row],[Tech Start Date]],2),""))))</f>
        <v/>
      </c>
      <c r="N1044" s="69" t="str">
        <f>IF(Main[[#This Row],[Tech Start Date]]&lt;1/1/1990,"",IF(Main[[#This Row],[Class]]="C",WORKDAY(Main[[#This Row],[Tech Start Date]],19),IF(Main[[#This Row],[Class]]="B", WORKDAY(Main[[#This Row],[Tech Start Date]],12),IF(Main[[#This Row],[Class]]="A",WORKDAY(Main[[#This Row],[Tech Start Date]],4),""))))</f>
        <v/>
      </c>
      <c r="O1044" s="69" t="str">
        <f>IF(Main[[#This Row],[Tech Start Date]]&lt;1/1/1990,"",IF(Main[[#This Row],[Class]]="C",WORKDAY(Main[[#This Row],[Tech Start Date]],23),IF(Main[[#This Row],[Class]]="B", WORKDAY(Main[[#This Row],[Tech Start Date]],15),IF(Main[[#This Row],[Class]]="A",WORKDAY(Main[[#This Row],[Tech Start Date]],5),""))))</f>
        <v/>
      </c>
      <c r="P1044" s="69" t="str">
        <f>IF(Main[[#This Row],[Tech Start Date]]&lt;1/1/1990,"",IF(Main[[#This Row],[Class]]="C",WORKDAY(Main[[#This Row],[Tech Start Date]],28),IF(Main[[#This Row],[Class]]="B", WORKDAY(Main[[#This Row],[Tech Start Date]],19),IF(Main[[#This Row],[Class]]="A",WORKDAY(Main[[#This Row],[Tech Start Date]],9),""))))</f>
        <v/>
      </c>
      <c r="Q1044" s="67">
        <v>40620</v>
      </c>
      <c r="R1044" s="67"/>
      <c r="S1044" s="65" t="s">
        <v>17</v>
      </c>
      <c r="T1044" s="70" t="s">
        <v>4</v>
      </c>
      <c r="U1044" s="65" t="s">
        <v>29</v>
      </c>
      <c r="V1044" s="65" t="s">
        <v>1920</v>
      </c>
      <c r="W1044" s="65" t="s">
        <v>1922</v>
      </c>
      <c r="X1044" s="65" t="s">
        <v>767</v>
      </c>
      <c r="Y1044" s="65" t="s">
        <v>3125</v>
      </c>
      <c r="Z1044" s="65" t="s">
        <v>30</v>
      </c>
      <c r="AA1044" s="65" t="s">
        <v>3462</v>
      </c>
    </row>
    <row r="1045" spans="1:27" ht="17.45" customHeight="1">
      <c r="A1045" s="131" t="str">
        <f>IF(priority(Main[[#This Row],[Comments]])&lt;&gt;0, priority(Main[[#This Row],[Comments]]),"")</f>
        <v/>
      </c>
      <c r="B1045" s="99" t="s">
        <v>1475</v>
      </c>
      <c r="C1045" s="65" t="s">
        <v>4</v>
      </c>
      <c r="D1045" s="66" t="s">
        <v>2412</v>
      </c>
      <c r="E1045" s="67">
        <v>40627.399282407408</v>
      </c>
      <c r="F1045" s="67"/>
      <c r="G1045" s="64" t="str">
        <f>IF(stdProdLT(Main[[#This Row],[Comments]])=0.1,"N/A",IF(stdProdLT(Main[[#This Row],[Comments]])=0,"",stdProdLT(Main[[#This Row],[Comments]])))</f>
        <v/>
      </c>
      <c r="H1045" s="68" t="str">
        <f>IF(AND(Main[[#This Row],[In Stock Date]]&lt;&gt;"",Main[[#This Row],[Revised Due Date]]&lt;&gt;""),Main[[#This Row],[In Stock Date]]-Main[[#This Row],[Revised Due Date]],"")</f>
        <v/>
      </c>
      <c r="I1045" s="65" t="s">
        <v>914</v>
      </c>
      <c r="J1045" s="65" t="s">
        <v>52</v>
      </c>
      <c r="K1045" s="65" t="s">
        <v>1926</v>
      </c>
      <c r="L1045" s="67"/>
      <c r="M1045" s="69" t="str">
        <f>IF(Main[[#This Row],[Tech Start Date]]&lt;1/1/1990,"",IF(Main[[#This Row],[Class]]="C",WORKDAY(Main[[#This Row],[Tech Start Date]],9),IF(Main[[#This Row],[Class]]="B", WORKDAY(Main[[#This Row],[Tech Start Date]],6),IF(Main[[#This Row],[Class]]="A",WORKDAY(Main[[#This Row],[Tech Start Date]],2),""))))</f>
        <v/>
      </c>
      <c r="N1045" s="69" t="str">
        <f>IF(Main[[#This Row],[Tech Start Date]]&lt;1/1/1990,"",IF(Main[[#This Row],[Class]]="C",WORKDAY(Main[[#This Row],[Tech Start Date]],19),IF(Main[[#This Row],[Class]]="B", WORKDAY(Main[[#This Row],[Tech Start Date]],12),IF(Main[[#This Row],[Class]]="A",WORKDAY(Main[[#This Row],[Tech Start Date]],4),""))))</f>
        <v/>
      </c>
      <c r="O1045" s="69" t="str">
        <f>IF(Main[[#This Row],[Tech Start Date]]&lt;1/1/1990,"",IF(Main[[#This Row],[Class]]="C",WORKDAY(Main[[#This Row],[Tech Start Date]],23),IF(Main[[#This Row],[Class]]="B", WORKDAY(Main[[#This Row],[Tech Start Date]],15),IF(Main[[#This Row],[Class]]="A",WORKDAY(Main[[#This Row],[Tech Start Date]],5),""))))</f>
        <v/>
      </c>
      <c r="P1045" s="69" t="str">
        <f>IF(Main[[#This Row],[Tech Start Date]]&lt;1/1/1990,"",IF(Main[[#This Row],[Class]]="C",WORKDAY(Main[[#This Row],[Tech Start Date]],28),IF(Main[[#This Row],[Class]]="B", WORKDAY(Main[[#This Row],[Tech Start Date]],19),IF(Main[[#This Row],[Class]]="A",WORKDAY(Main[[#This Row],[Tech Start Date]],9),""))))</f>
        <v/>
      </c>
      <c r="Q1045" s="67">
        <v>40632</v>
      </c>
      <c r="R1045" s="67"/>
      <c r="S1045" s="65" t="s">
        <v>6</v>
      </c>
      <c r="T1045" s="70" t="s">
        <v>4</v>
      </c>
      <c r="U1045" s="65" t="s">
        <v>29</v>
      </c>
      <c r="V1045" s="65" t="s">
        <v>1917</v>
      </c>
      <c r="W1045" s="65" t="s">
        <v>1921</v>
      </c>
      <c r="X1045" s="65" t="s">
        <v>939</v>
      </c>
      <c r="Y1045" s="65" t="s">
        <v>2990</v>
      </c>
      <c r="Z1045" s="65" t="s">
        <v>129</v>
      </c>
      <c r="AA1045" s="65" t="s">
        <v>939</v>
      </c>
    </row>
    <row r="1046" spans="1:27" ht="17.45" customHeight="1">
      <c r="A1046" s="131" t="str">
        <f>IF(priority(Main[[#This Row],[Comments]])&lt;&gt;0, priority(Main[[#This Row],[Comments]]),"")</f>
        <v/>
      </c>
      <c r="B1046" s="99" t="s">
        <v>1385</v>
      </c>
      <c r="C1046" s="65" t="s">
        <v>4</v>
      </c>
      <c r="D1046" s="66" t="s">
        <v>2413</v>
      </c>
      <c r="E1046" s="67">
        <v>40555.34138888889</v>
      </c>
      <c r="F1046" s="67">
        <v>40592</v>
      </c>
      <c r="G1046" s="64" t="str">
        <f>IF(stdProdLT(Main[[#This Row],[Comments]])=0.1,"N/A",IF(stdProdLT(Main[[#This Row],[Comments]])=0,"",stdProdLT(Main[[#This Row],[Comments]])))</f>
        <v/>
      </c>
      <c r="H1046" s="68" t="str">
        <f>IF(AND(Main[[#This Row],[In Stock Date]]&lt;&gt;"",Main[[#This Row],[Revised Due Date]]&lt;&gt;""),Main[[#This Row],[In Stock Date]]-Main[[#This Row],[Revised Due Date]],"")</f>
        <v/>
      </c>
      <c r="I1046" s="65" t="s">
        <v>914</v>
      </c>
      <c r="J1046" s="65" t="s">
        <v>52</v>
      </c>
      <c r="K1046" s="65" t="s">
        <v>1924</v>
      </c>
      <c r="L1046" s="67"/>
      <c r="M1046" s="69" t="str">
        <f>IF(Main[[#This Row],[Tech Start Date]]&lt;1/1/1990,"",IF(Main[[#This Row],[Class]]="C",WORKDAY(Main[[#This Row],[Tech Start Date]],9),IF(Main[[#This Row],[Class]]="B", WORKDAY(Main[[#This Row],[Tech Start Date]],6),IF(Main[[#This Row],[Class]]="A",WORKDAY(Main[[#This Row],[Tech Start Date]],2),""))))</f>
        <v/>
      </c>
      <c r="N1046" s="69" t="str">
        <f>IF(Main[[#This Row],[Tech Start Date]]&lt;1/1/1990,"",IF(Main[[#This Row],[Class]]="C",WORKDAY(Main[[#This Row],[Tech Start Date]],19),IF(Main[[#This Row],[Class]]="B", WORKDAY(Main[[#This Row],[Tech Start Date]],12),IF(Main[[#This Row],[Class]]="A",WORKDAY(Main[[#This Row],[Tech Start Date]],4),""))))</f>
        <v/>
      </c>
      <c r="O1046" s="69" t="str">
        <f>IF(Main[[#This Row],[Tech Start Date]]&lt;1/1/1990,"",IF(Main[[#This Row],[Class]]="C",WORKDAY(Main[[#This Row],[Tech Start Date]],23),IF(Main[[#This Row],[Class]]="B", WORKDAY(Main[[#This Row],[Tech Start Date]],15),IF(Main[[#This Row],[Class]]="A",WORKDAY(Main[[#This Row],[Tech Start Date]],5),""))))</f>
        <v/>
      </c>
      <c r="P1046" s="69" t="str">
        <f>IF(Main[[#This Row],[Tech Start Date]]&lt;1/1/1990,"",IF(Main[[#This Row],[Class]]="C",WORKDAY(Main[[#This Row],[Tech Start Date]],28),IF(Main[[#This Row],[Class]]="B", WORKDAY(Main[[#This Row],[Tech Start Date]],19),IF(Main[[#This Row],[Class]]="A",WORKDAY(Main[[#This Row],[Tech Start Date]],9),""))))</f>
        <v/>
      </c>
      <c r="Q1046" s="67">
        <v>40592</v>
      </c>
      <c r="R1046" s="67"/>
      <c r="S1046" s="65" t="s">
        <v>6</v>
      </c>
      <c r="T1046" s="70" t="s">
        <v>4</v>
      </c>
      <c r="U1046" s="65" t="s">
        <v>29</v>
      </c>
      <c r="V1046" s="65" t="s">
        <v>1917</v>
      </c>
      <c r="W1046" s="65" t="s">
        <v>1919</v>
      </c>
      <c r="X1046" s="65" t="s">
        <v>2824</v>
      </c>
      <c r="Y1046" s="65" t="s">
        <v>2935</v>
      </c>
      <c r="Z1046" s="65" t="s">
        <v>129</v>
      </c>
      <c r="AA1046" s="65" t="s">
        <v>2824</v>
      </c>
    </row>
    <row r="1047" spans="1:27" ht="17.45" customHeight="1">
      <c r="A1047" s="131" t="str">
        <f>IF(priority(Main[[#This Row],[Comments]])&lt;&gt;0, priority(Main[[#This Row],[Comments]]),"")</f>
        <v/>
      </c>
      <c r="B1047" s="99" t="s">
        <v>2064</v>
      </c>
      <c r="C1047" s="65" t="s">
        <v>4</v>
      </c>
      <c r="D1047" s="66" t="s">
        <v>2306</v>
      </c>
      <c r="E1047" s="67">
        <v>40758.6172337963</v>
      </c>
      <c r="F1047" s="67"/>
      <c r="G1047" s="64" t="str">
        <f>IF(stdProdLT(Main[[#This Row],[Comments]])=0.1,"N/A",IF(stdProdLT(Main[[#This Row],[Comments]])=0,"",stdProdLT(Main[[#This Row],[Comments]])))</f>
        <v/>
      </c>
      <c r="H1047" s="68" t="str">
        <f>IF(AND(Main[[#This Row],[In Stock Date]]&lt;&gt;"",Main[[#This Row],[Revised Due Date]]&lt;&gt;""),Main[[#This Row],[In Stock Date]]-Main[[#This Row],[Revised Due Date]],"")</f>
        <v/>
      </c>
      <c r="I1047" s="65" t="s">
        <v>530</v>
      </c>
      <c r="J1047" s="65" t="s">
        <v>21</v>
      </c>
      <c r="K1047" s="71" t="s">
        <v>1926</v>
      </c>
      <c r="L1047" s="67"/>
      <c r="M1047" s="69" t="str">
        <f>IF(Main[[#This Row],[Tech Start Date]]&lt;1/1/1990,"",IF(Main[[#This Row],[Class]]="C",WORKDAY(Main[[#This Row],[Tech Start Date]],9),IF(Main[[#This Row],[Class]]="B", WORKDAY(Main[[#This Row],[Tech Start Date]],6),IF(Main[[#This Row],[Class]]="A",WORKDAY(Main[[#This Row],[Tech Start Date]],2),""))))</f>
        <v/>
      </c>
      <c r="N1047" s="69" t="str">
        <f>IF(Main[[#This Row],[Tech Start Date]]&lt;1/1/1990,"",IF(Main[[#This Row],[Class]]="C",WORKDAY(Main[[#This Row],[Tech Start Date]],19),IF(Main[[#This Row],[Class]]="B", WORKDAY(Main[[#This Row],[Tech Start Date]],12),IF(Main[[#This Row],[Class]]="A",WORKDAY(Main[[#This Row],[Tech Start Date]],4),""))))</f>
        <v/>
      </c>
      <c r="O1047" s="69" t="str">
        <f>IF(Main[[#This Row],[Tech Start Date]]&lt;1/1/1990,"",IF(Main[[#This Row],[Class]]="C",WORKDAY(Main[[#This Row],[Tech Start Date]],23),IF(Main[[#This Row],[Class]]="B", WORKDAY(Main[[#This Row],[Tech Start Date]],15),IF(Main[[#This Row],[Class]]="A",WORKDAY(Main[[#This Row],[Tech Start Date]],5),""))))</f>
        <v/>
      </c>
      <c r="P1047" s="69" t="str">
        <f>IF(Main[[#This Row],[Tech Start Date]]&lt;1/1/1990,"",IF(Main[[#This Row],[Class]]="C",WORKDAY(Main[[#This Row],[Tech Start Date]],28),IF(Main[[#This Row],[Class]]="B", WORKDAY(Main[[#This Row],[Tech Start Date]],19),IF(Main[[#This Row],[Class]]="A",WORKDAY(Main[[#This Row],[Tech Start Date]],9),""))))</f>
        <v/>
      </c>
      <c r="Q1047" s="67"/>
      <c r="R1047" s="67"/>
      <c r="S1047" s="65" t="s">
        <v>6</v>
      </c>
      <c r="T1047" s="70" t="s">
        <v>4</v>
      </c>
      <c r="U1047" s="65" t="s">
        <v>29</v>
      </c>
      <c r="V1047" s="65" t="s">
        <v>1920</v>
      </c>
      <c r="W1047" s="65" t="s">
        <v>1921</v>
      </c>
      <c r="X1047" s="65" t="s">
        <v>102</v>
      </c>
      <c r="Y1047" s="65" t="s">
        <v>3127</v>
      </c>
      <c r="Z1047" s="65" t="s">
        <v>530</v>
      </c>
      <c r="AA1047" s="65" t="s">
        <v>3463</v>
      </c>
    </row>
    <row r="1048" spans="1:27" ht="17.45" customHeight="1">
      <c r="A1048" s="131" t="str">
        <f>IF(priority(Main[[#This Row],[Comments]])&lt;&gt;0, priority(Main[[#This Row],[Comments]]),"")</f>
        <v/>
      </c>
      <c r="B1048" s="99" t="s">
        <v>2223</v>
      </c>
      <c r="C1048" s="65" t="s">
        <v>4</v>
      </c>
      <c r="D1048" s="66" t="s">
        <v>2414</v>
      </c>
      <c r="E1048" s="67">
        <v>40798.679803240739</v>
      </c>
      <c r="F1048" s="67"/>
      <c r="G1048" s="64" t="str">
        <f>IF(stdProdLT(Main[[#This Row],[Comments]])=0.1,"N/A",IF(stdProdLT(Main[[#This Row],[Comments]])=0,"",stdProdLT(Main[[#This Row],[Comments]])))</f>
        <v/>
      </c>
      <c r="H1048" s="68" t="str">
        <f>IF(AND(Main[[#This Row],[In Stock Date]]&lt;&gt;"",Main[[#This Row],[Revised Due Date]]&lt;&gt;""),Main[[#This Row],[In Stock Date]]-Main[[#This Row],[Revised Due Date]],"")</f>
        <v/>
      </c>
      <c r="I1048" s="65" t="s">
        <v>767</v>
      </c>
      <c r="J1048" s="65" t="s">
        <v>52</v>
      </c>
      <c r="K1048" s="71" t="s">
        <v>1926</v>
      </c>
      <c r="L1048" s="67"/>
      <c r="M1048" s="69" t="str">
        <f>IF(Main[[#This Row],[Tech Start Date]]&lt;1/1/1990,"",IF(Main[[#This Row],[Class]]="C",WORKDAY(Main[[#This Row],[Tech Start Date]],9),IF(Main[[#This Row],[Class]]="B", WORKDAY(Main[[#This Row],[Tech Start Date]],6),IF(Main[[#This Row],[Class]]="A",WORKDAY(Main[[#This Row],[Tech Start Date]],2),""))))</f>
        <v/>
      </c>
      <c r="N1048" s="69" t="str">
        <f>IF(Main[[#This Row],[Tech Start Date]]&lt;1/1/1990,"",IF(Main[[#This Row],[Class]]="C",WORKDAY(Main[[#This Row],[Tech Start Date]],19),IF(Main[[#This Row],[Class]]="B", WORKDAY(Main[[#This Row],[Tech Start Date]],12),IF(Main[[#This Row],[Class]]="A",WORKDAY(Main[[#This Row],[Tech Start Date]],4),""))))</f>
        <v/>
      </c>
      <c r="O1048" s="69" t="str">
        <f>IF(Main[[#This Row],[Tech Start Date]]&lt;1/1/1990,"",IF(Main[[#This Row],[Class]]="C",WORKDAY(Main[[#This Row],[Tech Start Date]],23),IF(Main[[#This Row],[Class]]="B", WORKDAY(Main[[#This Row],[Tech Start Date]],15),IF(Main[[#This Row],[Class]]="A",WORKDAY(Main[[#This Row],[Tech Start Date]],5),""))))</f>
        <v/>
      </c>
      <c r="P1048" s="69" t="str">
        <f>IF(Main[[#This Row],[Tech Start Date]]&lt;1/1/1990,"",IF(Main[[#This Row],[Class]]="C",WORKDAY(Main[[#This Row],[Tech Start Date]],28),IF(Main[[#This Row],[Class]]="B", WORKDAY(Main[[#This Row],[Tech Start Date]],19),IF(Main[[#This Row],[Class]]="A",WORKDAY(Main[[#This Row],[Tech Start Date]],9),""))))</f>
        <v/>
      </c>
      <c r="Q1048" s="67">
        <v>40847</v>
      </c>
      <c r="R1048" s="67"/>
      <c r="S1048" s="65" t="s">
        <v>6</v>
      </c>
      <c r="T1048" s="70" t="s">
        <v>4</v>
      </c>
      <c r="U1048" s="65" t="s">
        <v>29</v>
      </c>
      <c r="V1048" s="65" t="s">
        <v>1920</v>
      </c>
      <c r="W1048" s="65" t="s">
        <v>1921</v>
      </c>
      <c r="X1048" s="65" t="s">
        <v>30</v>
      </c>
      <c r="Y1048" s="65" t="s">
        <v>2946</v>
      </c>
      <c r="Z1048" s="65" t="s">
        <v>30</v>
      </c>
      <c r="AA1048" s="65" t="s">
        <v>30</v>
      </c>
    </row>
    <row r="1049" spans="1:27" ht="17.45" customHeight="1">
      <c r="A1049" s="131" t="str">
        <f>IF(priority(Main[[#This Row],[Comments]])&lt;&gt;0, priority(Main[[#This Row],[Comments]]),"")</f>
        <v/>
      </c>
      <c r="B1049" s="99" t="s">
        <v>2415</v>
      </c>
      <c r="C1049" s="65" t="s">
        <v>4</v>
      </c>
      <c r="D1049" s="66" t="s">
        <v>2416</v>
      </c>
      <c r="E1049" s="67">
        <v>40843.719166666669</v>
      </c>
      <c r="F1049" s="67"/>
      <c r="G1049" s="64" t="str">
        <f>IF(stdProdLT(Main[[#This Row],[Comments]])=0.1,"N/A",IF(stdProdLT(Main[[#This Row],[Comments]])=0,"",stdProdLT(Main[[#This Row],[Comments]])))</f>
        <v/>
      </c>
      <c r="H1049" s="68" t="str">
        <f>IF(AND(Main[[#This Row],[In Stock Date]]&lt;&gt;"",Main[[#This Row],[Revised Due Date]]&lt;&gt;""),Main[[#This Row],[In Stock Date]]-Main[[#This Row],[Revised Due Date]],"")</f>
        <v/>
      </c>
      <c r="I1049" s="65" t="s">
        <v>4</v>
      </c>
      <c r="J1049" s="65" t="s">
        <v>51</v>
      </c>
      <c r="K1049" s="65" t="s">
        <v>4</v>
      </c>
      <c r="L1049" s="67"/>
      <c r="M1049" s="69" t="str">
        <f>IF(Main[[#This Row],[Tech Start Date]]&lt;1/1/1990,"",IF(Main[[#This Row],[Class]]="C",WORKDAY(Main[[#This Row],[Tech Start Date]],9),IF(Main[[#This Row],[Class]]="B", WORKDAY(Main[[#This Row],[Tech Start Date]],6),IF(Main[[#This Row],[Class]]="A",WORKDAY(Main[[#This Row],[Tech Start Date]],2),""))))</f>
        <v/>
      </c>
      <c r="N1049" s="69" t="str">
        <f>IF(Main[[#This Row],[Tech Start Date]]&lt;1/1/1990,"",IF(Main[[#This Row],[Class]]="C",WORKDAY(Main[[#This Row],[Tech Start Date]],19),IF(Main[[#This Row],[Class]]="B", WORKDAY(Main[[#This Row],[Tech Start Date]],12),IF(Main[[#This Row],[Class]]="A",WORKDAY(Main[[#This Row],[Tech Start Date]],4),""))))</f>
        <v/>
      </c>
      <c r="O1049" s="69" t="str">
        <f>IF(Main[[#This Row],[Tech Start Date]]&lt;1/1/1990,"",IF(Main[[#This Row],[Class]]="C",WORKDAY(Main[[#This Row],[Tech Start Date]],23),IF(Main[[#This Row],[Class]]="B", WORKDAY(Main[[#This Row],[Tech Start Date]],15),IF(Main[[#This Row],[Class]]="A",WORKDAY(Main[[#This Row],[Tech Start Date]],5),""))))</f>
        <v/>
      </c>
      <c r="P1049" s="69" t="str">
        <f>IF(Main[[#This Row],[Tech Start Date]]&lt;1/1/1990,"",IF(Main[[#This Row],[Class]]="C",WORKDAY(Main[[#This Row],[Tech Start Date]],28),IF(Main[[#This Row],[Class]]="B", WORKDAY(Main[[#This Row],[Tech Start Date]],19),IF(Main[[#This Row],[Class]]="A",WORKDAY(Main[[#This Row],[Tech Start Date]],9),""))))</f>
        <v/>
      </c>
      <c r="Q1049" s="67"/>
      <c r="R1049" s="67"/>
      <c r="S1049" s="65" t="s">
        <v>6</v>
      </c>
      <c r="T1049" s="70" t="s">
        <v>2417</v>
      </c>
      <c r="U1049" s="65" t="s">
        <v>534</v>
      </c>
      <c r="V1049" s="65" t="s">
        <v>1917</v>
      </c>
      <c r="W1049" s="65" t="s">
        <v>1923</v>
      </c>
      <c r="X1049" s="65" t="s">
        <v>306</v>
      </c>
      <c r="Y1049" s="65" t="s">
        <v>4</v>
      </c>
      <c r="Z1049" s="65" t="s">
        <v>4</v>
      </c>
      <c r="AA1049" s="65" t="s">
        <v>2845</v>
      </c>
    </row>
    <row r="1050" spans="1:27" ht="17.45" customHeight="1">
      <c r="A1050" s="131" t="str">
        <f>IF(priority(Main[[#This Row],[Comments]])&lt;&gt;0, priority(Main[[#This Row],[Comments]]),"")</f>
        <v/>
      </c>
      <c r="B1050" s="99" t="s">
        <v>2080</v>
      </c>
      <c r="C1050" s="65" t="s">
        <v>4</v>
      </c>
      <c r="D1050" s="66" t="s">
        <v>2081</v>
      </c>
      <c r="E1050" s="67"/>
      <c r="F1050" s="67"/>
      <c r="G1050" s="64" t="str">
        <f>IF(stdProdLT(Main[[#This Row],[Comments]])=0.1,"N/A",IF(stdProdLT(Main[[#This Row],[Comments]])=0,"",stdProdLT(Main[[#This Row],[Comments]])))</f>
        <v/>
      </c>
      <c r="H1050" s="68" t="str">
        <f>IF(AND(Main[[#This Row],[In Stock Date]]&lt;&gt;"",Main[[#This Row],[Revised Due Date]]&lt;&gt;""),Main[[#This Row],[In Stock Date]]-Main[[#This Row],[Revised Due Date]],"")</f>
        <v/>
      </c>
      <c r="I1050" s="65" t="s">
        <v>4</v>
      </c>
      <c r="J1050" s="65" t="s">
        <v>4</v>
      </c>
      <c r="K1050" s="65" t="s">
        <v>4</v>
      </c>
      <c r="L1050" s="67"/>
      <c r="M1050" s="69" t="str">
        <f>IF(Main[[#This Row],[Tech Start Date]]&lt;1/1/1990,"",IF(Main[[#This Row],[Class]]="C",WORKDAY(Main[[#This Row],[Tech Start Date]],9),IF(Main[[#This Row],[Class]]="B", WORKDAY(Main[[#This Row],[Tech Start Date]],6),IF(Main[[#This Row],[Class]]="A",WORKDAY(Main[[#This Row],[Tech Start Date]],2),""))))</f>
        <v/>
      </c>
      <c r="N1050" s="69" t="str">
        <f>IF(Main[[#This Row],[Tech Start Date]]&lt;1/1/1990,"",IF(Main[[#This Row],[Class]]="C",WORKDAY(Main[[#This Row],[Tech Start Date]],19),IF(Main[[#This Row],[Class]]="B", WORKDAY(Main[[#This Row],[Tech Start Date]],12),IF(Main[[#This Row],[Class]]="A",WORKDAY(Main[[#This Row],[Tech Start Date]],4),""))))</f>
        <v/>
      </c>
      <c r="O1050" s="69" t="str">
        <f>IF(Main[[#This Row],[Tech Start Date]]&lt;1/1/1990,"",IF(Main[[#This Row],[Class]]="C",WORKDAY(Main[[#This Row],[Tech Start Date]],23),IF(Main[[#This Row],[Class]]="B", WORKDAY(Main[[#This Row],[Tech Start Date]],15),IF(Main[[#This Row],[Class]]="A",WORKDAY(Main[[#This Row],[Tech Start Date]],5),""))))</f>
        <v/>
      </c>
      <c r="P1050" s="69" t="str">
        <f>IF(Main[[#This Row],[Tech Start Date]]&lt;1/1/1990,"",IF(Main[[#This Row],[Class]]="C",WORKDAY(Main[[#This Row],[Tech Start Date]],28),IF(Main[[#This Row],[Class]]="B", WORKDAY(Main[[#This Row],[Tech Start Date]],19),IF(Main[[#This Row],[Class]]="A",WORKDAY(Main[[#This Row],[Tech Start Date]],9),""))))</f>
        <v/>
      </c>
      <c r="Q1050" s="67"/>
      <c r="R1050" s="67"/>
      <c r="S1050" s="65" t="s">
        <v>6</v>
      </c>
      <c r="T1050" s="70" t="s">
        <v>4</v>
      </c>
      <c r="U1050" s="65" t="s">
        <v>14</v>
      </c>
      <c r="V1050" s="65" t="s">
        <v>1917</v>
      </c>
      <c r="W1050" s="65" t="s">
        <v>1921</v>
      </c>
      <c r="X1050" s="65" t="s">
        <v>306</v>
      </c>
      <c r="Y1050" s="65" t="s">
        <v>4</v>
      </c>
      <c r="Z1050" s="65" t="s">
        <v>4</v>
      </c>
      <c r="AA1050" s="65" t="s">
        <v>4</v>
      </c>
    </row>
    <row r="1051" spans="1:27" ht="17.45" customHeight="1">
      <c r="A1051" s="131" t="str">
        <f>IF(priority(Main[[#This Row],[Comments]])&lt;&gt;0, priority(Main[[#This Row],[Comments]]),"")</f>
        <v/>
      </c>
      <c r="B1051" s="99" t="s">
        <v>1761</v>
      </c>
      <c r="C1051" s="65" t="s">
        <v>4</v>
      </c>
      <c r="D1051" s="66" t="s">
        <v>2418</v>
      </c>
      <c r="E1051" s="67">
        <v>40616.425347222219</v>
      </c>
      <c r="F1051" s="67"/>
      <c r="G1051" s="64" t="str">
        <f>IF(stdProdLT(Main[[#This Row],[Comments]])=0.1,"N/A",IF(stdProdLT(Main[[#This Row],[Comments]])=0,"",stdProdLT(Main[[#This Row],[Comments]])))</f>
        <v/>
      </c>
      <c r="H1051" s="68" t="str">
        <f>IF(AND(Main[[#This Row],[In Stock Date]]&lt;&gt;"",Main[[#This Row],[Revised Due Date]]&lt;&gt;""),Main[[#This Row],[In Stock Date]]-Main[[#This Row],[Revised Due Date]],"")</f>
        <v/>
      </c>
      <c r="I1051" s="65" t="s">
        <v>914</v>
      </c>
      <c r="J1051" s="65" t="s">
        <v>52</v>
      </c>
      <c r="K1051" s="65" t="s">
        <v>1926</v>
      </c>
      <c r="L1051" s="67"/>
      <c r="M1051" s="69" t="str">
        <f>IF(Main[[#This Row],[Tech Start Date]]&lt;1/1/1990,"",IF(Main[[#This Row],[Class]]="C",WORKDAY(Main[[#This Row],[Tech Start Date]],9),IF(Main[[#This Row],[Class]]="B", WORKDAY(Main[[#This Row],[Tech Start Date]],6),IF(Main[[#This Row],[Class]]="A",WORKDAY(Main[[#This Row],[Tech Start Date]],2),""))))</f>
        <v/>
      </c>
      <c r="N1051" s="69" t="str">
        <f>IF(Main[[#This Row],[Tech Start Date]]&lt;1/1/1990,"",IF(Main[[#This Row],[Class]]="C",WORKDAY(Main[[#This Row],[Tech Start Date]],19),IF(Main[[#This Row],[Class]]="B", WORKDAY(Main[[#This Row],[Tech Start Date]],12),IF(Main[[#This Row],[Class]]="A",WORKDAY(Main[[#This Row],[Tech Start Date]],4),""))))</f>
        <v/>
      </c>
      <c r="O1051" s="69" t="str">
        <f>IF(Main[[#This Row],[Tech Start Date]]&lt;1/1/1990,"",IF(Main[[#This Row],[Class]]="C",WORKDAY(Main[[#This Row],[Tech Start Date]],23),IF(Main[[#This Row],[Class]]="B", WORKDAY(Main[[#This Row],[Tech Start Date]],15),IF(Main[[#This Row],[Class]]="A",WORKDAY(Main[[#This Row],[Tech Start Date]],5),""))))</f>
        <v/>
      </c>
      <c r="P1051" s="69" t="str">
        <f>IF(Main[[#This Row],[Tech Start Date]]&lt;1/1/1990,"",IF(Main[[#This Row],[Class]]="C",WORKDAY(Main[[#This Row],[Tech Start Date]],28),IF(Main[[#This Row],[Class]]="B", WORKDAY(Main[[#This Row],[Tech Start Date]],19),IF(Main[[#This Row],[Class]]="A",WORKDAY(Main[[#This Row],[Tech Start Date]],9),""))))</f>
        <v/>
      </c>
      <c r="Q1051" s="67"/>
      <c r="R1051" s="67"/>
      <c r="S1051" s="65" t="s">
        <v>6</v>
      </c>
      <c r="T1051" s="70" t="s">
        <v>4</v>
      </c>
      <c r="U1051" s="65" t="s">
        <v>29</v>
      </c>
      <c r="V1051" s="65" t="s">
        <v>1917</v>
      </c>
      <c r="W1051" s="65" t="s">
        <v>1921</v>
      </c>
      <c r="X1051" s="65" t="s">
        <v>2909</v>
      </c>
      <c r="Y1051" s="65" t="s">
        <v>3089</v>
      </c>
      <c r="Z1051" s="65" t="s">
        <v>530</v>
      </c>
      <c r="AA1051" s="65" t="s">
        <v>2909</v>
      </c>
    </row>
    <row r="1052" spans="1:27" ht="17.45" customHeight="1">
      <c r="A1052" s="131" t="str">
        <f>IF(priority(Main[[#This Row],[Comments]])&lt;&gt;0, priority(Main[[#This Row],[Comments]]),"")</f>
        <v/>
      </c>
      <c r="B1052" s="99" t="s">
        <v>2271</v>
      </c>
      <c r="C1052" s="65" t="s">
        <v>4</v>
      </c>
      <c r="D1052" s="66" t="s">
        <v>2272</v>
      </c>
      <c r="E1052" s="67">
        <v>40808.345057870371</v>
      </c>
      <c r="F1052" s="67"/>
      <c r="G1052" s="64" t="str">
        <f>IF(stdProdLT(Main[[#This Row],[Comments]])=0.1,"N/A",IF(stdProdLT(Main[[#This Row],[Comments]])=0,"",stdProdLT(Main[[#This Row],[Comments]])))</f>
        <v/>
      </c>
      <c r="H1052" s="68" t="str">
        <f>IF(AND(Main[[#This Row],[In Stock Date]]&lt;&gt;"",Main[[#This Row],[Revised Due Date]]&lt;&gt;""),Main[[#This Row],[In Stock Date]]-Main[[#This Row],[Revised Due Date]],"")</f>
        <v/>
      </c>
      <c r="I1052" s="65" t="s">
        <v>4</v>
      </c>
      <c r="J1052" s="65" t="s">
        <v>4</v>
      </c>
      <c r="K1052" s="65" t="s">
        <v>4</v>
      </c>
      <c r="L1052" s="67"/>
      <c r="M1052" s="69" t="str">
        <f>IF(Main[[#This Row],[Tech Start Date]]&lt;1/1/1990,"",IF(Main[[#This Row],[Class]]="C",WORKDAY(Main[[#This Row],[Tech Start Date]],9),IF(Main[[#This Row],[Class]]="B", WORKDAY(Main[[#This Row],[Tech Start Date]],6),IF(Main[[#This Row],[Class]]="A",WORKDAY(Main[[#This Row],[Tech Start Date]],2),""))))</f>
        <v/>
      </c>
      <c r="N1052" s="69" t="str">
        <f>IF(Main[[#This Row],[Tech Start Date]]&lt;1/1/1990,"",IF(Main[[#This Row],[Class]]="C",WORKDAY(Main[[#This Row],[Tech Start Date]],19),IF(Main[[#This Row],[Class]]="B", WORKDAY(Main[[#This Row],[Tech Start Date]],12),IF(Main[[#This Row],[Class]]="A",WORKDAY(Main[[#This Row],[Tech Start Date]],4),""))))</f>
        <v/>
      </c>
      <c r="O1052" s="69" t="str">
        <f>IF(Main[[#This Row],[Tech Start Date]]&lt;1/1/1990,"",IF(Main[[#This Row],[Class]]="C",WORKDAY(Main[[#This Row],[Tech Start Date]],23),IF(Main[[#This Row],[Class]]="B", WORKDAY(Main[[#This Row],[Tech Start Date]],15),IF(Main[[#This Row],[Class]]="A",WORKDAY(Main[[#This Row],[Tech Start Date]],5),""))))</f>
        <v/>
      </c>
      <c r="P1052" s="69" t="str">
        <f>IF(Main[[#This Row],[Tech Start Date]]&lt;1/1/1990,"",IF(Main[[#This Row],[Class]]="C",WORKDAY(Main[[#This Row],[Tech Start Date]],28),IF(Main[[#This Row],[Class]]="B", WORKDAY(Main[[#This Row],[Tech Start Date]],19),IF(Main[[#This Row],[Class]]="A",WORKDAY(Main[[#This Row],[Tech Start Date]],9),""))))</f>
        <v/>
      </c>
      <c r="Q1052" s="67"/>
      <c r="R1052" s="67"/>
      <c r="S1052" s="65" t="s">
        <v>17</v>
      </c>
      <c r="T1052" s="70" t="s">
        <v>4</v>
      </c>
      <c r="U1052" s="65" t="s">
        <v>7</v>
      </c>
      <c r="V1052" s="65" t="s">
        <v>1927</v>
      </c>
      <c r="W1052" s="65" t="s">
        <v>1919</v>
      </c>
      <c r="X1052" s="65" t="s">
        <v>2872</v>
      </c>
      <c r="Y1052" s="65" t="s">
        <v>3006</v>
      </c>
      <c r="Z1052" s="65" t="s">
        <v>4</v>
      </c>
      <c r="AA1052" s="65" t="s">
        <v>2872</v>
      </c>
    </row>
    <row r="1053" spans="1:27" ht="17.45" customHeight="1">
      <c r="A1053" s="131" t="str">
        <f>IF(priority(Main[[#This Row],[Comments]])&lt;&gt;0, priority(Main[[#This Row],[Comments]]),"")</f>
        <v/>
      </c>
      <c r="B1053" s="99" t="s">
        <v>2243</v>
      </c>
      <c r="C1053" s="65" t="s">
        <v>4</v>
      </c>
      <c r="D1053" s="66" t="s">
        <v>2244</v>
      </c>
      <c r="E1053" s="67"/>
      <c r="F1053" s="67"/>
      <c r="G1053" s="64" t="str">
        <f>IF(stdProdLT(Main[[#This Row],[Comments]])=0.1,"N/A",IF(stdProdLT(Main[[#This Row],[Comments]])=0,"",stdProdLT(Main[[#This Row],[Comments]])))</f>
        <v/>
      </c>
      <c r="H1053" s="68" t="str">
        <f>IF(AND(Main[[#This Row],[In Stock Date]]&lt;&gt;"",Main[[#This Row],[Revised Due Date]]&lt;&gt;""),Main[[#This Row],[In Stock Date]]-Main[[#This Row],[Revised Due Date]],"")</f>
        <v/>
      </c>
      <c r="I1053" s="65" t="s">
        <v>4</v>
      </c>
      <c r="J1053" s="65" t="s">
        <v>4</v>
      </c>
      <c r="K1053" s="65" t="s">
        <v>4</v>
      </c>
      <c r="L1053" s="67"/>
      <c r="M1053" s="69" t="str">
        <f>IF(Main[[#This Row],[Tech Start Date]]&lt;1/1/1990,"",IF(Main[[#This Row],[Class]]="C",WORKDAY(Main[[#This Row],[Tech Start Date]],9),IF(Main[[#This Row],[Class]]="B", WORKDAY(Main[[#This Row],[Tech Start Date]],6),IF(Main[[#This Row],[Class]]="A",WORKDAY(Main[[#This Row],[Tech Start Date]],2),""))))</f>
        <v/>
      </c>
      <c r="N1053" s="69" t="str">
        <f>IF(Main[[#This Row],[Tech Start Date]]&lt;1/1/1990,"",IF(Main[[#This Row],[Class]]="C",WORKDAY(Main[[#This Row],[Tech Start Date]],19),IF(Main[[#This Row],[Class]]="B", WORKDAY(Main[[#This Row],[Tech Start Date]],12),IF(Main[[#This Row],[Class]]="A",WORKDAY(Main[[#This Row],[Tech Start Date]],4),""))))</f>
        <v/>
      </c>
      <c r="O1053" s="69" t="str">
        <f>IF(Main[[#This Row],[Tech Start Date]]&lt;1/1/1990,"",IF(Main[[#This Row],[Class]]="C",WORKDAY(Main[[#This Row],[Tech Start Date]],23),IF(Main[[#This Row],[Class]]="B", WORKDAY(Main[[#This Row],[Tech Start Date]],15),IF(Main[[#This Row],[Class]]="A",WORKDAY(Main[[#This Row],[Tech Start Date]],5),""))))</f>
        <v/>
      </c>
      <c r="P1053" s="69" t="str">
        <f>IF(Main[[#This Row],[Tech Start Date]]&lt;1/1/1990,"",IF(Main[[#This Row],[Class]]="C",WORKDAY(Main[[#This Row],[Tech Start Date]],28),IF(Main[[#This Row],[Class]]="B", WORKDAY(Main[[#This Row],[Tech Start Date]],19),IF(Main[[#This Row],[Class]]="A",WORKDAY(Main[[#This Row],[Tech Start Date]],9),""))))</f>
        <v/>
      </c>
      <c r="Q1053" s="67"/>
      <c r="R1053" s="67"/>
      <c r="S1053" s="65" t="s">
        <v>6</v>
      </c>
      <c r="T1053" s="70" t="s">
        <v>4</v>
      </c>
      <c r="U1053" s="65" t="s">
        <v>14</v>
      </c>
      <c r="V1053" s="65" t="s">
        <v>1920</v>
      </c>
      <c r="W1053" s="65" t="s">
        <v>1921</v>
      </c>
      <c r="X1053" s="65" t="s">
        <v>102</v>
      </c>
      <c r="Y1053" s="65" t="s">
        <v>4</v>
      </c>
      <c r="Z1053" s="65" t="s">
        <v>4</v>
      </c>
      <c r="AA1053" s="65" t="s">
        <v>3464</v>
      </c>
    </row>
    <row r="1054" spans="1:27" ht="17.45" customHeight="1">
      <c r="A1054" s="131" t="str">
        <f>IF(priority(Main[[#This Row],[Comments]])&lt;&gt;0, priority(Main[[#This Row],[Comments]]),"")</f>
        <v/>
      </c>
      <c r="B1054" s="99" t="s">
        <v>2245</v>
      </c>
      <c r="C1054" s="65" t="s">
        <v>4</v>
      </c>
      <c r="D1054" s="66" t="s">
        <v>2246</v>
      </c>
      <c r="E1054" s="67">
        <v>40801.476770833331</v>
      </c>
      <c r="F1054" s="67"/>
      <c r="G1054" s="64" t="str">
        <f>IF(stdProdLT(Main[[#This Row],[Comments]])=0.1,"N/A",IF(stdProdLT(Main[[#This Row],[Comments]])=0,"",stdProdLT(Main[[#This Row],[Comments]])))</f>
        <v/>
      </c>
      <c r="H1054" s="68" t="str">
        <f>IF(AND(Main[[#This Row],[In Stock Date]]&lt;&gt;"",Main[[#This Row],[Revised Due Date]]&lt;&gt;""),Main[[#This Row],[In Stock Date]]-Main[[#This Row],[Revised Due Date]],"")</f>
        <v/>
      </c>
      <c r="I1054" s="65" t="s">
        <v>4</v>
      </c>
      <c r="J1054" s="65" t="s">
        <v>4</v>
      </c>
      <c r="K1054" s="71" t="s">
        <v>4</v>
      </c>
      <c r="L1054" s="67"/>
      <c r="M1054" s="69" t="str">
        <f>IF(Main[[#This Row],[Tech Start Date]]&lt;1/1/1990,"",IF(Main[[#This Row],[Class]]="C",WORKDAY(Main[[#This Row],[Tech Start Date]],9),IF(Main[[#This Row],[Class]]="B", WORKDAY(Main[[#This Row],[Tech Start Date]],6),IF(Main[[#This Row],[Class]]="A",WORKDAY(Main[[#This Row],[Tech Start Date]],2),""))))</f>
        <v/>
      </c>
      <c r="N1054" s="69" t="str">
        <f>IF(Main[[#This Row],[Tech Start Date]]&lt;1/1/1990,"",IF(Main[[#This Row],[Class]]="C",WORKDAY(Main[[#This Row],[Tech Start Date]],19),IF(Main[[#This Row],[Class]]="B", WORKDAY(Main[[#This Row],[Tech Start Date]],12),IF(Main[[#This Row],[Class]]="A",WORKDAY(Main[[#This Row],[Tech Start Date]],4),""))))</f>
        <v/>
      </c>
      <c r="O1054" s="69" t="str">
        <f>IF(Main[[#This Row],[Tech Start Date]]&lt;1/1/1990,"",IF(Main[[#This Row],[Class]]="C",WORKDAY(Main[[#This Row],[Tech Start Date]],23),IF(Main[[#This Row],[Class]]="B", WORKDAY(Main[[#This Row],[Tech Start Date]],15),IF(Main[[#This Row],[Class]]="A",WORKDAY(Main[[#This Row],[Tech Start Date]],5),""))))</f>
        <v/>
      </c>
      <c r="P1054" s="69" t="str">
        <f>IF(Main[[#This Row],[Tech Start Date]]&lt;1/1/1990,"",IF(Main[[#This Row],[Class]]="C",WORKDAY(Main[[#This Row],[Tech Start Date]],28),IF(Main[[#This Row],[Class]]="B", WORKDAY(Main[[#This Row],[Tech Start Date]],19),IF(Main[[#This Row],[Class]]="A",WORKDAY(Main[[#This Row],[Tech Start Date]],9),""))))</f>
        <v/>
      </c>
      <c r="Q1054" s="67">
        <v>40828</v>
      </c>
      <c r="R1054" s="67"/>
      <c r="S1054" s="65" t="s">
        <v>6</v>
      </c>
      <c r="T1054" s="70" t="s">
        <v>4</v>
      </c>
      <c r="U1054" s="65" t="s">
        <v>7</v>
      </c>
      <c r="V1054" s="65" t="s">
        <v>1917</v>
      </c>
      <c r="W1054" s="65" t="s">
        <v>1925</v>
      </c>
      <c r="X1054" s="65" t="s">
        <v>2827</v>
      </c>
      <c r="Y1054" s="65" t="s">
        <v>2942</v>
      </c>
      <c r="Z1054" s="65" t="s">
        <v>4</v>
      </c>
      <c r="AA1054" s="65" t="s">
        <v>2827</v>
      </c>
    </row>
    <row r="1055" spans="1:27" ht="17.45" customHeight="1">
      <c r="A1055" s="131" t="str">
        <f>IF(priority(Main[[#This Row],[Comments]])&lt;&gt;0, priority(Main[[#This Row],[Comments]]),"")</f>
        <v/>
      </c>
      <c r="B1055" s="99" t="s">
        <v>1176</v>
      </c>
      <c r="C1055" s="65" t="s">
        <v>4</v>
      </c>
      <c r="D1055" s="66" t="s">
        <v>229</v>
      </c>
      <c r="E1055" s="67">
        <v>40847.6950462963</v>
      </c>
      <c r="F1055" s="67"/>
      <c r="G1055" s="64" t="str">
        <f>IF(stdProdLT(Main[[#This Row],[Comments]])=0.1,"N/A",IF(stdProdLT(Main[[#This Row],[Comments]])=0,"",stdProdLT(Main[[#This Row],[Comments]])))</f>
        <v/>
      </c>
      <c r="H1055" s="68" t="str">
        <f>IF(AND(Main[[#This Row],[In Stock Date]]&lt;&gt;"",Main[[#This Row],[Revised Due Date]]&lt;&gt;""),Main[[#This Row],[In Stock Date]]-Main[[#This Row],[Revised Due Date]],"")</f>
        <v/>
      </c>
      <c r="I1055" s="65" t="s">
        <v>4</v>
      </c>
      <c r="J1055" s="65" t="s">
        <v>4</v>
      </c>
      <c r="K1055" s="65" t="s">
        <v>4</v>
      </c>
      <c r="L1055" s="67"/>
      <c r="M1055" s="69" t="str">
        <f>IF(Main[[#This Row],[Tech Start Date]]&lt;1/1/1990,"",IF(Main[[#This Row],[Class]]="C",WORKDAY(Main[[#This Row],[Tech Start Date]],9),IF(Main[[#This Row],[Class]]="B", WORKDAY(Main[[#This Row],[Tech Start Date]],6),IF(Main[[#This Row],[Class]]="A",WORKDAY(Main[[#This Row],[Tech Start Date]],2),""))))</f>
        <v/>
      </c>
      <c r="N1055" s="69" t="str">
        <f>IF(Main[[#This Row],[Tech Start Date]]&lt;1/1/1990,"",IF(Main[[#This Row],[Class]]="C",WORKDAY(Main[[#This Row],[Tech Start Date]],19),IF(Main[[#This Row],[Class]]="B", WORKDAY(Main[[#This Row],[Tech Start Date]],12),IF(Main[[#This Row],[Class]]="A",WORKDAY(Main[[#This Row],[Tech Start Date]],4),""))))</f>
        <v/>
      </c>
      <c r="O1055" s="69" t="str">
        <f>IF(Main[[#This Row],[Tech Start Date]]&lt;1/1/1990,"",IF(Main[[#This Row],[Class]]="C",WORKDAY(Main[[#This Row],[Tech Start Date]],23),IF(Main[[#This Row],[Class]]="B", WORKDAY(Main[[#This Row],[Tech Start Date]],15),IF(Main[[#This Row],[Class]]="A",WORKDAY(Main[[#This Row],[Tech Start Date]],5),""))))</f>
        <v/>
      </c>
      <c r="P1055" s="69" t="str">
        <f>IF(Main[[#This Row],[Tech Start Date]]&lt;1/1/1990,"",IF(Main[[#This Row],[Class]]="C",WORKDAY(Main[[#This Row],[Tech Start Date]],28),IF(Main[[#This Row],[Class]]="B", WORKDAY(Main[[#This Row],[Tech Start Date]],19),IF(Main[[#This Row],[Class]]="A",WORKDAY(Main[[#This Row],[Tech Start Date]],9),""))))</f>
        <v/>
      </c>
      <c r="Q1055" s="67"/>
      <c r="R1055" s="67"/>
      <c r="S1055" s="65" t="s">
        <v>49</v>
      </c>
      <c r="T1055" s="70" t="s">
        <v>4</v>
      </c>
      <c r="U1055" s="65" t="s">
        <v>7</v>
      </c>
      <c r="V1055" s="65" t="s">
        <v>1917</v>
      </c>
      <c r="W1055" s="65" t="s">
        <v>1921</v>
      </c>
      <c r="X1055" s="65" t="s">
        <v>909</v>
      </c>
      <c r="Y1055" s="65" t="s">
        <v>3023</v>
      </c>
      <c r="Z1055" s="65" t="s">
        <v>4</v>
      </c>
      <c r="AA1055" s="65" t="s">
        <v>909</v>
      </c>
    </row>
    <row r="1056" spans="1:27" ht="17.45" customHeight="1">
      <c r="A1056" s="131" t="str">
        <f>IF(priority(Main[[#This Row],[Comments]])&lt;&gt;0, priority(Main[[#This Row],[Comments]]),"")</f>
        <v/>
      </c>
      <c r="B1056" s="99" t="s">
        <v>2229</v>
      </c>
      <c r="C1056" s="65" t="s">
        <v>4</v>
      </c>
      <c r="D1056" s="66" t="s">
        <v>2230</v>
      </c>
      <c r="E1056" s="67">
        <v>40802.356851851851</v>
      </c>
      <c r="F1056" s="67"/>
      <c r="G1056" s="64" t="str">
        <f>IF(stdProdLT(Main[[#This Row],[Comments]])=0.1,"N/A",IF(stdProdLT(Main[[#This Row],[Comments]])=0,"",stdProdLT(Main[[#This Row],[Comments]])))</f>
        <v/>
      </c>
      <c r="H1056" s="68" t="str">
        <f>IF(AND(Main[[#This Row],[In Stock Date]]&lt;&gt;"",Main[[#This Row],[Revised Due Date]]&lt;&gt;""),Main[[#This Row],[In Stock Date]]-Main[[#This Row],[Revised Due Date]],"")</f>
        <v/>
      </c>
      <c r="I1056" s="65" t="s">
        <v>102</v>
      </c>
      <c r="J1056" s="65" t="s">
        <v>75</v>
      </c>
      <c r="K1056" s="65" t="s">
        <v>1930</v>
      </c>
      <c r="L1056" s="67"/>
      <c r="M1056" s="69" t="str">
        <f>IF(Main[[#This Row],[Tech Start Date]]&lt;1/1/1990,"",IF(Main[[#This Row],[Class]]="C",WORKDAY(Main[[#This Row],[Tech Start Date]],9),IF(Main[[#This Row],[Class]]="B", WORKDAY(Main[[#This Row],[Tech Start Date]],6),IF(Main[[#This Row],[Class]]="A",WORKDAY(Main[[#This Row],[Tech Start Date]],2),""))))</f>
        <v/>
      </c>
      <c r="N1056" s="69" t="str">
        <f>IF(Main[[#This Row],[Tech Start Date]]&lt;1/1/1990,"",IF(Main[[#This Row],[Class]]="C",WORKDAY(Main[[#This Row],[Tech Start Date]],19),IF(Main[[#This Row],[Class]]="B", WORKDAY(Main[[#This Row],[Tech Start Date]],12),IF(Main[[#This Row],[Class]]="A",WORKDAY(Main[[#This Row],[Tech Start Date]],4),""))))</f>
        <v/>
      </c>
      <c r="O1056" s="69" t="str">
        <f>IF(Main[[#This Row],[Tech Start Date]]&lt;1/1/1990,"",IF(Main[[#This Row],[Class]]="C",WORKDAY(Main[[#This Row],[Tech Start Date]],23),IF(Main[[#This Row],[Class]]="B", WORKDAY(Main[[#This Row],[Tech Start Date]],15),IF(Main[[#This Row],[Class]]="A",WORKDAY(Main[[#This Row],[Tech Start Date]],5),""))))</f>
        <v/>
      </c>
      <c r="P1056" s="69" t="str">
        <f>IF(Main[[#This Row],[Tech Start Date]]&lt;1/1/1990,"",IF(Main[[#This Row],[Class]]="C",WORKDAY(Main[[#This Row],[Tech Start Date]],28),IF(Main[[#This Row],[Class]]="B", WORKDAY(Main[[#This Row],[Tech Start Date]],19),IF(Main[[#This Row],[Class]]="A",WORKDAY(Main[[#This Row],[Tech Start Date]],9),""))))</f>
        <v/>
      </c>
      <c r="Q1056" s="67"/>
      <c r="R1056" s="67"/>
      <c r="S1056" s="65" t="s">
        <v>6</v>
      </c>
      <c r="T1056" s="70" t="s">
        <v>4</v>
      </c>
      <c r="U1056" s="65" t="s">
        <v>29</v>
      </c>
      <c r="V1056" s="65" t="s">
        <v>1920</v>
      </c>
      <c r="W1056" s="65" t="s">
        <v>1921</v>
      </c>
      <c r="X1056" s="65" t="s">
        <v>102</v>
      </c>
      <c r="Y1056" s="65" t="s">
        <v>3128</v>
      </c>
      <c r="Z1056" s="65" t="s">
        <v>306</v>
      </c>
      <c r="AA1056" s="65" t="s">
        <v>3457</v>
      </c>
    </row>
    <row r="1057" spans="1:27" ht="17.45" customHeight="1">
      <c r="A1057" s="131" t="str">
        <f>IF(priority(Main[[#This Row],[Comments]])&lt;&gt;0, priority(Main[[#This Row],[Comments]]),"")</f>
        <v/>
      </c>
      <c r="B1057" s="99" t="s">
        <v>3311</v>
      </c>
      <c r="C1057" s="65" t="s">
        <v>4</v>
      </c>
      <c r="D1057" s="66" t="s">
        <v>3312</v>
      </c>
      <c r="E1057" s="67">
        <v>40933.366932870369</v>
      </c>
      <c r="F1057" s="67"/>
      <c r="G1057" s="64" t="str">
        <f>IF(stdProdLT(Main[[#This Row],[Comments]])=0.1,"N/A",IF(stdProdLT(Main[[#This Row],[Comments]])=0,"",stdProdLT(Main[[#This Row],[Comments]])))</f>
        <v/>
      </c>
      <c r="H1057" s="68" t="str">
        <f>IF(AND(Main[[#This Row],[In Stock Date]]&lt;&gt;"",Main[[#This Row],[Revised Due Date]]&lt;&gt;""),Main[[#This Row],[In Stock Date]]-Main[[#This Row],[Revised Due Date]],"")</f>
        <v/>
      </c>
      <c r="I1057" s="65" t="s">
        <v>44</v>
      </c>
      <c r="J1057" s="65" t="s">
        <v>52</v>
      </c>
      <c r="K1057" s="65" t="s">
        <v>1926</v>
      </c>
      <c r="L1057" s="67"/>
      <c r="M1057" s="69" t="str">
        <f>IF(Main[[#This Row],[Tech Start Date]]&lt;1/1/1990,"",IF(Main[[#This Row],[Class]]="C",WORKDAY(Main[[#This Row],[Tech Start Date]],9),IF(Main[[#This Row],[Class]]="B", WORKDAY(Main[[#This Row],[Tech Start Date]],6),IF(Main[[#This Row],[Class]]="A",WORKDAY(Main[[#This Row],[Tech Start Date]],2),""))))</f>
        <v/>
      </c>
      <c r="N1057" s="69" t="str">
        <f>IF(Main[[#This Row],[Tech Start Date]]&lt;1/1/1990,"",IF(Main[[#This Row],[Class]]="C",WORKDAY(Main[[#This Row],[Tech Start Date]],19),IF(Main[[#This Row],[Class]]="B", WORKDAY(Main[[#This Row],[Tech Start Date]],12),IF(Main[[#This Row],[Class]]="A",WORKDAY(Main[[#This Row],[Tech Start Date]],4),""))))</f>
        <v/>
      </c>
      <c r="O1057" s="69" t="str">
        <f>IF(Main[[#This Row],[Tech Start Date]]&lt;1/1/1990,"",IF(Main[[#This Row],[Class]]="C",WORKDAY(Main[[#This Row],[Tech Start Date]],23),IF(Main[[#This Row],[Class]]="B", WORKDAY(Main[[#This Row],[Tech Start Date]],15),IF(Main[[#This Row],[Class]]="A",WORKDAY(Main[[#This Row],[Tech Start Date]],5),""))))</f>
        <v/>
      </c>
      <c r="P1057" s="69" t="str">
        <f>IF(Main[[#This Row],[Tech Start Date]]&lt;1/1/1990,"",IF(Main[[#This Row],[Class]]="C",WORKDAY(Main[[#This Row],[Tech Start Date]],28),IF(Main[[#This Row],[Class]]="B", WORKDAY(Main[[#This Row],[Tech Start Date]],19),IF(Main[[#This Row],[Class]]="A",WORKDAY(Main[[#This Row],[Tech Start Date]],9),""))))</f>
        <v/>
      </c>
      <c r="Q1057" s="67"/>
      <c r="R1057" s="67"/>
      <c r="S1057" s="65" t="s">
        <v>6</v>
      </c>
      <c r="T1057" s="70" t="s">
        <v>4</v>
      </c>
      <c r="U1057" s="65" t="s">
        <v>29</v>
      </c>
      <c r="V1057" s="65" t="s">
        <v>1920</v>
      </c>
      <c r="W1057" s="65" t="s">
        <v>1921</v>
      </c>
      <c r="X1057" s="65" t="s">
        <v>2872</v>
      </c>
      <c r="Y1057" s="65" t="s">
        <v>3006</v>
      </c>
      <c r="Z1057" s="65" t="s">
        <v>30</v>
      </c>
      <c r="AA1057" s="65" t="s">
        <v>2872</v>
      </c>
    </row>
    <row r="1058" spans="1:27" ht="17.45" customHeight="1">
      <c r="A1058" s="131" t="str">
        <f>IF(priority(Main[[#This Row],[Comments]])&lt;&gt;0, priority(Main[[#This Row],[Comments]]),"")</f>
        <v/>
      </c>
      <c r="B1058" s="99" t="s">
        <v>1844</v>
      </c>
      <c r="C1058" s="65" t="s">
        <v>4</v>
      </c>
      <c r="D1058" s="66" t="s">
        <v>899</v>
      </c>
      <c r="E1058" s="67">
        <v>40080.410775462966</v>
      </c>
      <c r="F1058" s="67"/>
      <c r="G1058" s="64" t="str">
        <f>IF(stdProdLT(Main[[#This Row],[Comments]])=0.1,"N/A",IF(stdProdLT(Main[[#This Row],[Comments]])=0,"",stdProdLT(Main[[#This Row],[Comments]])))</f>
        <v/>
      </c>
      <c r="H1058" s="68" t="str">
        <f>IF(AND(Main[[#This Row],[In Stock Date]]&lt;&gt;"",Main[[#This Row],[Revised Due Date]]&lt;&gt;""),Main[[#This Row],[In Stock Date]]-Main[[#This Row],[Revised Due Date]],"")</f>
        <v/>
      </c>
      <c r="I1058" s="65" t="s">
        <v>900</v>
      </c>
      <c r="J1058" s="65" t="s">
        <v>28</v>
      </c>
      <c r="K1058" s="65" t="s">
        <v>1926</v>
      </c>
      <c r="L1058" s="67"/>
      <c r="M1058" s="69" t="str">
        <f>IF(Main[[#This Row],[Tech Start Date]]&lt;1/1/1990,"",IF(Main[[#This Row],[Class]]="C",WORKDAY(Main[[#This Row],[Tech Start Date]],9),IF(Main[[#This Row],[Class]]="B", WORKDAY(Main[[#This Row],[Tech Start Date]],6),IF(Main[[#This Row],[Class]]="A",WORKDAY(Main[[#This Row],[Tech Start Date]],2),""))))</f>
        <v/>
      </c>
      <c r="N1058" s="69" t="str">
        <f>IF(Main[[#This Row],[Tech Start Date]]&lt;1/1/1990,"",IF(Main[[#This Row],[Class]]="C",WORKDAY(Main[[#This Row],[Tech Start Date]],19),IF(Main[[#This Row],[Class]]="B", WORKDAY(Main[[#This Row],[Tech Start Date]],12),IF(Main[[#This Row],[Class]]="A",WORKDAY(Main[[#This Row],[Tech Start Date]],4),""))))</f>
        <v/>
      </c>
      <c r="O1058" s="69" t="str">
        <f>IF(Main[[#This Row],[Tech Start Date]]&lt;1/1/1990,"",IF(Main[[#This Row],[Class]]="C",WORKDAY(Main[[#This Row],[Tech Start Date]],23),IF(Main[[#This Row],[Class]]="B", WORKDAY(Main[[#This Row],[Tech Start Date]],15),IF(Main[[#This Row],[Class]]="A",WORKDAY(Main[[#This Row],[Tech Start Date]],5),""))))</f>
        <v/>
      </c>
      <c r="P1058" s="69" t="str">
        <f>IF(Main[[#This Row],[Tech Start Date]]&lt;1/1/1990,"",IF(Main[[#This Row],[Class]]="C",WORKDAY(Main[[#This Row],[Tech Start Date]],28),IF(Main[[#This Row],[Class]]="B", WORKDAY(Main[[#This Row],[Tech Start Date]],19),IF(Main[[#This Row],[Class]]="A",WORKDAY(Main[[#This Row],[Tech Start Date]],9),""))))</f>
        <v/>
      </c>
      <c r="Q1058" s="67"/>
      <c r="R1058" s="67">
        <v>40494</v>
      </c>
      <c r="S1058" s="65" t="s">
        <v>6</v>
      </c>
      <c r="T1058" s="70" t="s">
        <v>4</v>
      </c>
      <c r="U1058" s="65" t="s">
        <v>29</v>
      </c>
      <c r="V1058" s="65" t="s">
        <v>1920</v>
      </c>
      <c r="W1058" s="65" t="s">
        <v>1921</v>
      </c>
      <c r="X1058" s="65" t="s">
        <v>2893</v>
      </c>
      <c r="Y1058" s="65" t="s">
        <v>3049</v>
      </c>
      <c r="Z1058" s="65" t="s">
        <v>415</v>
      </c>
      <c r="AA1058" s="65" t="s">
        <v>2893</v>
      </c>
    </row>
    <row r="1059" spans="1:27" ht="17.45" customHeight="1">
      <c r="A1059" s="131" t="str">
        <f>IF(priority(Main[[#This Row],[Comments]])&lt;&gt;0, priority(Main[[#This Row],[Comments]]),"")</f>
        <v/>
      </c>
      <c r="B1059" s="99" t="s">
        <v>1798</v>
      </c>
      <c r="C1059" s="65" t="s">
        <v>4</v>
      </c>
      <c r="D1059" s="66" t="s">
        <v>841</v>
      </c>
      <c r="E1059" s="67">
        <v>40639.681793981479</v>
      </c>
      <c r="F1059" s="67"/>
      <c r="G1059" s="64" t="str">
        <f>IF(stdProdLT(Main[[#This Row],[Comments]])=0.1,"N/A",IF(stdProdLT(Main[[#This Row],[Comments]])=0,"",stdProdLT(Main[[#This Row],[Comments]])))</f>
        <v/>
      </c>
      <c r="H1059" s="68" t="str">
        <f>IF(AND(Main[[#This Row],[In Stock Date]]&lt;&gt;"",Main[[#This Row],[Revised Due Date]]&lt;&gt;""),Main[[#This Row],[In Stock Date]]-Main[[#This Row],[Revised Due Date]],"")</f>
        <v/>
      </c>
      <c r="I1059" s="65" t="s">
        <v>130</v>
      </c>
      <c r="J1059" s="65" t="s">
        <v>70</v>
      </c>
      <c r="K1059" s="65" t="s">
        <v>1926</v>
      </c>
      <c r="L1059" s="67"/>
      <c r="M1059" s="69" t="str">
        <f>IF(Main[[#This Row],[Tech Start Date]]&lt;1/1/1990,"",IF(Main[[#This Row],[Class]]="C",WORKDAY(Main[[#This Row],[Tech Start Date]],9),IF(Main[[#This Row],[Class]]="B", WORKDAY(Main[[#This Row],[Tech Start Date]],6),IF(Main[[#This Row],[Class]]="A",WORKDAY(Main[[#This Row],[Tech Start Date]],2),""))))</f>
        <v/>
      </c>
      <c r="N1059" s="69" t="str">
        <f>IF(Main[[#This Row],[Tech Start Date]]&lt;1/1/1990,"",IF(Main[[#This Row],[Class]]="C",WORKDAY(Main[[#This Row],[Tech Start Date]],19),IF(Main[[#This Row],[Class]]="B", WORKDAY(Main[[#This Row],[Tech Start Date]],12),IF(Main[[#This Row],[Class]]="A",WORKDAY(Main[[#This Row],[Tech Start Date]],4),""))))</f>
        <v/>
      </c>
      <c r="O1059" s="69" t="str">
        <f>IF(Main[[#This Row],[Tech Start Date]]&lt;1/1/1990,"",IF(Main[[#This Row],[Class]]="C",WORKDAY(Main[[#This Row],[Tech Start Date]],23),IF(Main[[#This Row],[Class]]="B", WORKDAY(Main[[#This Row],[Tech Start Date]],15),IF(Main[[#This Row],[Class]]="A",WORKDAY(Main[[#This Row],[Tech Start Date]],5),""))))</f>
        <v/>
      </c>
      <c r="P1059" s="69" t="str">
        <f>IF(Main[[#This Row],[Tech Start Date]]&lt;1/1/1990,"",IF(Main[[#This Row],[Class]]="C",WORKDAY(Main[[#This Row],[Tech Start Date]],28),IF(Main[[#This Row],[Class]]="B", WORKDAY(Main[[#This Row],[Tech Start Date]],19),IF(Main[[#This Row],[Class]]="A",WORKDAY(Main[[#This Row],[Tech Start Date]],9),""))))</f>
        <v/>
      </c>
      <c r="Q1059" s="67">
        <v>40669</v>
      </c>
      <c r="R1059" s="67"/>
      <c r="S1059" s="65" t="s">
        <v>6</v>
      </c>
      <c r="T1059" s="70" t="s">
        <v>4</v>
      </c>
      <c r="U1059" s="65" t="s">
        <v>29</v>
      </c>
      <c r="V1059" s="65" t="s">
        <v>1920</v>
      </c>
      <c r="W1059" s="65" t="s">
        <v>1921</v>
      </c>
      <c r="X1059" s="65" t="s">
        <v>2825</v>
      </c>
      <c r="Y1059" s="65" t="s">
        <v>2938</v>
      </c>
      <c r="Z1059" s="65" t="s">
        <v>530</v>
      </c>
      <c r="AA1059" s="65" t="s">
        <v>2825</v>
      </c>
    </row>
    <row r="1060" spans="1:27" ht="17.45" customHeight="1">
      <c r="A1060" s="131" t="str">
        <f>IF(priority(Main[[#This Row],[Comments]])&lt;&gt;0, priority(Main[[#This Row],[Comments]]),"")</f>
        <v/>
      </c>
      <c r="B1060" s="99" t="s">
        <v>1894</v>
      </c>
      <c r="C1060" s="65" t="s">
        <v>116</v>
      </c>
      <c r="D1060" s="66" t="s">
        <v>2318</v>
      </c>
      <c r="E1060" s="67">
        <v>40673.421898148146</v>
      </c>
      <c r="F1060" s="67"/>
      <c r="G1060" s="64" t="str">
        <f>IF(stdProdLT(Main[[#This Row],[Comments]])=0.1,"N/A",IF(stdProdLT(Main[[#This Row],[Comments]])=0,"",stdProdLT(Main[[#This Row],[Comments]])))</f>
        <v/>
      </c>
      <c r="H1060" s="68" t="str">
        <f>IF(AND(Main[[#This Row],[In Stock Date]]&lt;&gt;"",Main[[#This Row],[Revised Due Date]]&lt;&gt;""),Main[[#This Row],[In Stock Date]]-Main[[#This Row],[Revised Due Date]],"")</f>
        <v/>
      </c>
      <c r="I1060" s="65" t="s">
        <v>939</v>
      </c>
      <c r="J1060" s="65" t="s">
        <v>28</v>
      </c>
      <c r="K1060" s="65" t="s">
        <v>1929</v>
      </c>
      <c r="L1060" s="67"/>
      <c r="M1060" s="69" t="str">
        <f>IF(Main[[#This Row],[Tech Start Date]]&lt;1/1/1990,"",IF(Main[[#This Row],[Class]]="C",WORKDAY(Main[[#This Row],[Tech Start Date]],9),IF(Main[[#This Row],[Class]]="B", WORKDAY(Main[[#This Row],[Tech Start Date]],6),IF(Main[[#This Row],[Class]]="A",WORKDAY(Main[[#This Row],[Tech Start Date]],2),""))))</f>
        <v/>
      </c>
      <c r="N1060" s="69" t="str">
        <f>IF(Main[[#This Row],[Tech Start Date]]&lt;1/1/1990,"",IF(Main[[#This Row],[Class]]="C",WORKDAY(Main[[#This Row],[Tech Start Date]],19),IF(Main[[#This Row],[Class]]="B", WORKDAY(Main[[#This Row],[Tech Start Date]],12),IF(Main[[#This Row],[Class]]="A",WORKDAY(Main[[#This Row],[Tech Start Date]],4),""))))</f>
        <v/>
      </c>
      <c r="O1060" s="69" t="str">
        <f>IF(Main[[#This Row],[Tech Start Date]]&lt;1/1/1990,"",IF(Main[[#This Row],[Class]]="C",WORKDAY(Main[[#This Row],[Tech Start Date]],23),IF(Main[[#This Row],[Class]]="B", WORKDAY(Main[[#This Row],[Tech Start Date]],15),IF(Main[[#This Row],[Class]]="A",WORKDAY(Main[[#This Row],[Tech Start Date]],5),""))))</f>
        <v/>
      </c>
      <c r="P1060" s="69" t="str">
        <f>IF(Main[[#This Row],[Tech Start Date]]&lt;1/1/1990,"",IF(Main[[#This Row],[Class]]="C",WORKDAY(Main[[#This Row],[Tech Start Date]],28),IF(Main[[#This Row],[Class]]="B", WORKDAY(Main[[#This Row],[Tech Start Date]],19),IF(Main[[#This Row],[Class]]="A",WORKDAY(Main[[#This Row],[Tech Start Date]],9),""))))</f>
        <v/>
      </c>
      <c r="Q1060" s="67">
        <v>40724</v>
      </c>
      <c r="R1060" s="67">
        <v>40847</v>
      </c>
      <c r="S1060" s="65" t="s">
        <v>6</v>
      </c>
      <c r="T1060" s="70" t="s">
        <v>2419</v>
      </c>
      <c r="U1060" s="65" t="s">
        <v>29</v>
      </c>
      <c r="V1060" s="65" t="s">
        <v>1917</v>
      </c>
      <c r="W1060" s="65" t="s">
        <v>1921</v>
      </c>
      <c r="X1060" s="65" t="s">
        <v>914</v>
      </c>
      <c r="Y1060" s="65" t="s">
        <v>3063</v>
      </c>
      <c r="Z1060" s="65" t="s">
        <v>129</v>
      </c>
      <c r="AA1060" s="65" t="s">
        <v>914</v>
      </c>
    </row>
    <row r="1061" spans="1:27" ht="17.45" customHeight="1">
      <c r="A1061" s="131" t="str">
        <f>IF(priority(Main[[#This Row],[Comments]])&lt;&gt;0, priority(Main[[#This Row],[Comments]]),"")</f>
        <v/>
      </c>
      <c r="B1061" s="99" t="s">
        <v>2420</v>
      </c>
      <c r="C1061" s="65" t="s">
        <v>213</v>
      </c>
      <c r="D1061" s="66" t="s">
        <v>2421</v>
      </c>
      <c r="E1061" s="67">
        <v>40861.655509259261</v>
      </c>
      <c r="F1061" s="67"/>
      <c r="G1061" s="64" t="str">
        <f>IF(stdProdLT(Main[[#This Row],[Comments]])=0.1,"N/A",IF(stdProdLT(Main[[#This Row],[Comments]])=0,"",stdProdLT(Main[[#This Row],[Comments]])))</f>
        <v/>
      </c>
      <c r="H1061" s="68" t="str">
        <f>IF(AND(Main[[#This Row],[In Stock Date]]&lt;&gt;"",Main[[#This Row],[Revised Due Date]]&lt;&gt;""),Main[[#This Row],[In Stock Date]]-Main[[#This Row],[Revised Due Date]],"")</f>
        <v/>
      </c>
      <c r="I1061" s="65" t="s">
        <v>4</v>
      </c>
      <c r="J1061" s="65" t="s">
        <v>4</v>
      </c>
      <c r="K1061" s="65" t="s">
        <v>4</v>
      </c>
      <c r="L1061" s="67"/>
      <c r="M1061" s="69" t="str">
        <f>IF(Main[[#This Row],[Tech Start Date]]&lt;1/1/1990,"",IF(Main[[#This Row],[Class]]="C",WORKDAY(Main[[#This Row],[Tech Start Date]],9),IF(Main[[#This Row],[Class]]="B", WORKDAY(Main[[#This Row],[Tech Start Date]],6),IF(Main[[#This Row],[Class]]="A",WORKDAY(Main[[#This Row],[Tech Start Date]],2),""))))</f>
        <v/>
      </c>
      <c r="N1061" s="69" t="str">
        <f>IF(Main[[#This Row],[Tech Start Date]]&lt;1/1/1990,"",IF(Main[[#This Row],[Class]]="C",WORKDAY(Main[[#This Row],[Tech Start Date]],19),IF(Main[[#This Row],[Class]]="B", WORKDAY(Main[[#This Row],[Tech Start Date]],12),IF(Main[[#This Row],[Class]]="A",WORKDAY(Main[[#This Row],[Tech Start Date]],4),""))))</f>
        <v/>
      </c>
      <c r="O1061" s="69" t="str">
        <f>IF(Main[[#This Row],[Tech Start Date]]&lt;1/1/1990,"",IF(Main[[#This Row],[Class]]="C",WORKDAY(Main[[#This Row],[Tech Start Date]],23),IF(Main[[#This Row],[Class]]="B", WORKDAY(Main[[#This Row],[Tech Start Date]],15),IF(Main[[#This Row],[Class]]="A",WORKDAY(Main[[#This Row],[Tech Start Date]],5),""))))</f>
        <v/>
      </c>
      <c r="P1061" s="69" t="str">
        <f>IF(Main[[#This Row],[Tech Start Date]]&lt;1/1/1990,"",IF(Main[[#This Row],[Class]]="C",WORKDAY(Main[[#This Row],[Tech Start Date]],28),IF(Main[[#This Row],[Class]]="B", WORKDAY(Main[[#This Row],[Tech Start Date]],19),IF(Main[[#This Row],[Class]]="A",WORKDAY(Main[[#This Row],[Tech Start Date]],9),""))))</f>
        <v/>
      </c>
      <c r="Q1061" s="67">
        <v>40967</v>
      </c>
      <c r="R1061" s="67"/>
      <c r="S1061" s="65" t="s">
        <v>17</v>
      </c>
      <c r="T1061" s="70" t="s">
        <v>4</v>
      </c>
      <c r="U1061" s="65" t="s">
        <v>7</v>
      </c>
      <c r="V1061" s="65" t="s">
        <v>1927</v>
      </c>
      <c r="W1061" s="65" t="s">
        <v>1922</v>
      </c>
      <c r="X1061" s="65" t="s">
        <v>431</v>
      </c>
      <c r="Y1061" s="65" t="s">
        <v>3129</v>
      </c>
      <c r="Z1061" s="65" t="s">
        <v>4</v>
      </c>
      <c r="AA1061" s="65" t="s">
        <v>431</v>
      </c>
    </row>
    <row r="1062" spans="1:27" ht="17.45" customHeight="1">
      <c r="A1062" s="131" t="str">
        <f>IF(priority(Main[[#This Row],[Comments]])&lt;&gt;0, priority(Main[[#This Row],[Comments]]),"")</f>
        <v/>
      </c>
      <c r="B1062" s="99" t="s">
        <v>2282</v>
      </c>
      <c r="C1062" s="65" t="s">
        <v>2283</v>
      </c>
      <c r="D1062" s="66" t="s">
        <v>2284</v>
      </c>
      <c r="E1062" s="67"/>
      <c r="F1062" s="67">
        <v>40816</v>
      </c>
      <c r="G1062" s="64" t="str">
        <f>IF(stdProdLT(Main[[#This Row],[Comments]])=0.1,"N/A",IF(stdProdLT(Main[[#This Row],[Comments]])=0,"",stdProdLT(Main[[#This Row],[Comments]])))</f>
        <v/>
      </c>
      <c r="H1062" s="68" t="str">
        <f>IF(AND(Main[[#This Row],[In Stock Date]]&lt;&gt;"",Main[[#This Row],[Revised Due Date]]&lt;&gt;""),Main[[#This Row],[In Stock Date]]-Main[[#This Row],[Revised Due Date]],"")</f>
        <v/>
      </c>
      <c r="I1062" s="65" t="s">
        <v>4</v>
      </c>
      <c r="J1062" s="65" t="s">
        <v>4</v>
      </c>
      <c r="K1062" s="65" t="s">
        <v>4</v>
      </c>
      <c r="L1062" s="67"/>
      <c r="M1062" s="69" t="str">
        <f>IF(Main[[#This Row],[Tech Start Date]]&lt;1/1/1990,"",IF(Main[[#This Row],[Class]]="C",WORKDAY(Main[[#This Row],[Tech Start Date]],9),IF(Main[[#This Row],[Class]]="B", WORKDAY(Main[[#This Row],[Tech Start Date]],6),IF(Main[[#This Row],[Class]]="A",WORKDAY(Main[[#This Row],[Tech Start Date]],2),""))))</f>
        <v/>
      </c>
      <c r="N1062" s="69" t="str">
        <f>IF(Main[[#This Row],[Tech Start Date]]&lt;1/1/1990,"",IF(Main[[#This Row],[Class]]="C",WORKDAY(Main[[#This Row],[Tech Start Date]],19),IF(Main[[#This Row],[Class]]="B", WORKDAY(Main[[#This Row],[Tech Start Date]],12),IF(Main[[#This Row],[Class]]="A",WORKDAY(Main[[#This Row],[Tech Start Date]],4),""))))</f>
        <v/>
      </c>
      <c r="O1062" s="69" t="str">
        <f>IF(Main[[#This Row],[Tech Start Date]]&lt;1/1/1990,"",IF(Main[[#This Row],[Class]]="C",WORKDAY(Main[[#This Row],[Tech Start Date]],23),IF(Main[[#This Row],[Class]]="B", WORKDAY(Main[[#This Row],[Tech Start Date]],15),IF(Main[[#This Row],[Class]]="A",WORKDAY(Main[[#This Row],[Tech Start Date]],5),""))))</f>
        <v/>
      </c>
      <c r="P1062" s="69" t="str">
        <f>IF(Main[[#This Row],[Tech Start Date]]&lt;1/1/1990,"",IF(Main[[#This Row],[Class]]="C",WORKDAY(Main[[#This Row],[Tech Start Date]],28),IF(Main[[#This Row],[Class]]="B", WORKDAY(Main[[#This Row],[Tech Start Date]],19),IF(Main[[#This Row],[Class]]="A",WORKDAY(Main[[#This Row],[Tech Start Date]],9),""))))</f>
        <v/>
      </c>
      <c r="Q1062" s="67">
        <v>40816</v>
      </c>
      <c r="R1062" s="67"/>
      <c r="S1062" s="65" t="s">
        <v>296</v>
      </c>
      <c r="T1062" s="70" t="s">
        <v>4</v>
      </c>
      <c r="U1062" s="65" t="s">
        <v>14</v>
      </c>
      <c r="V1062" s="65" t="s">
        <v>1927</v>
      </c>
      <c r="W1062" s="65" t="s">
        <v>1925</v>
      </c>
      <c r="X1062" s="65" t="s">
        <v>2916</v>
      </c>
      <c r="Y1062" s="65" t="s">
        <v>3130</v>
      </c>
      <c r="Z1062" s="65" t="s">
        <v>4</v>
      </c>
      <c r="AA1062" s="65" t="s">
        <v>3461</v>
      </c>
    </row>
    <row r="1063" spans="1:27" ht="17.45" customHeight="1">
      <c r="A1063" s="131" t="str">
        <f>IF(priority(Main[[#This Row],[Comments]])&lt;&gt;0, priority(Main[[#This Row],[Comments]]),"")</f>
        <v/>
      </c>
      <c r="B1063" s="99" t="s">
        <v>2422</v>
      </c>
      <c r="C1063" s="65" t="s">
        <v>4</v>
      </c>
      <c r="D1063" s="66" t="s">
        <v>2423</v>
      </c>
      <c r="E1063" s="67">
        <v>40826.139097222222</v>
      </c>
      <c r="F1063" s="67"/>
      <c r="G1063" s="64" t="str">
        <f>IF(stdProdLT(Main[[#This Row],[Comments]])=0.1,"N/A",IF(stdProdLT(Main[[#This Row],[Comments]])=0,"",stdProdLT(Main[[#This Row],[Comments]])))</f>
        <v/>
      </c>
      <c r="H1063" s="68" t="str">
        <f>IF(AND(Main[[#This Row],[In Stock Date]]&lt;&gt;"",Main[[#This Row],[Revised Due Date]]&lt;&gt;""),Main[[#This Row],[In Stock Date]]-Main[[#This Row],[Revised Due Date]],"")</f>
        <v/>
      </c>
      <c r="I1063" s="65" t="s">
        <v>4</v>
      </c>
      <c r="J1063" s="65" t="s">
        <v>4</v>
      </c>
      <c r="K1063" s="65" t="s">
        <v>4</v>
      </c>
      <c r="L1063" s="67"/>
      <c r="M1063" s="69" t="str">
        <f>IF(Main[[#This Row],[Tech Start Date]]&lt;1/1/1990,"",IF(Main[[#This Row],[Class]]="C",WORKDAY(Main[[#This Row],[Tech Start Date]],9),IF(Main[[#This Row],[Class]]="B", WORKDAY(Main[[#This Row],[Tech Start Date]],6),IF(Main[[#This Row],[Class]]="A",WORKDAY(Main[[#This Row],[Tech Start Date]],2),""))))</f>
        <v/>
      </c>
      <c r="N1063" s="69" t="str">
        <f>IF(Main[[#This Row],[Tech Start Date]]&lt;1/1/1990,"",IF(Main[[#This Row],[Class]]="C",WORKDAY(Main[[#This Row],[Tech Start Date]],19),IF(Main[[#This Row],[Class]]="B", WORKDAY(Main[[#This Row],[Tech Start Date]],12),IF(Main[[#This Row],[Class]]="A",WORKDAY(Main[[#This Row],[Tech Start Date]],4),""))))</f>
        <v/>
      </c>
      <c r="O1063" s="69" t="str">
        <f>IF(Main[[#This Row],[Tech Start Date]]&lt;1/1/1990,"",IF(Main[[#This Row],[Class]]="C",WORKDAY(Main[[#This Row],[Tech Start Date]],23),IF(Main[[#This Row],[Class]]="B", WORKDAY(Main[[#This Row],[Tech Start Date]],15),IF(Main[[#This Row],[Class]]="A",WORKDAY(Main[[#This Row],[Tech Start Date]],5),""))))</f>
        <v/>
      </c>
      <c r="P1063" s="69" t="str">
        <f>IF(Main[[#This Row],[Tech Start Date]]&lt;1/1/1990,"",IF(Main[[#This Row],[Class]]="C",WORKDAY(Main[[#This Row],[Tech Start Date]],28),IF(Main[[#This Row],[Class]]="B", WORKDAY(Main[[#This Row],[Tech Start Date]],19),IF(Main[[#This Row],[Class]]="A",WORKDAY(Main[[#This Row],[Tech Start Date]],9),""))))</f>
        <v/>
      </c>
      <c r="Q1063" s="67">
        <v>40847</v>
      </c>
      <c r="R1063" s="67"/>
      <c r="S1063" s="65" t="s">
        <v>6</v>
      </c>
      <c r="T1063" s="70" t="s">
        <v>4</v>
      </c>
      <c r="U1063" s="65" t="s">
        <v>7</v>
      </c>
      <c r="V1063" s="65" t="s">
        <v>1917</v>
      </c>
      <c r="W1063" s="65" t="s">
        <v>4</v>
      </c>
      <c r="X1063" s="65" t="s">
        <v>2857</v>
      </c>
      <c r="Y1063" s="65" t="s">
        <v>2992</v>
      </c>
      <c r="Z1063" s="65" t="s">
        <v>4</v>
      </c>
      <c r="AA1063" s="65" t="s">
        <v>2857</v>
      </c>
    </row>
    <row r="1064" spans="1:27" ht="17.45" customHeight="1">
      <c r="A1064" s="131" t="str">
        <f>IF(priority(Main[[#This Row],[Comments]])&lt;&gt;0, priority(Main[[#This Row],[Comments]]),"")</f>
        <v/>
      </c>
      <c r="B1064" s="99" t="s">
        <v>2398</v>
      </c>
      <c r="C1064" s="65" t="s">
        <v>4</v>
      </c>
      <c r="D1064" s="66" t="s">
        <v>2399</v>
      </c>
      <c r="E1064" s="67"/>
      <c r="F1064" s="67"/>
      <c r="G1064" s="64" t="str">
        <f>IF(stdProdLT(Main[[#This Row],[Comments]])=0.1,"N/A",IF(stdProdLT(Main[[#This Row],[Comments]])=0,"",stdProdLT(Main[[#This Row],[Comments]])))</f>
        <v/>
      </c>
      <c r="H1064" s="68" t="str">
        <f>IF(AND(Main[[#This Row],[In Stock Date]]&lt;&gt;"",Main[[#This Row],[Revised Due Date]]&lt;&gt;""),Main[[#This Row],[In Stock Date]]-Main[[#This Row],[Revised Due Date]],"")</f>
        <v/>
      </c>
      <c r="I1064" s="65" t="s">
        <v>4</v>
      </c>
      <c r="J1064" s="65" t="s">
        <v>4</v>
      </c>
      <c r="K1064" s="65" t="s">
        <v>4</v>
      </c>
      <c r="L1064" s="67"/>
      <c r="M1064" s="69" t="str">
        <f>IF(Main[[#This Row],[Tech Start Date]]&lt;1/1/1990,"",IF(Main[[#This Row],[Class]]="C",WORKDAY(Main[[#This Row],[Tech Start Date]],9),IF(Main[[#This Row],[Class]]="B", WORKDAY(Main[[#This Row],[Tech Start Date]],6),IF(Main[[#This Row],[Class]]="A",WORKDAY(Main[[#This Row],[Tech Start Date]],2),""))))</f>
        <v/>
      </c>
      <c r="N1064" s="69" t="str">
        <f>IF(Main[[#This Row],[Tech Start Date]]&lt;1/1/1990,"",IF(Main[[#This Row],[Class]]="C",WORKDAY(Main[[#This Row],[Tech Start Date]],19),IF(Main[[#This Row],[Class]]="B", WORKDAY(Main[[#This Row],[Tech Start Date]],12),IF(Main[[#This Row],[Class]]="A",WORKDAY(Main[[#This Row],[Tech Start Date]],4),""))))</f>
        <v/>
      </c>
      <c r="O1064" s="69" t="str">
        <f>IF(Main[[#This Row],[Tech Start Date]]&lt;1/1/1990,"",IF(Main[[#This Row],[Class]]="C",WORKDAY(Main[[#This Row],[Tech Start Date]],23),IF(Main[[#This Row],[Class]]="B", WORKDAY(Main[[#This Row],[Tech Start Date]],15),IF(Main[[#This Row],[Class]]="A",WORKDAY(Main[[#This Row],[Tech Start Date]],5),""))))</f>
        <v/>
      </c>
      <c r="P1064" s="69" t="str">
        <f>IF(Main[[#This Row],[Tech Start Date]]&lt;1/1/1990,"",IF(Main[[#This Row],[Class]]="C",WORKDAY(Main[[#This Row],[Tech Start Date]],28),IF(Main[[#This Row],[Class]]="B", WORKDAY(Main[[#This Row],[Tech Start Date]],19),IF(Main[[#This Row],[Class]]="A",WORKDAY(Main[[#This Row],[Tech Start Date]],9),""))))</f>
        <v/>
      </c>
      <c r="Q1064" s="67"/>
      <c r="R1064" s="67"/>
      <c r="S1064" s="65" t="s">
        <v>6</v>
      </c>
      <c r="T1064" s="70" t="s">
        <v>4</v>
      </c>
      <c r="U1064" s="65" t="s">
        <v>14</v>
      </c>
      <c r="V1064" s="65" t="s">
        <v>1917</v>
      </c>
      <c r="W1064" s="65" t="s">
        <v>1921</v>
      </c>
      <c r="X1064" s="65" t="s">
        <v>399</v>
      </c>
      <c r="Y1064" s="65" t="s">
        <v>4</v>
      </c>
      <c r="Z1064" s="65" t="s">
        <v>4</v>
      </c>
      <c r="AA1064" s="65" t="s">
        <v>3465</v>
      </c>
    </row>
    <row r="1065" spans="1:27" ht="17.45" customHeight="1">
      <c r="A1065" s="131" t="str">
        <f>IF(priority(Main[[#This Row],[Comments]])&lt;&gt;0, priority(Main[[#This Row],[Comments]]),"")</f>
        <v/>
      </c>
      <c r="B1065" s="99" t="s">
        <v>1634</v>
      </c>
      <c r="C1065" s="65" t="s">
        <v>79</v>
      </c>
      <c r="D1065" s="66" t="s">
        <v>706</v>
      </c>
      <c r="E1065" s="67">
        <v>40610.683993055558</v>
      </c>
      <c r="F1065" s="67"/>
      <c r="G1065" s="64" t="str">
        <f>IF(stdProdLT(Main[[#This Row],[Comments]])=0.1,"N/A",IF(stdProdLT(Main[[#This Row],[Comments]])=0,"",stdProdLT(Main[[#This Row],[Comments]])))</f>
        <v/>
      </c>
      <c r="H1065" s="68" t="str">
        <f>IF(AND(Main[[#This Row],[In Stock Date]]&lt;&gt;"",Main[[#This Row],[Revised Due Date]]&lt;&gt;""),Main[[#This Row],[In Stock Date]]-Main[[#This Row],[Revised Due Date]],"")</f>
        <v/>
      </c>
      <c r="I1065" s="65" t="s">
        <v>530</v>
      </c>
      <c r="J1065" s="65" t="s">
        <v>28</v>
      </c>
      <c r="K1065" s="65" t="s">
        <v>1929</v>
      </c>
      <c r="L1065" s="67"/>
      <c r="M1065" s="69" t="str">
        <f>IF(Main[[#This Row],[Tech Start Date]]&lt;1/1/1990,"",IF(Main[[#This Row],[Class]]="C",WORKDAY(Main[[#This Row],[Tech Start Date]],9),IF(Main[[#This Row],[Class]]="B", WORKDAY(Main[[#This Row],[Tech Start Date]],6),IF(Main[[#This Row],[Class]]="A",WORKDAY(Main[[#This Row],[Tech Start Date]],2),""))))</f>
        <v/>
      </c>
      <c r="N1065" s="69" t="str">
        <f>IF(Main[[#This Row],[Tech Start Date]]&lt;1/1/1990,"",IF(Main[[#This Row],[Class]]="C",WORKDAY(Main[[#This Row],[Tech Start Date]],19),IF(Main[[#This Row],[Class]]="B", WORKDAY(Main[[#This Row],[Tech Start Date]],12),IF(Main[[#This Row],[Class]]="A",WORKDAY(Main[[#This Row],[Tech Start Date]],4),""))))</f>
        <v/>
      </c>
      <c r="O1065" s="69" t="str">
        <f>IF(Main[[#This Row],[Tech Start Date]]&lt;1/1/1990,"",IF(Main[[#This Row],[Class]]="C",WORKDAY(Main[[#This Row],[Tech Start Date]],23),IF(Main[[#This Row],[Class]]="B", WORKDAY(Main[[#This Row],[Tech Start Date]],15),IF(Main[[#This Row],[Class]]="A",WORKDAY(Main[[#This Row],[Tech Start Date]],5),""))))</f>
        <v/>
      </c>
      <c r="P1065" s="69" t="str">
        <f>IF(Main[[#This Row],[Tech Start Date]]&lt;1/1/1990,"",IF(Main[[#This Row],[Class]]="C",WORKDAY(Main[[#This Row],[Tech Start Date]],28),IF(Main[[#This Row],[Class]]="B", WORKDAY(Main[[#This Row],[Tech Start Date]],19),IF(Main[[#This Row],[Class]]="A",WORKDAY(Main[[#This Row],[Tech Start Date]],9),""))))</f>
        <v/>
      </c>
      <c r="Q1065" s="67">
        <v>40725</v>
      </c>
      <c r="R1065" s="67"/>
      <c r="S1065" s="65" t="s">
        <v>6</v>
      </c>
      <c r="T1065" s="70" t="s">
        <v>4</v>
      </c>
      <c r="U1065" s="65" t="s">
        <v>29</v>
      </c>
      <c r="V1065" s="65" t="s">
        <v>1920</v>
      </c>
      <c r="W1065" s="65" t="s">
        <v>1919</v>
      </c>
      <c r="X1065" s="65" t="s">
        <v>554</v>
      </c>
      <c r="Y1065" s="65" t="s">
        <v>2958</v>
      </c>
      <c r="Z1065" s="65" t="s">
        <v>30</v>
      </c>
      <c r="AA1065" s="65" t="s">
        <v>554</v>
      </c>
    </row>
    <row r="1066" spans="1:27" ht="17.45" customHeight="1">
      <c r="A1066" s="131" t="str">
        <f>IF(priority(Main[[#This Row],[Comments]])&lt;&gt;0, priority(Main[[#This Row],[Comments]]),"")</f>
        <v/>
      </c>
      <c r="B1066" s="99" t="s">
        <v>1173</v>
      </c>
      <c r="C1066" s="65" t="s">
        <v>4</v>
      </c>
      <c r="D1066" s="66" t="s">
        <v>2427</v>
      </c>
      <c r="E1066" s="67">
        <v>40567.661041666666</v>
      </c>
      <c r="F1066" s="67">
        <v>40602</v>
      </c>
      <c r="G1066" s="64" t="str">
        <f>IF(stdProdLT(Main[[#This Row],[Comments]])=0.1,"N/A",IF(stdProdLT(Main[[#This Row],[Comments]])=0,"",stdProdLT(Main[[#This Row],[Comments]])))</f>
        <v/>
      </c>
      <c r="H1066" s="68" t="str">
        <f>IF(AND(Main[[#This Row],[In Stock Date]]&lt;&gt;"",Main[[#This Row],[Revised Due Date]]&lt;&gt;""),Main[[#This Row],[In Stock Date]]-Main[[#This Row],[Revised Due Date]],"")</f>
        <v/>
      </c>
      <c r="I1066" s="65" t="s">
        <v>914</v>
      </c>
      <c r="J1066" s="65" t="s">
        <v>52</v>
      </c>
      <c r="K1066" s="65" t="s">
        <v>1926</v>
      </c>
      <c r="L1066" s="67"/>
      <c r="M1066" s="69" t="str">
        <f>IF(Main[[#This Row],[Tech Start Date]]&lt;1/1/1990,"",IF(Main[[#This Row],[Class]]="C",WORKDAY(Main[[#This Row],[Tech Start Date]],9),IF(Main[[#This Row],[Class]]="B", WORKDAY(Main[[#This Row],[Tech Start Date]],6),IF(Main[[#This Row],[Class]]="A",WORKDAY(Main[[#This Row],[Tech Start Date]],2),""))))</f>
        <v/>
      </c>
      <c r="N1066" s="69" t="str">
        <f>IF(Main[[#This Row],[Tech Start Date]]&lt;1/1/1990,"",IF(Main[[#This Row],[Class]]="C",WORKDAY(Main[[#This Row],[Tech Start Date]],19),IF(Main[[#This Row],[Class]]="B", WORKDAY(Main[[#This Row],[Tech Start Date]],12),IF(Main[[#This Row],[Class]]="A",WORKDAY(Main[[#This Row],[Tech Start Date]],4),""))))</f>
        <v/>
      </c>
      <c r="O1066" s="69" t="str">
        <f>IF(Main[[#This Row],[Tech Start Date]]&lt;1/1/1990,"",IF(Main[[#This Row],[Class]]="C",WORKDAY(Main[[#This Row],[Tech Start Date]],23),IF(Main[[#This Row],[Class]]="B", WORKDAY(Main[[#This Row],[Tech Start Date]],15),IF(Main[[#This Row],[Class]]="A",WORKDAY(Main[[#This Row],[Tech Start Date]],5),""))))</f>
        <v/>
      </c>
      <c r="P1066" s="69" t="str">
        <f>IF(Main[[#This Row],[Tech Start Date]]&lt;1/1/1990,"",IF(Main[[#This Row],[Class]]="C",WORKDAY(Main[[#This Row],[Tech Start Date]],28),IF(Main[[#This Row],[Class]]="B", WORKDAY(Main[[#This Row],[Tech Start Date]],19),IF(Main[[#This Row],[Class]]="A",WORKDAY(Main[[#This Row],[Tech Start Date]],9),""))))</f>
        <v/>
      </c>
      <c r="Q1066" s="67">
        <v>40602</v>
      </c>
      <c r="R1066" s="67"/>
      <c r="S1066" s="65" t="s">
        <v>6</v>
      </c>
      <c r="T1066" s="70" t="s">
        <v>4</v>
      </c>
      <c r="U1066" s="65" t="s">
        <v>29</v>
      </c>
      <c r="V1066" s="65" t="s">
        <v>1917</v>
      </c>
      <c r="W1066" s="65" t="s">
        <v>1919</v>
      </c>
      <c r="X1066" s="65" t="s">
        <v>2824</v>
      </c>
      <c r="Y1066" s="65" t="s">
        <v>2935</v>
      </c>
      <c r="Z1066" s="65" t="s">
        <v>129</v>
      </c>
      <c r="AA1066" s="65" t="s">
        <v>2824</v>
      </c>
    </row>
    <row r="1067" spans="1:27" ht="17.45" customHeight="1">
      <c r="A1067" s="131" t="str">
        <f>IF(priority(Main[[#This Row],[Comments]])&lt;&gt;0, priority(Main[[#This Row],[Comments]]),"")</f>
        <v/>
      </c>
      <c r="B1067" s="99" t="s">
        <v>1576</v>
      </c>
      <c r="C1067" s="65" t="s">
        <v>4</v>
      </c>
      <c r="D1067" s="66" t="s">
        <v>2428</v>
      </c>
      <c r="E1067" s="67">
        <v>40463.34134259259</v>
      </c>
      <c r="F1067" s="67"/>
      <c r="G1067" s="64" t="str">
        <f>IF(stdProdLT(Main[[#This Row],[Comments]])=0.1,"N/A",IF(stdProdLT(Main[[#This Row],[Comments]])=0,"",stdProdLT(Main[[#This Row],[Comments]])))</f>
        <v/>
      </c>
      <c r="H1067" s="68" t="str">
        <f>IF(AND(Main[[#This Row],[In Stock Date]]&lt;&gt;"",Main[[#This Row],[Revised Due Date]]&lt;&gt;""),Main[[#This Row],[In Stock Date]]-Main[[#This Row],[Revised Due Date]],"")</f>
        <v/>
      </c>
      <c r="I1067" s="65" t="s">
        <v>914</v>
      </c>
      <c r="J1067" s="65" t="s">
        <v>52</v>
      </c>
      <c r="K1067" s="65" t="s">
        <v>4</v>
      </c>
      <c r="L1067" s="67"/>
      <c r="M1067" s="69" t="str">
        <f>IF(Main[[#This Row],[Tech Start Date]]&lt;1/1/1990,"",IF(Main[[#This Row],[Class]]="C",WORKDAY(Main[[#This Row],[Tech Start Date]],9),IF(Main[[#This Row],[Class]]="B", WORKDAY(Main[[#This Row],[Tech Start Date]],6),IF(Main[[#This Row],[Class]]="A",WORKDAY(Main[[#This Row],[Tech Start Date]],2),""))))</f>
        <v/>
      </c>
      <c r="N1067" s="69" t="str">
        <f>IF(Main[[#This Row],[Tech Start Date]]&lt;1/1/1990,"",IF(Main[[#This Row],[Class]]="C",WORKDAY(Main[[#This Row],[Tech Start Date]],19),IF(Main[[#This Row],[Class]]="B", WORKDAY(Main[[#This Row],[Tech Start Date]],12),IF(Main[[#This Row],[Class]]="A",WORKDAY(Main[[#This Row],[Tech Start Date]],4),""))))</f>
        <v/>
      </c>
      <c r="O1067" s="69" t="str">
        <f>IF(Main[[#This Row],[Tech Start Date]]&lt;1/1/1990,"",IF(Main[[#This Row],[Class]]="C",WORKDAY(Main[[#This Row],[Tech Start Date]],23),IF(Main[[#This Row],[Class]]="B", WORKDAY(Main[[#This Row],[Tech Start Date]],15),IF(Main[[#This Row],[Class]]="A",WORKDAY(Main[[#This Row],[Tech Start Date]],5),""))))</f>
        <v/>
      </c>
      <c r="P1067" s="69" t="str">
        <f>IF(Main[[#This Row],[Tech Start Date]]&lt;1/1/1990,"",IF(Main[[#This Row],[Class]]="C",WORKDAY(Main[[#This Row],[Tech Start Date]],28),IF(Main[[#This Row],[Class]]="B", WORKDAY(Main[[#This Row],[Tech Start Date]],19),IF(Main[[#This Row],[Class]]="A",WORKDAY(Main[[#This Row],[Tech Start Date]],9),""))))</f>
        <v/>
      </c>
      <c r="Q1067" s="67">
        <v>40497</v>
      </c>
      <c r="R1067" s="67"/>
      <c r="S1067" s="65" t="s">
        <v>6</v>
      </c>
      <c r="T1067" s="70" t="s">
        <v>4</v>
      </c>
      <c r="U1067" s="65" t="s">
        <v>29</v>
      </c>
      <c r="V1067" s="65" t="s">
        <v>1917</v>
      </c>
      <c r="W1067" s="65" t="s">
        <v>1921</v>
      </c>
      <c r="X1067" s="65" t="s">
        <v>2824</v>
      </c>
      <c r="Y1067" s="65" t="s">
        <v>2935</v>
      </c>
      <c r="Z1067" s="65" t="s">
        <v>129</v>
      </c>
      <c r="AA1067" s="65" t="s">
        <v>2824</v>
      </c>
    </row>
    <row r="1068" spans="1:27" ht="17.45" customHeight="1">
      <c r="A1068" s="131" t="str">
        <f>IF(priority(Main[[#This Row],[Comments]])&lt;&gt;0, priority(Main[[#This Row],[Comments]]),"")</f>
        <v/>
      </c>
      <c r="B1068" s="99" t="s">
        <v>2429</v>
      </c>
      <c r="C1068" s="65" t="s">
        <v>4</v>
      </c>
      <c r="D1068" s="66" t="s">
        <v>2430</v>
      </c>
      <c r="E1068" s="67">
        <v>40833.65898148148</v>
      </c>
      <c r="F1068" s="67"/>
      <c r="G1068" s="64" t="str">
        <f>IF(stdProdLT(Main[[#This Row],[Comments]])=0.1,"N/A",IF(stdProdLT(Main[[#This Row],[Comments]])=0,"",stdProdLT(Main[[#This Row],[Comments]])))</f>
        <v/>
      </c>
      <c r="H1068" s="68" t="str">
        <f>IF(AND(Main[[#This Row],[In Stock Date]]&lt;&gt;"",Main[[#This Row],[Revised Due Date]]&lt;&gt;""),Main[[#This Row],[In Stock Date]]-Main[[#This Row],[Revised Due Date]],"")</f>
        <v/>
      </c>
      <c r="I1068" s="65" t="s">
        <v>530</v>
      </c>
      <c r="J1068" s="65" t="s">
        <v>28</v>
      </c>
      <c r="K1068" s="65" t="s">
        <v>1926</v>
      </c>
      <c r="L1068" s="67"/>
      <c r="M1068" s="69" t="str">
        <f>IF(Main[[#This Row],[Tech Start Date]]&lt;1/1/1990,"",IF(Main[[#This Row],[Class]]="C",WORKDAY(Main[[#This Row],[Tech Start Date]],9),IF(Main[[#This Row],[Class]]="B", WORKDAY(Main[[#This Row],[Tech Start Date]],6),IF(Main[[#This Row],[Class]]="A",WORKDAY(Main[[#This Row],[Tech Start Date]],2),""))))</f>
        <v/>
      </c>
      <c r="N1068" s="69" t="str">
        <f>IF(Main[[#This Row],[Tech Start Date]]&lt;1/1/1990,"",IF(Main[[#This Row],[Class]]="C",WORKDAY(Main[[#This Row],[Tech Start Date]],19),IF(Main[[#This Row],[Class]]="B", WORKDAY(Main[[#This Row],[Tech Start Date]],12),IF(Main[[#This Row],[Class]]="A",WORKDAY(Main[[#This Row],[Tech Start Date]],4),""))))</f>
        <v/>
      </c>
      <c r="O1068" s="69" t="str">
        <f>IF(Main[[#This Row],[Tech Start Date]]&lt;1/1/1990,"",IF(Main[[#This Row],[Class]]="C",WORKDAY(Main[[#This Row],[Tech Start Date]],23),IF(Main[[#This Row],[Class]]="B", WORKDAY(Main[[#This Row],[Tech Start Date]],15),IF(Main[[#This Row],[Class]]="A",WORKDAY(Main[[#This Row],[Tech Start Date]],5),""))))</f>
        <v/>
      </c>
      <c r="P1068" s="69" t="str">
        <f>IF(Main[[#This Row],[Tech Start Date]]&lt;1/1/1990,"",IF(Main[[#This Row],[Class]]="C",WORKDAY(Main[[#This Row],[Tech Start Date]],28),IF(Main[[#This Row],[Class]]="B", WORKDAY(Main[[#This Row],[Tech Start Date]],19),IF(Main[[#This Row],[Class]]="A",WORKDAY(Main[[#This Row],[Tech Start Date]],9),""))))</f>
        <v/>
      </c>
      <c r="Q1068" s="67">
        <v>40923</v>
      </c>
      <c r="R1068" s="67"/>
      <c r="S1068" s="65" t="s">
        <v>6</v>
      </c>
      <c r="T1068" s="70" t="s">
        <v>4</v>
      </c>
      <c r="U1068" s="65" t="s">
        <v>29</v>
      </c>
      <c r="V1068" s="65" t="s">
        <v>1920</v>
      </c>
      <c r="W1068" s="65" t="s">
        <v>1921</v>
      </c>
      <c r="X1068" s="65" t="s">
        <v>554</v>
      </c>
      <c r="Y1068" s="65" t="s">
        <v>2958</v>
      </c>
      <c r="Z1068" s="65" t="s">
        <v>30</v>
      </c>
      <c r="AA1068" s="65" t="s">
        <v>554</v>
      </c>
    </row>
    <row r="1069" spans="1:27" ht="17.45" customHeight="1">
      <c r="A1069" s="131" t="str">
        <f>IF(priority(Main[[#This Row],[Comments]])&lt;&gt;0, priority(Main[[#This Row],[Comments]]),"")</f>
        <v/>
      </c>
      <c r="B1069" s="99" t="s">
        <v>1768</v>
      </c>
      <c r="C1069" s="65" t="s">
        <v>4</v>
      </c>
      <c r="D1069" s="66" t="s">
        <v>2316</v>
      </c>
      <c r="E1069" s="67">
        <v>40660.402291666665</v>
      </c>
      <c r="F1069" s="67"/>
      <c r="G1069" s="64" t="str">
        <f>IF(stdProdLT(Main[[#This Row],[Comments]])=0.1,"N/A",IF(stdProdLT(Main[[#This Row],[Comments]])=0,"",stdProdLT(Main[[#This Row],[Comments]])))</f>
        <v/>
      </c>
      <c r="H1069" s="68" t="str">
        <f>IF(AND(Main[[#This Row],[In Stock Date]]&lt;&gt;"",Main[[#This Row],[Revised Due Date]]&lt;&gt;""),Main[[#This Row],[In Stock Date]]-Main[[#This Row],[Revised Due Date]],"")</f>
        <v/>
      </c>
      <c r="I1069" s="65" t="s">
        <v>562</v>
      </c>
      <c r="J1069" s="65" t="s">
        <v>21</v>
      </c>
      <c r="K1069" s="65" t="s">
        <v>4</v>
      </c>
      <c r="L1069" s="67"/>
      <c r="M1069" s="69" t="str">
        <f>IF(Main[[#This Row],[Tech Start Date]]&lt;1/1/1990,"",IF(Main[[#This Row],[Class]]="C",WORKDAY(Main[[#This Row],[Tech Start Date]],9),IF(Main[[#This Row],[Class]]="B", WORKDAY(Main[[#This Row],[Tech Start Date]],6),IF(Main[[#This Row],[Class]]="A",WORKDAY(Main[[#This Row],[Tech Start Date]],2),""))))</f>
        <v/>
      </c>
      <c r="N1069" s="69" t="str">
        <f>IF(Main[[#This Row],[Tech Start Date]]&lt;1/1/1990,"",IF(Main[[#This Row],[Class]]="C",WORKDAY(Main[[#This Row],[Tech Start Date]],19),IF(Main[[#This Row],[Class]]="B", WORKDAY(Main[[#This Row],[Tech Start Date]],12),IF(Main[[#This Row],[Class]]="A",WORKDAY(Main[[#This Row],[Tech Start Date]],4),""))))</f>
        <v/>
      </c>
      <c r="O1069" s="69" t="str">
        <f>IF(Main[[#This Row],[Tech Start Date]]&lt;1/1/1990,"",IF(Main[[#This Row],[Class]]="C",WORKDAY(Main[[#This Row],[Tech Start Date]],23),IF(Main[[#This Row],[Class]]="B", WORKDAY(Main[[#This Row],[Tech Start Date]],15),IF(Main[[#This Row],[Class]]="A",WORKDAY(Main[[#This Row],[Tech Start Date]],5),""))))</f>
        <v/>
      </c>
      <c r="P1069" s="69" t="str">
        <f>IF(Main[[#This Row],[Tech Start Date]]&lt;1/1/1990,"",IF(Main[[#This Row],[Class]]="C",WORKDAY(Main[[#This Row],[Tech Start Date]],28),IF(Main[[#This Row],[Class]]="B", WORKDAY(Main[[#This Row],[Tech Start Date]],19),IF(Main[[#This Row],[Class]]="A",WORKDAY(Main[[#This Row],[Tech Start Date]],9),""))))</f>
        <v/>
      </c>
      <c r="Q1069" s="67">
        <v>40676</v>
      </c>
      <c r="R1069" s="67"/>
      <c r="S1069" s="65" t="s">
        <v>6</v>
      </c>
      <c r="T1069" s="70" t="s">
        <v>4</v>
      </c>
      <c r="U1069" s="65" t="s">
        <v>29</v>
      </c>
      <c r="V1069" s="65" t="s">
        <v>1917</v>
      </c>
      <c r="W1069" s="65" t="s">
        <v>1921</v>
      </c>
      <c r="X1069" s="65" t="s">
        <v>2827</v>
      </c>
      <c r="Y1069" s="65" t="s">
        <v>2942</v>
      </c>
      <c r="Z1069" s="65" t="s">
        <v>4</v>
      </c>
      <c r="AA1069" s="65" t="s">
        <v>2827</v>
      </c>
    </row>
    <row r="1070" spans="1:27" ht="17.45" customHeight="1">
      <c r="A1070" s="131" t="str">
        <f>IF(priority(Main[[#This Row],[Comments]])&lt;&gt;0, priority(Main[[#This Row],[Comments]]),"")</f>
        <v/>
      </c>
      <c r="B1070" s="99" t="s">
        <v>2503</v>
      </c>
      <c r="C1070" s="65" t="s">
        <v>4</v>
      </c>
      <c r="D1070" s="66" t="s">
        <v>2504</v>
      </c>
      <c r="E1070" s="67"/>
      <c r="F1070" s="67"/>
      <c r="G1070" s="64" t="str">
        <f>IF(stdProdLT(Main[[#This Row],[Comments]])=0.1,"N/A",IF(stdProdLT(Main[[#This Row],[Comments]])=0,"",stdProdLT(Main[[#This Row],[Comments]])))</f>
        <v/>
      </c>
      <c r="H1070" s="68" t="str">
        <f>IF(AND(Main[[#This Row],[In Stock Date]]&lt;&gt;"",Main[[#This Row],[Revised Due Date]]&lt;&gt;""),Main[[#This Row],[In Stock Date]]-Main[[#This Row],[Revised Due Date]],"")</f>
        <v/>
      </c>
      <c r="I1070" s="65" t="s">
        <v>530</v>
      </c>
      <c r="J1070" s="65" t="s">
        <v>28</v>
      </c>
      <c r="K1070" s="65" t="s">
        <v>1926</v>
      </c>
      <c r="L1070" s="67"/>
      <c r="M1070" s="69" t="str">
        <f>IF(Main[[#This Row],[Tech Start Date]]&lt;1/1/1990,"",IF(Main[[#This Row],[Class]]="C",WORKDAY(Main[[#This Row],[Tech Start Date]],9),IF(Main[[#This Row],[Class]]="B", WORKDAY(Main[[#This Row],[Tech Start Date]],6),IF(Main[[#This Row],[Class]]="A",WORKDAY(Main[[#This Row],[Tech Start Date]],2),""))))</f>
        <v/>
      </c>
      <c r="N1070" s="69" t="str">
        <f>IF(Main[[#This Row],[Tech Start Date]]&lt;1/1/1990,"",IF(Main[[#This Row],[Class]]="C",WORKDAY(Main[[#This Row],[Tech Start Date]],19),IF(Main[[#This Row],[Class]]="B", WORKDAY(Main[[#This Row],[Tech Start Date]],12),IF(Main[[#This Row],[Class]]="A",WORKDAY(Main[[#This Row],[Tech Start Date]],4),""))))</f>
        <v/>
      </c>
      <c r="O1070" s="69" t="str">
        <f>IF(Main[[#This Row],[Tech Start Date]]&lt;1/1/1990,"",IF(Main[[#This Row],[Class]]="C",WORKDAY(Main[[#This Row],[Tech Start Date]],23),IF(Main[[#This Row],[Class]]="B", WORKDAY(Main[[#This Row],[Tech Start Date]],15),IF(Main[[#This Row],[Class]]="A",WORKDAY(Main[[#This Row],[Tech Start Date]],5),""))))</f>
        <v/>
      </c>
      <c r="P1070" s="69" t="str">
        <f>IF(Main[[#This Row],[Tech Start Date]]&lt;1/1/1990,"",IF(Main[[#This Row],[Class]]="C",WORKDAY(Main[[#This Row],[Tech Start Date]],28),IF(Main[[#This Row],[Class]]="B", WORKDAY(Main[[#This Row],[Tech Start Date]],19),IF(Main[[#This Row],[Class]]="A",WORKDAY(Main[[#This Row],[Tech Start Date]],9),""))))</f>
        <v/>
      </c>
      <c r="Q1070" s="67">
        <v>40939</v>
      </c>
      <c r="R1070" s="67"/>
      <c r="S1070" s="65" t="s">
        <v>6</v>
      </c>
      <c r="T1070" s="70" t="s">
        <v>4</v>
      </c>
      <c r="U1070" s="65" t="s">
        <v>14</v>
      </c>
      <c r="V1070" s="65" t="s">
        <v>1920</v>
      </c>
      <c r="W1070" s="65" t="s">
        <v>1921</v>
      </c>
      <c r="X1070" s="65" t="s">
        <v>554</v>
      </c>
      <c r="Y1070" s="65" t="s">
        <v>2958</v>
      </c>
      <c r="Z1070" s="65" t="s">
        <v>30</v>
      </c>
      <c r="AA1070" s="65" t="s">
        <v>554</v>
      </c>
    </row>
    <row r="1071" spans="1:27" ht="17.45" customHeight="1">
      <c r="A1071" s="131" t="str">
        <f>IF(priority(Main[[#This Row],[Comments]])&lt;&gt;0, priority(Main[[#This Row],[Comments]]),"")</f>
        <v/>
      </c>
      <c r="B1071" s="99" t="s">
        <v>3637</v>
      </c>
      <c r="C1071" s="65" t="s">
        <v>3638</v>
      </c>
      <c r="D1071" s="66" t="s">
        <v>3639</v>
      </c>
      <c r="E1071" s="67">
        <v>40956.576782407406</v>
      </c>
      <c r="F1071" s="67"/>
      <c r="G1071" s="64" t="str">
        <f>IF(stdProdLT(Main[[#This Row],[Comments]])=0.1,"N/A",IF(stdProdLT(Main[[#This Row],[Comments]])=0,"",stdProdLT(Main[[#This Row],[Comments]])))</f>
        <v>N/A</v>
      </c>
      <c r="H1071" s="68" t="str">
        <f>IF(AND(Main[[#This Row],[In Stock Date]]&lt;&gt;"",Main[[#This Row],[Revised Due Date]]&lt;&gt;""),Main[[#This Row],[In Stock Date]]-Main[[#This Row],[Revised Due Date]],"")</f>
        <v/>
      </c>
      <c r="I1071" s="65" t="s">
        <v>943</v>
      </c>
      <c r="J1071" s="65" t="s">
        <v>28</v>
      </c>
      <c r="K1071" s="65" t="s">
        <v>1924</v>
      </c>
      <c r="L1071" s="67"/>
      <c r="M1071" s="69" t="str">
        <f>IF(Main[[#This Row],[Tech Start Date]]&lt;1/1/1990,"",IF(Main[[#This Row],[Class]]="C",WORKDAY(Main[[#This Row],[Tech Start Date]],9),IF(Main[[#This Row],[Class]]="B", WORKDAY(Main[[#This Row],[Tech Start Date]],6),IF(Main[[#This Row],[Class]]="A",WORKDAY(Main[[#This Row],[Tech Start Date]],2),""))))</f>
        <v/>
      </c>
      <c r="N1071" s="69" t="str">
        <f>IF(Main[[#This Row],[Tech Start Date]]&lt;1/1/1990,"",IF(Main[[#This Row],[Class]]="C",WORKDAY(Main[[#This Row],[Tech Start Date]],19),IF(Main[[#This Row],[Class]]="B", WORKDAY(Main[[#This Row],[Tech Start Date]],12),IF(Main[[#This Row],[Class]]="A",WORKDAY(Main[[#This Row],[Tech Start Date]],4),""))))</f>
        <v/>
      </c>
      <c r="O1071" s="69" t="str">
        <f>IF(Main[[#This Row],[Tech Start Date]]&lt;1/1/1990,"",IF(Main[[#This Row],[Class]]="C",WORKDAY(Main[[#This Row],[Tech Start Date]],23),IF(Main[[#This Row],[Class]]="B", WORKDAY(Main[[#This Row],[Tech Start Date]],15),IF(Main[[#This Row],[Class]]="A",WORKDAY(Main[[#This Row],[Tech Start Date]],5),""))))</f>
        <v/>
      </c>
      <c r="P1071" s="69" t="str">
        <f>IF(Main[[#This Row],[Tech Start Date]]&lt;1/1/1990,"",IF(Main[[#This Row],[Class]]="C",WORKDAY(Main[[#This Row],[Tech Start Date]],28),IF(Main[[#This Row],[Class]]="B", WORKDAY(Main[[#This Row],[Tech Start Date]],19),IF(Main[[#This Row],[Class]]="A",WORKDAY(Main[[#This Row],[Tech Start Date]],9),""))))</f>
        <v/>
      </c>
      <c r="Q1071" s="67"/>
      <c r="R1071" s="67"/>
      <c r="S1071" s="65" t="s">
        <v>6</v>
      </c>
      <c r="T1071" s="70" t="s">
        <v>3244</v>
      </c>
      <c r="U1071" s="65" t="s">
        <v>29</v>
      </c>
      <c r="V1071" s="65" t="s">
        <v>1918</v>
      </c>
      <c r="W1071" s="65" t="s">
        <v>1921</v>
      </c>
      <c r="X1071" s="65" t="s">
        <v>2822</v>
      </c>
      <c r="Y1071" s="65" t="s">
        <v>2999</v>
      </c>
      <c r="Z1071" s="65" t="s">
        <v>2056</v>
      </c>
      <c r="AA1071" s="65" t="s">
        <v>3640</v>
      </c>
    </row>
    <row r="1072" spans="1:27" ht="17.45" customHeight="1">
      <c r="A1072" s="131" t="str">
        <f>IF(priority(Main[[#This Row],[Comments]])&lt;&gt;0, priority(Main[[#This Row],[Comments]]),"")</f>
        <v/>
      </c>
      <c r="B1072" s="99" t="s">
        <v>3641</v>
      </c>
      <c r="C1072" s="65" t="s">
        <v>4</v>
      </c>
      <c r="D1072" s="66" t="s">
        <v>3642</v>
      </c>
      <c r="E1072" s="67">
        <v>40953.403587962966</v>
      </c>
      <c r="F1072" s="67"/>
      <c r="G1072" s="64" t="str">
        <f>IF(stdProdLT(Main[[#This Row],[Comments]])=0.1,"N/A",IF(stdProdLT(Main[[#This Row],[Comments]])=0,"",stdProdLT(Main[[#This Row],[Comments]])))</f>
        <v/>
      </c>
      <c r="H1072" s="68" t="str">
        <f>IF(AND(Main[[#This Row],[In Stock Date]]&lt;&gt;"",Main[[#This Row],[Revised Due Date]]&lt;&gt;""),Main[[#This Row],[In Stock Date]]-Main[[#This Row],[Revised Due Date]],"")</f>
        <v/>
      </c>
      <c r="I1072" s="65" t="s">
        <v>530</v>
      </c>
      <c r="J1072" s="65" t="s">
        <v>28</v>
      </c>
      <c r="K1072" s="65" t="s">
        <v>1926</v>
      </c>
      <c r="L1072" s="67"/>
      <c r="M1072" s="69" t="str">
        <f>IF(Main[[#This Row],[Tech Start Date]]&lt;1/1/1990,"",IF(Main[[#This Row],[Class]]="C",WORKDAY(Main[[#This Row],[Tech Start Date]],9),IF(Main[[#This Row],[Class]]="B", WORKDAY(Main[[#This Row],[Tech Start Date]],6),IF(Main[[#This Row],[Class]]="A",WORKDAY(Main[[#This Row],[Tech Start Date]],2),""))))</f>
        <v/>
      </c>
      <c r="N1072" s="69" t="str">
        <f>IF(Main[[#This Row],[Tech Start Date]]&lt;1/1/1990,"",IF(Main[[#This Row],[Class]]="C",WORKDAY(Main[[#This Row],[Tech Start Date]],19),IF(Main[[#This Row],[Class]]="B", WORKDAY(Main[[#This Row],[Tech Start Date]],12),IF(Main[[#This Row],[Class]]="A",WORKDAY(Main[[#This Row],[Tech Start Date]],4),""))))</f>
        <v/>
      </c>
      <c r="O1072" s="69" t="str">
        <f>IF(Main[[#This Row],[Tech Start Date]]&lt;1/1/1990,"",IF(Main[[#This Row],[Class]]="C",WORKDAY(Main[[#This Row],[Tech Start Date]],23),IF(Main[[#This Row],[Class]]="B", WORKDAY(Main[[#This Row],[Tech Start Date]],15),IF(Main[[#This Row],[Class]]="A",WORKDAY(Main[[#This Row],[Tech Start Date]],5),""))))</f>
        <v/>
      </c>
      <c r="P1072" s="69" t="str">
        <f>IF(Main[[#This Row],[Tech Start Date]]&lt;1/1/1990,"",IF(Main[[#This Row],[Class]]="C",WORKDAY(Main[[#This Row],[Tech Start Date]],28),IF(Main[[#This Row],[Class]]="B", WORKDAY(Main[[#This Row],[Tech Start Date]],19),IF(Main[[#This Row],[Class]]="A",WORKDAY(Main[[#This Row],[Tech Start Date]],9),""))))</f>
        <v/>
      </c>
      <c r="Q1072" s="67"/>
      <c r="R1072" s="67"/>
      <c r="S1072" s="65" t="s">
        <v>6</v>
      </c>
      <c r="T1072" s="70" t="s">
        <v>4</v>
      </c>
      <c r="U1072" s="65" t="s">
        <v>29</v>
      </c>
      <c r="V1072" s="65" t="s">
        <v>1920</v>
      </c>
      <c r="W1072" s="65" t="s">
        <v>1919</v>
      </c>
      <c r="X1072" s="65" t="s">
        <v>530</v>
      </c>
      <c r="Y1072" s="65" t="s">
        <v>3150</v>
      </c>
      <c r="Z1072" s="65" t="s">
        <v>30</v>
      </c>
      <c r="AA1072" s="65" t="s">
        <v>530</v>
      </c>
    </row>
    <row r="1073" spans="1:27" ht="17.45" customHeight="1">
      <c r="A1073" s="131" t="str">
        <f>IF(priority(Main[[#This Row],[Comments]])&lt;&gt;0, priority(Main[[#This Row],[Comments]]),"")</f>
        <v/>
      </c>
      <c r="B1073" s="99" t="s">
        <v>1910</v>
      </c>
      <c r="C1073" s="65" t="s">
        <v>4</v>
      </c>
      <c r="D1073" s="66" t="s">
        <v>959</v>
      </c>
      <c r="E1073" s="67">
        <v>40140.581273148149</v>
      </c>
      <c r="F1073" s="67"/>
      <c r="G1073" s="64" t="str">
        <f>IF(stdProdLT(Main[[#This Row],[Comments]])=0.1,"N/A",IF(stdProdLT(Main[[#This Row],[Comments]])=0,"",stdProdLT(Main[[#This Row],[Comments]])))</f>
        <v/>
      </c>
      <c r="H1073" s="68" t="str">
        <f>IF(AND(Main[[#This Row],[In Stock Date]]&lt;&gt;"",Main[[#This Row],[Revised Due Date]]&lt;&gt;""),Main[[#This Row],[In Stock Date]]-Main[[#This Row],[Revised Due Date]],"")</f>
        <v/>
      </c>
      <c r="I1073" s="65" t="s">
        <v>431</v>
      </c>
      <c r="J1073" s="65" t="s">
        <v>28</v>
      </c>
      <c r="K1073" s="65" t="s">
        <v>1929</v>
      </c>
      <c r="L1073" s="67"/>
      <c r="M1073" s="69" t="str">
        <f>IF(Main[[#This Row],[Tech Start Date]]&lt;1/1/1990,"",IF(Main[[#This Row],[Class]]="C",WORKDAY(Main[[#This Row],[Tech Start Date]],9),IF(Main[[#This Row],[Class]]="B", WORKDAY(Main[[#This Row],[Tech Start Date]],6),IF(Main[[#This Row],[Class]]="A",WORKDAY(Main[[#This Row],[Tech Start Date]],2),""))))</f>
        <v/>
      </c>
      <c r="N1073" s="69" t="str">
        <f>IF(Main[[#This Row],[Tech Start Date]]&lt;1/1/1990,"",IF(Main[[#This Row],[Class]]="C",WORKDAY(Main[[#This Row],[Tech Start Date]],19),IF(Main[[#This Row],[Class]]="B", WORKDAY(Main[[#This Row],[Tech Start Date]],12),IF(Main[[#This Row],[Class]]="A",WORKDAY(Main[[#This Row],[Tech Start Date]],4),""))))</f>
        <v/>
      </c>
      <c r="O1073" s="69" t="str">
        <f>IF(Main[[#This Row],[Tech Start Date]]&lt;1/1/1990,"",IF(Main[[#This Row],[Class]]="C",WORKDAY(Main[[#This Row],[Tech Start Date]],23),IF(Main[[#This Row],[Class]]="B", WORKDAY(Main[[#This Row],[Tech Start Date]],15),IF(Main[[#This Row],[Class]]="A",WORKDAY(Main[[#This Row],[Tech Start Date]],5),""))))</f>
        <v/>
      </c>
      <c r="P1073" s="69" t="str">
        <f>IF(Main[[#This Row],[Tech Start Date]]&lt;1/1/1990,"",IF(Main[[#This Row],[Class]]="C",WORKDAY(Main[[#This Row],[Tech Start Date]],28),IF(Main[[#This Row],[Class]]="B", WORKDAY(Main[[#This Row],[Tech Start Date]],19),IF(Main[[#This Row],[Class]]="A",WORKDAY(Main[[#This Row],[Tech Start Date]],9),""))))</f>
        <v/>
      </c>
      <c r="Q1073" s="67">
        <v>40326</v>
      </c>
      <c r="R1073" s="67">
        <v>40966</v>
      </c>
      <c r="S1073" s="65" t="s">
        <v>17</v>
      </c>
      <c r="T1073" s="70" t="s">
        <v>4</v>
      </c>
      <c r="U1073" s="65" t="s">
        <v>29</v>
      </c>
      <c r="V1073" s="65" t="s">
        <v>1920</v>
      </c>
      <c r="W1073" s="65" t="s">
        <v>1922</v>
      </c>
      <c r="X1073" s="65" t="s">
        <v>415</v>
      </c>
      <c r="Y1073" s="65" t="s">
        <v>2981</v>
      </c>
      <c r="Z1073" s="65" t="s">
        <v>415</v>
      </c>
      <c r="AA1073" s="65" t="s">
        <v>415</v>
      </c>
    </row>
    <row r="1074" spans="1:27" ht="17.45" customHeight="1">
      <c r="A1074" s="131" t="str">
        <f>IF(priority(Main[[#This Row],[Comments]])&lt;&gt;0, priority(Main[[#This Row],[Comments]]),"")</f>
        <v/>
      </c>
      <c r="B1074" s="99" t="s">
        <v>2127</v>
      </c>
      <c r="C1074" s="65" t="s">
        <v>4</v>
      </c>
      <c r="D1074" s="66" t="s">
        <v>2425</v>
      </c>
      <c r="E1074" s="67"/>
      <c r="F1074" s="67"/>
      <c r="G1074" s="64" t="str">
        <f>IF(stdProdLT(Main[[#This Row],[Comments]])=0.1,"N/A",IF(stdProdLT(Main[[#This Row],[Comments]])=0,"",stdProdLT(Main[[#This Row],[Comments]])))</f>
        <v/>
      </c>
      <c r="H1074" s="68" t="str">
        <f>IF(AND(Main[[#This Row],[In Stock Date]]&lt;&gt;"",Main[[#This Row],[Revised Due Date]]&lt;&gt;""),Main[[#This Row],[In Stock Date]]-Main[[#This Row],[Revised Due Date]],"")</f>
        <v/>
      </c>
      <c r="I1074" s="65" t="s">
        <v>2054</v>
      </c>
      <c r="J1074" s="65" t="s">
        <v>28</v>
      </c>
      <c r="K1074" s="65" t="s">
        <v>1926</v>
      </c>
      <c r="L1074" s="67"/>
      <c r="M1074" s="69" t="str">
        <f>IF(Main[[#This Row],[Tech Start Date]]&lt;1/1/1990,"",IF(Main[[#This Row],[Class]]="C",WORKDAY(Main[[#This Row],[Tech Start Date]],9),IF(Main[[#This Row],[Class]]="B", WORKDAY(Main[[#This Row],[Tech Start Date]],6),IF(Main[[#This Row],[Class]]="A",WORKDAY(Main[[#This Row],[Tech Start Date]],2),""))))</f>
        <v/>
      </c>
      <c r="N1074" s="69" t="str">
        <f>IF(Main[[#This Row],[Tech Start Date]]&lt;1/1/1990,"",IF(Main[[#This Row],[Class]]="C",WORKDAY(Main[[#This Row],[Tech Start Date]],19),IF(Main[[#This Row],[Class]]="B", WORKDAY(Main[[#This Row],[Tech Start Date]],12),IF(Main[[#This Row],[Class]]="A",WORKDAY(Main[[#This Row],[Tech Start Date]],4),""))))</f>
        <v/>
      </c>
      <c r="O1074" s="69" t="str">
        <f>IF(Main[[#This Row],[Tech Start Date]]&lt;1/1/1990,"",IF(Main[[#This Row],[Class]]="C",WORKDAY(Main[[#This Row],[Tech Start Date]],23),IF(Main[[#This Row],[Class]]="B", WORKDAY(Main[[#This Row],[Tech Start Date]],15),IF(Main[[#This Row],[Class]]="A",WORKDAY(Main[[#This Row],[Tech Start Date]],5),""))))</f>
        <v/>
      </c>
      <c r="P1074" s="69" t="str">
        <f>IF(Main[[#This Row],[Tech Start Date]]&lt;1/1/1990,"",IF(Main[[#This Row],[Class]]="C",WORKDAY(Main[[#This Row],[Tech Start Date]],28),IF(Main[[#This Row],[Class]]="B", WORKDAY(Main[[#This Row],[Tech Start Date]],19),IF(Main[[#This Row],[Class]]="A",WORKDAY(Main[[#This Row],[Tech Start Date]],9),""))))</f>
        <v/>
      </c>
      <c r="Q1074" s="67">
        <v>40816</v>
      </c>
      <c r="R1074" s="67"/>
      <c r="S1074" s="65" t="s">
        <v>6</v>
      </c>
      <c r="T1074" s="70" t="s">
        <v>4</v>
      </c>
      <c r="U1074" s="65" t="s">
        <v>14</v>
      </c>
      <c r="V1074" s="65" t="s">
        <v>1927</v>
      </c>
      <c r="W1074" s="65" t="s">
        <v>1921</v>
      </c>
      <c r="X1074" s="65" t="s">
        <v>2909</v>
      </c>
      <c r="Y1074" s="65" t="s">
        <v>3089</v>
      </c>
      <c r="Z1074" s="65" t="s">
        <v>44</v>
      </c>
      <c r="AA1074" s="65" t="s">
        <v>2909</v>
      </c>
    </row>
    <row r="1075" spans="1:27" ht="17.45" customHeight="1">
      <c r="A1075" s="131" t="str">
        <f>IF(priority(Main[[#This Row],[Comments]])&lt;&gt;0, priority(Main[[#This Row],[Comments]]),"")</f>
        <v/>
      </c>
      <c r="B1075" s="99" t="s">
        <v>2466</v>
      </c>
      <c r="C1075" s="65" t="s">
        <v>95</v>
      </c>
      <c r="D1075" s="66" t="s">
        <v>2693</v>
      </c>
      <c r="E1075" s="67">
        <v>40876.601030092592</v>
      </c>
      <c r="F1075" s="67"/>
      <c r="G1075" s="64" t="str">
        <f>IF(stdProdLT(Main[[#This Row],[Comments]])=0.1,"N/A",IF(stdProdLT(Main[[#This Row],[Comments]])=0,"",stdProdLT(Main[[#This Row],[Comments]])))</f>
        <v/>
      </c>
      <c r="H1075" s="68" t="str">
        <f>IF(AND(Main[[#This Row],[In Stock Date]]&lt;&gt;"",Main[[#This Row],[Revised Due Date]]&lt;&gt;""),Main[[#This Row],[In Stock Date]]-Main[[#This Row],[Revised Due Date]],"")</f>
        <v/>
      </c>
      <c r="I1075" s="65" t="s">
        <v>530</v>
      </c>
      <c r="J1075" s="65" t="s">
        <v>28</v>
      </c>
      <c r="K1075" s="65" t="s">
        <v>1926</v>
      </c>
      <c r="L1075" s="67"/>
      <c r="M1075" s="69" t="str">
        <f>IF(Main[[#This Row],[Tech Start Date]]&lt;1/1/1990,"",IF(Main[[#This Row],[Class]]="C",WORKDAY(Main[[#This Row],[Tech Start Date]],9),IF(Main[[#This Row],[Class]]="B", WORKDAY(Main[[#This Row],[Tech Start Date]],6),IF(Main[[#This Row],[Class]]="A",WORKDAY(Main[[#This Row],[Tech Start Date]],2),""))))</f>
        <v/>
      </c>
      <c r="N1075" s="69" t="str">
        <f>IF(Main[[#This Row],[Tech Start Date]]&lt;1/1/1990,"",IF(Main[[#This Row],[Class]]="C",WORKDAY(Main[[#This Row],[Tech Start Date]],19),IF(Main[[#This Row],[Class]]="B", WORKDAY(Main[[#This Row],[Tech Start Date]],12),IF(Main[[#This Row],[Class]]="A",WORKDAY(Main[[#This Row],[Tech Start Date]],4),""))))</f>
        <v/>
      </c>
      <c r="O1075" s="69" t="str">
        <f>IF(Main[[#This Row],[Tech Start Date]]&lt;1/1/1990,"",IF(Main[[#This Row],[Class]]="C",WORKDAY(Main[[#This Row],[Tech Start Date]],23),IF(Main[[#This Row],[Class]]="B", WORKDAY(Main[[#This Row],[Tech Start Date]],15),IF(Main[[#This Row],[Class]]="A",WORKDAY(Main[[#This Row],[Tech Start Date]],5),""))))</f>
        <v/>
      </c>
      <c r="P1075" s="69" t="str">
        <f>IF(Main[[#This Row],[Tech Start Date]]&lt;1/1/1990,"",IF(Main[[#This Row],[Class]]="C",WORKDAY(Main[[#This Row],[Tech Start Date]],28),IF(Main[[#This Row],[Class]]="B", WORKDAY(Main[[#This Row],[Tech Start Date]],19),IF(Main[[#This Row],[Class]]="A",WORKDAY(Main[[#This Row],[Tech Start Date]],9),""))))</f>
        <v/>
      </c>
      <c r="Q1075" s="67">
        <v>40900</v>
      </c>
      <c r="R1075" s="67"/>
      <c r="S1075" s="65" t="s">
        <v>6</v>
      </c>
      <c r="T1075" s="70" t="s">
        <v>4</v>
      </c>
      <c r="U1075" s="65" t="s">
        <v>29</v>
      </c>
      <c r="V1075" s="65" t="s">
        <v>1927</v>
      </c>
      <c r="W1075" s="65" t="s">
        <v>1925</v>
      </c>
      <c r="X1075" s="65" t="s">
        <v>885</v>
      </c>
      <c r="Y1075" s="65" t="s">
        <v>2969</v>
      </c>
      <c r="Z1075" s="65" t="s">
        <v>30</v>
      </c>
      <c r="AA1075" s="65" t="s">
        <v>885</v>
      </c>
    </row>
    <row r="1076" spans="1:27" ht="17.45" customHeight="1">
      <c r="A1076" s="131" t="str">
        <f>IF(priority(Main[[#This Row],[Comments]])&lt;&gt;0, priority(Main[[#This Row],[Comments]]),"")</f>
        <v/>
      </c>
      <c r="B1076" s="99" t="s">
        <v>3643</v>
      </c>
      <c r="C1076" s="65" t="s">
        <v>2359</v>
      </c>
      <c r="D1076" s="66" t="s">
        <v>3644</v>
      </c>
      <c r="E1076" s="67">
        <v>40966.113449074073</v>
      </c>
      <c r="F1076" s="67">
        <v>41014</v>
      </c>
      <c r="G1076" s="64" t="str">
        <f>IF(stdProdLT(Main[[#This Row],[Comments]])=0.1,"N/A",IF(stdProdLT(Main[[#This Row],[Comments]])=0,"",stdProdLT(Main[[#This Row],[Comments]])))</f>
        <v/>
      </c>
      <c r="H1076" s="68" t="str">
        <f>IF(AND(Main[[#This Row],[In Stock Date]]&lt;&gt;"",Main[[#This Row],[Revised Due Date]]&lt;&gt;""),Main[[#This Row],[In Stock Date]]-Main[[#This Row],[Revised Due Date]],"")</f>
        <v/>
      </c>
      <c r="I1076" s="65" t="s">
        <v>4</v>
      </c>
      <c r="J1076" s="65" t="s">
        <v>4</v>
      </c>
      <c r="K1076" s="65" t="s">
        <v>4</v>
      </c>
      <c r="L1076" s="67"/>
      <c r="M1076" s="69" t="str">
        <f>IF(Main[[#This Row],[Tech Start Date]]&lt;1/1/1990,"",IF(Main[[#This Row],[Class]]="C",WORKDAY(Main[[#This Row],[Tech Start Date]],9),IF(Main[[#This Row],[Class]]="B", WORKDAY(Main[[#This Row],[Tech Start Date]],6),IF(Main[[#This Row],[Class]]="A",WORKDAY(Main[[#This Row],[Tech Start Date]],2),""))))</f>
        <v/>
      </c>
      <c r="N1076" s="69" t="str">
        <f>IF(Main[[#This Row],[Tech Start Date]]&lt;1/1/1990,"",IF(Main[[#This Row],[Class]]="C",WORKDAY(Main[[#This Row],[Tech Start Date]],19),IF(Main[[#This Row],[Class]]="B", WORKDAY(Main[[#This Row],[Tech Start Date]],12),IF(Main[[#This Row],[Class]]="A",WORKDAY(Main[[#This Row],[Tech Start Date]],4),""))))</f>
        <v/>
      </c>
      <c r="O1076" s="69" t="str">
        <f>IF(Main[[#This Row],[Tech Start Date]]&lt;1/1/1990,"",IF(Main[[#This Row],[Class]]="C",WORKDAY(Main[[#This Row],[Tech Start Date]],23),IF(Main[[#This Row],[Class]]="B", WORKDAY(Main[[#This Row],[Tech Start Date]],15),IF(Main[[#This Row],[Class]]="A",WORKDAY(Main[[#This Row],[Tech Start Date]],5),""))))</f>
        <v/>
      </c>
      <c r="P1076" s="69" t="str">
        <f>IF(Main[[#This Row],[Tech Start Date]]&lt;1/1/1990,"",IF(Main[[#This Row],[Class]]="C",WORKDAY(Main[[#This Row],[Tech Start Date]],28),IF(Main[[#This Row],[Class]]="B", WORKDAY(Main[[#This Row],[Tech Start Date]],19),IF(Main[[#This Row],[Class]]="A",WORKDAY(Main[[#This Row],[Tech Start Date]],9),""))))</f>
        <v/>
      </c>
      <c r="Q1076" s="67">
        <v>40916</v>
      </c>
      <c r="R1076" s="67"/>
      <c r="S1076" s="65" t="s">
        <v>11</v>
      </c>
      <c r="T1076" s="70" t="s">
        <v>4</v>
      </c>
      <c r="U1076" s="65" t="s">
        <v>696</v>
      </c>
      <c r="V1076" s="65" t="s">
        <v>1927</v>
      </c>
      <c r="W1076" s="65" t="s">
        <v>1925</v>
      </c>
      <c r="X1076" s="65" t="s">
        <v>2849</v>
      </c>
      <c r="Y1076" s="65" t="s">
        <v>4</v>
      </c>
      <c r="Z1076" s="65" t="s">
        <v>4</v>
      </c>
      <c r="AA1076" s="65" t="s">
        <v>2849</v>
      </c>
    </row>
    <row r="1077" spans="1:27" ht="17.45" customHeight="1">
      <c r="A1077" s="131" t="str">
        <f>IF(priority(Main[[#This Row],[Comments]])&lt;&gt;0, priority(Main[[#This Row],[Comments]]),"")</f>
        <v/>
      </c>
      <c r="B1077" s="99" t="s">
        <v>2779</v>
      </c>
      <c r="C1077" s="65" t="s">
        <v>2780</v>
      </c>
      <c r="D1077" s="66" t="s">
        <v>3282</v>
      </c>
      <c r="E1077" s="67"/>
      <c r="F1077" s="67"/>
      <c r="G1077" s="64">
        <f>IF(stdProdLT(Main[[#This Row],[Comments]])=0.1,"N/A",IF(stdProdLT(Main[[#This Row],[Comments]])=0,"",stdProdLT(Main[[#This Row],[Comments]])))</f>
        <v>112</v>
      </c>
      <c r="H1077" s="68" t="str">
        <f>IF(AND(Main[[#This Row],[In Stock Date]]&lt;&gt;"",Main[[#This Row],[Revised Due Date]]&lt;&gt;""),Main[[#This Row],[In Stock Date]]-Main[[#This Row],[Revised Due Date]],"")</f>
        <v/>
      </c>
      <c r="I1077" s="65" t="s">
        <v>4</v>
      </c>
      <c r="J1077" s="65" t="s">
        <v>4</v>
      </c>
      <c r="K1077" s="65" t="s">
        <v>4</v>
      </c>
      <c r="L1077" s="67"/>
      <c r="M1077" s="69" t="str">
        <f>IF(Main[[#This Row],[Tech Start Date]]&lt;1/1/1990,"",IF(Main[[#This Row],[Class]]="C",WORKDAY(Main[[#This Row],[Tech Start Date]],9),IF(Main[[#This Row],[Class]]="B", WORKDAY(Main[[#This Row],[Tech Start Date]],6),IF(Main[[#This Row],[Class]]="A",WORKDAY(Main[[#This Row],[Tech Start Date]],2),""))))</f>
        <v/>
      </c>
      <c r="N1077" s="69" t="str">
        <f>IF(Main[[#This Row],[Tech Start Date]]&lt;1/1/1990,"",IF(Main[[#This Row],[Class]]="C",WORKDAY(Main[[#This Row],[Tech Start Date]],19),IF(Main[[#This Row],[Class]]="B", WORKDAY(Main[[#This Row],[Tech Start Date]],12),IF(Main[[#This Row],[Class]]="A",WORKDAY(Main[[#This Row],[Tech Start Date]],4),""))))</f>
        <v/>
      </c>
      <c r="O1077" s="69" t="str">
        <f>IF(Main[[#This Row],[Tech Start Date]]&lt;1/1/1990,"",IF(Main[[#This Row],[Class]]="C",WORKDAY(Main[[#This Row],[Tech Start Date]],23),IF(Main[[#This Row],[Class]]="B", WORKDAY(Main[[#This Row],[Tech Start Date]],15),IF(Main[[#This Row],[Class]]="A",WORKDAY(Main[[#This Row],[Tech Start Date]],5),""))))</f>
        <v/>
      </c>
      <c r="P1077" s="69" t="str">
        <f>IF(Main[[#This Row],[Tech Start Date]]&lt;1/1/1990,"",IF(Main[[#This Row],[Class]]="C",WORKDAY(Main[[#This Row],[Tech Start Date]],28),IF(Main[[#This Row],[Class]]="B", WORKDAY(Main[[#This Row],[Tech Start Date]],19),IF(Main[[#This Row],[Class]]="A",WORKDAY(Main[[#This Row],[Tech Start Date]],9),""))))</f>
        <v/>
      </c>
      <c r="Q1077" s="67"/>
      <c r="R1077" s="67"/>
      <c r="S1077" s="65" t="s">
        <v>11</v>
      </c>
      <c r="T1077" s="70" t="s">
        <v>3182</v>
      </c>
      <c r="U1077" s="65" t="s">
        <v>14</v>
      </c>
      <c r="V1077" s="65" t="s">
        <v>1920</v>
      </c>
      <c r="W1077" s="65" t="s">
        <v>1925</v>
      </c>
      <c r="X1077" s="65" t="s">
        <v>306</v>
      </c>
      <c r="Y1077" s="65" t="s">
        <v>4</v>
      </c>
      <c r="Z1077" s="65" t="s">
        <v>4</v>
      </c>
      <c r="AA1077" s="65" t="s">
        <v>4</v>
      </c>
    </row>
    <row r="1078" spans="1:27" ht="17.45" customHeight="1">
      <c r="A1078" s="131" t="str">
        <f>IF(priority(Main[[#This Row],[Comments]])&lt;&gt;0, priority(Main[[#This Row],[Comments]]),"")</f>
        <v/>
      </c>
      <c r="B1078" s="99" t="s">
        <v>3645</v>
      </c>
      <c r="C1078" s="65" t="s">
        <v>4</v>
      </c>
      <c r="D1078" s="66" t="s">
        <v>3646</v>
      </c>
      <c r="E1078" s="67">
        <v>40959.588020833333</v>
      </c>
      <c r="F1078" s="67"/>
      <c r="G1078" s="64" t="str">
        <f>IF(stdProdLT(Main[[#This Row],[Comments]])=0.1,"N/A",IF(stdProdLT(Main[[#This Row],[Comments]])=0,"",stdProdLT(Main[[#This Row],[Comments]])))</f>
        <v/>
      </c>
      <c r="H1078" s="68" t="str">
        <f>IF(AND(Main[[#This Row],[In Stock Date]]&lt;&gt;"",Main[[#This Row],[Revised Due Date]]&lt;&gt;""),Main[[#This Row],[In Stock Date]]-Main[[#This Row],[Revised Due Date]],"")</f>
        <v/>
      </c>
      <c r="I1078" s="65" t="s">
        <v>4</v>
      </c>
      <c r="J1078" s="65" t="s">
        <v>4</v>
      </c>
      <c r="K1078" s="65" t="s">
        <v>4</v>
      </c>
      <c r="L1078" s="67"/>
      <c r="M1078" s="69" t="str">
        <f>IF(Main[[#This Row],[Tech Start Date]]&lt;1/1/1990,"",IF(Main[[#This Row],[Class]]="C",WORKDAY(Main[[#This Row],[Tech Start Date]],9),IF(Main[[#This Row],[Class]]="B", WORKDAY(Main[[#This Row],[Tech Start Date]],6),IF(Main[[#This Row],[Class]]="A",WORKDAY(Main[[#This Row],[Tech Start Date]],2),""))))</f>
        <v/>
      </c>
      <c r="N1078" s="69" t="str">
        <f>IF(Main[[#This Row],[Tech Start Date]]&lt;1/1/1990,"",IF(Main[[#This Row],[Class]]="C",WORKDAY(Main[[#This Row],[Tech Start Date]],19),IF(Main[[#This Row],[Class]]="B", WORKDAY(Main[[#This Row],[Tech Start Date]],12),IF(Main[[#This Row],[Class]]="A",WORKDAY(Main[[#This Row],[Tech Start Date]],4),""))))</f>
        <v/>
      </c>
      <c r="O1078" s="69" t="str">
        <f>IF(Main[[#This Row],[Tech Start Date]]&lt;1/1/1990,"",IF(Main[[#This Row],[Class]]="C",WORKDAY(Main[[#This Row],[Tech Start Date]],23),IF(Main[[#This Row],[Class]]="B", WORKDAY(Main[[#This Row],[Tech Start Date]],15),IF(Main[[#This Row],[Class]]="A",WORKDAY(Main[[#This Row],[Tech Start Date]],5),""))))</f>
        <v/>
      </c>
      <c r="P1078" s="69" t="str">
        <f>IF(Main[[#This Row],[Tech Start Date]]&lt;1/1/1990,"",IF(Main[[#This Row],[Class]]="C",WORKDAY(Main[[#This Row],[Tech Start Date]],28),IF(Main[[#This Row],[Class]]="B", WORKDAY(Main[[#This Row],[Tech Start Date]],19),IF(Main[[#This Row],[Class]]="A",WORKDAY(Main[[#This Row],[Tech Start Date]],9),""))))</f>
        <v/>
      </c>
      <c r="Q1078" s="67"/>
      <c r="R1078" s="67"/>
      <c r="S1078" s="65" t="s">
        <v>6</v>
      </c>
      <c r="T1078" s="70" t="s">
        <v>4</v>
      </c>
      <c r="U1078" s="65" t="s">
        <v>29</v>
      </c>
      <c r="V1078" s="65" t="s">
        <v>1927</v>
      </c>
      <c r="W1078" s="65" t="s">
        <v>4</v>
      </c>
      <c r="X1078" s="65" t="s">
        <v>102</v>
      </c>
      <c r="Y1078" s="65" t="s">
        <v>3131</v>
      </c>
      <c r="Z1078" s="65" t="s">
        <v>4</v>
      </c>
      <c r="AA1078" s="65" t="s">
        <v>3466</v>
      </c>
    </row>
    <row r="1079" spans="1:27" ht="17.45" customHeight="1">
      <c r="A1079" s="131" t="str">
        <f>IF(priority(Main[[#This Row],[Comments]])&lt;&gt;0, priority(Main[[#This Row],[Comments]]),"")</f>
        <v/>
      </c>
      <c r="B1079" s="99" t="s">
        <v>3543</v>
      </c>
      <c r="C1079" s="65" t="s">
        <v>4</v>
      </c>
      <c r="D1079" s="66" t="s">
        <v>3544</v>
      </c>
      <c r="E1079" s="67">
        <v>40947.470821759256</v>
      </c>
      <c r="F1079" s="67"/>
      <c r="G1079" s="64" t="str">
        <f>IF(stdProdLT(Main[[#This Row],[Comments]])=0.1,"N/A",IF(stdProdLT(Main[[#This Row],[Comments]])=0,"",stdProdLT(Main[[#This Row],[Comments]])))</f>
        <v/>
      </c>
      <c r="H1079" s="68" t="str">
        <f>IF(AND(Main[[#This Row],[In Stock Date]]&lt;&gt;"",Main[[#This Row],[Revised Due Date]]&lt;&gt;""),Main[[#This Row],[In Stock Date]]-Main[[#This Row],[Revised Due Date]],"")</f>
        <v/>
      </c>
      <c r="I1079" s="65" t="s">
        <v>4</v>
      </c>
      <c r="J1079" s="65" t="s">
        <v>4</v>
      </c>
      <c r="K1079" s="65" t="s">
        <v>4</v>
      </c>
      <c r="L1079" s="67"/>
      <c r="M1079" s="69" t="str">
        <f>IF(Main[[#This Row],[Tech Start Date]]&lt;1/1/1990,"",IF(Main[[#This Row],[Class]]="C",WORKDAY(Main[[#This Row],[Tech Start Date]],9),IF(Main[[#This Row],[Class]]="B", WORKDAY(Main[[#This Row],[Tech Start Date]],6),IF(Main[[#This Row],[Class]]="A",WORKDAY(Main[[#This Row],[Tech Start Date]],2),""))))</f>
        <v/>
      </c>
      <c r="N1079" s="69" t="str">
        <f>IF(Main[[#This Row],[Tech Start Date]]&lt;1/1/1990,"",IF(Main[[#This Row],[Class]]="C",WORKDAY(Main[[#This Row],[Tech Start Date]],19),IF(Main[[#This Row],[Class]]="B", WORKDAY(Main[[#This Row],[Tech Start Date]],12),IF(Main[[#This Row],[Class]]="A",WORKDAY(Main[[#This Row],[Tech Start Date]],4),""))))</f>
        <v/>
      </c>
      <c r="O1079" s="69" t="str">
        <f>IF(Main[[#This Row],[Tech Start Date]]&lt;1/1/1990,"",IF(Main[[#This Row],[Class]]="C",WORKDAY(Main[[#This Row],[Tech Start Date]],23),IF(Main[[#This Row],[Class]]="B", WORKDAY(Main[[#This Row],[Tech Start Date]],15),IF(Main[[#This Row],[Class]]="A",WORKDAY(Main[[#This Row],[Tech Start Date]],5),""))))</f>
        <v/>
      </c>
      <c r="P1079" s="69" t="str">
        <f>IF(Main[[#This Row],[Tech Start Date]]&lt;1/1/1990,"",IF(Main[[#This Row],[Class]]="C",WORKDAY(Main[[#This Row],[Tech Start Date]],28),IF(Main[[#This Row],[Class]]="B", WORKDAY(Main[[#This Row],[Tech Start Date]],19),IF(Main[[#This Row],[Class]]="A",WORKDAY(Main[[#This Row],[Tech Start Date]],9),""))))</f>
        <v/>
      </c>
      <c r="Q1079" s="67"/>
      <c r="R1079" s="67"/>
      <c r="S1079" s="65" t="s">
        <v>6</v>
      </c>
      <c r="T1079" s="70" t="s">
        <v>4</v>
      </c>
      <c r="U1079" s="65" t="s">
        <v>29</v>
      </c>
      <c r="V1079" s="65" t="s">
        <v>1918</v>
      </c>
      <c r="W1079" s="65" t="s">
        <v>1921</v>
      </c>
      <c r="X1079" s="65" t="s">
        <v>306</v>
      </c>
      <c r="Y1079" s="65" t="s">
        <v>4</v>
      </c>
      <c r="Z1079" s="65" t="s">
        <v>4</v>
      </c>
      <c r="AA1079" s="65" t="s">
        <v>4</v>
      </c>
    </row>
    <row r="1080" spans="1:27" ht="17.45" customHeight="1">
      <c r="A1080" s="131" t="str">
        <f>IF(priority(Main[[#This Row],[Comments]])&lt;&gt;0, priority(Main[[#This Row],[Comments]]),"")</f>
        <v/>
      </c>
      <c r="B1080" s="99" t="s">
        <v>2578</v>
      </c>
      <c r="C1080" s="65" t="s">
        <v>4</v>
      </c>
      <c r="D1080" s="66" t="s">
        <v>2579</v>
      </c>
      <c r="E1080" s="67"/>
      <c r="F1080" s="67"/>
      <c r="G1080" s="64" t="str">
        <f>IF(stdProdLT(Main[[#This Row],[Comments]])=0.1,"N/A",IF(stdProdLT(Main[[#This Row],[Comments]])=0,"",stdProdLT(Main[[#This Row],[Comments]])))</f>
        <v/>
      </c>
      <c r="H1080" s="68" t="str">
        <f>IF(AND(Main[[#This Row],[In Stock Date]]&lt;&gt;"",Main[[#This Row],[Revised Due Date]]&lt;&gt;""),Main[[#This Row],[In Stock Date]]-Main[[#This Row],[Revised Due Date]],"")</f>
        <v/>
      </c>
      <c r="I1080" s="65" t="s">
        <v>4</v>
      </c>
      <c r="J1080" s="65" t="s">
        <v>4</v>
      </c>
      <c r="K1080" s="65" t="s">
        <v>4</v>
      </c>
      <c r="L1080" s="67"/>
      <c r="M1080" s="69" t="str">
        <f>IF(Main[[#This Row],[Tech Start Date]]&lt;1/1/1990,"",IF(Main[[#This Row],[Class]]="C",WORKDAY(Main[[#This Row],[Tech Start Date]],9),IF(Main[[#This Row],[Class]]="B", WORKDAY(Main[[#This Row],[Tech Start Date]],6),IF(Main[[#This Row],[Class]]="A",WORKDAY(Main[[#This Row],[Tech Start Date]],2),""))))</f>
        <v/>
      </c>
      <c r="N1080" s="69" t="str">
        <f>IF(Main[[#This Row],[Tech Start Date]]&lt;1/1/1990,"",IF(Main[[#This Row],[Class]]="C",WORKDAY(Main[[#This Row],[Tech Start Date]],19),IF(Main[[#This Row],[Class]]="B", WORKDAY(Main[[#This Row],[Tech Start Date]],12),IF(Main[[#This Row],[Class]]="A",WORKDAY(Main[[#This Row],[Tech Start Date]],4),""))))</f>
        <v/>
      </c>
      <c r="O1080" s="69" t="str">
        <f>IF(Main[[#This Row],[Tech Start Date]]&lt;1/1/1990,"",IF(Main[[#This Row],[Class]]="C",WORKDAY(Main[[#This Row],[Tech Start Date]],23),IF(Main[[#This Row],[Class]]="B", WORKDAY(Main[[#This Row],[Tech Start Date]],15),IF(Main[[#This Row],[Class]]="A",WORKDAY(Main[[#This Row],[Tech Start Date]],5),""))))</f>
        <v/>
      </c>
      <c r="P1080" s="69" t="str">
        <f>IF(Main[[#This Row],[Tech Start Date]]&lt;1/1/1990,"",IF(Main[[#This Row],[Class]]="C",WORKDAY(Main[[#This Row],[Tech Start Date]],28),IF(Main[[#This Row],[Class]]="B", WORKDAY(Main[[#This Row],[Tech Start Date]],19),IF(Main[[#This Row],[Class]]="A",WORKDAY(Main[[#This Row],[Tech Start Date]],9),""))))</f>
        <v/>
      </c>
      <c r="Q1080" s="67"/>
      <c r="R1080" s="67"/>
      <c r="S1080" s="65" t="s">
        <v>6</v>
      </c>
      <c r="T1080" s="70" t="s">
        <v>4</v>
      </c>
      <c r="U1080" s="65" t="s">
        <v>14</v>
      </c>
      <c r="V1080" s="65" t="s">
        <v>1920</v>
      </c>
      <c r="W1080" s="65" t="s">
        <v>1921</v>
      </c>
      <c r="X1080" s="65" t="s">
        <v>306</v>
      </c>
      <c r="Y1080" s="65" t="s">
        <v>2947</v>
      </c>
      <c r="Z1080" s="65" t="s">
        <v>4</v>
      </c>
      <c r="AA1080" s="65" t="s">
        <v>306</v>
      </c>
    </row>
    <row r="1081" spans="1:27" ht="17.45" customHeight="1">
      <c r="A1081" s="131" t="str">
        <f>IF(priority(Main[[#This Row],[Comments]])&lt;&gt;0, priority(Main[[#This Row],[Comments]]),"")</f>
        <v/>
      </c>
      <c r="B1081" s="99" t="s">
        <v>2277</v>
      </c>
      <c r="C1081" s="65" t="s">
        <v>4</v>
      </c>
      <c r="D1081" s="66" t="s">
        <v>2278</v>
      </c>
      <c r="E1081" s="67">
        <v>40809.888067129628</v>
      </c>
      <c r="F1081" s="67"/>
      <c r="G1081" s="64" t="str">
        <f>IF(stdProdLT(Main[[#This Row],[Comments]])=0.1,"N/A",IF(stdProdLT(Main[[#This Row],[Comments]])=0,"",stdProdLT(Main[[#This Row],[Comments]])))</f>
        <v/>
      </c>
      <c r="H1081" s="68" t="str">
        <f>IF(AND(Main[[#This Row],[In Stock Date]]&lt;&gt;"",Main[[#This Row],[Revised Due Date]]&lt;&gt;""),Main[[#This Row],[In Stock Date]]-Main[[#This Row],[Revised Due Date]],"")</f>
        <v/>
      </c>
      <c r="I1081" s="65" t="s">
        <v>81</v>
      </c>
      <c r="J1081" s="65" t="s">
        <v>52</v>
      </c>
      <c r="K1081" s="65" t="s">
        <v>1926</v>
      </c>
      <c r="L1081" s="67"/>
      <c r="M1081" s="69" t="str">
        <f>IF(Main[[#This Row],[Tech Start Date]]&lt;1/1/1990,"",IF(Main[[#This Row],[Class]]="C",WORKDAY(Main[[#This Row],[Tech Start Date]],9),IF(Main[[#This Row],[Class]]="B", WORKDAY(Main[[#This Row],[Tech Start Date]],6),IF(Main[[#This Row],[Class]]="A",WORKDAY(Main[[#This Row],[Tech Start Date]],2),""))))</f>
        <v/>
      </c>
      <c r="N1081" s="69" t="str">
        <f>IF(Main[[#This Row],[Tech Start Date]]&lt;1/1/1990,"",IF(Main[[#This Row],[Class]]="C",WORKDAY(Main[[#This Row],[Tech Start Date]],19),IF(Main[[#This Row],[Class]]="B", WORKDAY(Main[[#This Row],[Tech Start Date]],12),IF(Main[[#This Row],[Class]]="A",WORKDAY(Main[[#This Row],[Tech Start Date]],4),""))))</f>
        <v/>
      </c>
      <c r="O1081" s="69" t="str">
        <f>IF(Main[[#This Row],[Tech Start Date]]&lt;1/1/1990,"",IF(Main[[#This Row],[Class]]="C",WORKDAY(Main[[#This Row],[Tech Start Date]],23),IF(Main[[#This Row],[Class]]="B", WORKDAY(Main[[#This Row],[Tech Start Date]],15),IF(Main[[#This Row],[Class]]="A",WORKDAY(Main[[#This Row],[Tech Start Date]],5),""))))</f>
        <v/>
      </c>
      <c r="P1081" s="69" t="str">
        <f>IF(Main[[#This Row],[Tech Start Date]]&lt;1/1/1990,"",IF(Main[[#This Row],[Class]]="C",WORKDAY(Main[[#This Row],[Tech Start Date]],28),IF(Main[[#This Row],[Class]]="B", WORKDAY(Main[[#This Row],[Tech Start Date]],19),IF(Main[[#This Row],[Class]]="A",WORKDAY(Main[[#This Row],[Tech Start Date]],9),""))))</f>
        <v/>
      </c>
      <c r="Q1081" s="67"/>
      <c r="R1081" s="67"/>
      <c r="S1081" s="65" t="s">
        <v>6</v>
      </c>
      <c r="T1081" s="70" t="s">
        <v>4</v>
      </c>
      <c r="U1081" s="65" t="s">
        <v>29</v>
      </c>
      <c r="V1081" s="65" t="s">
        <v>1927</v>
      </c>
      <c r="W1081" s="65" t="s">
        <v>1921</v>
      </c>
      <c r="X1081" s="65" t="s">
        <v>2871</v>
      </c>
      <c r="Y1081" s="65" t="s">
        <v>3016</v>
      </c>
      <c r="Z1081" s="65" t="s">
        <v>30</v>
      </c>
      <c r="AA1081" s="65" t="s">
        <v>2871</v>
      </c>
    </row>
    <row r="1082" spans="1:27" ht="17.45" customHeight="1">
      <c r="A1082" s="131" t="str">
        <f>IF(priority(Main[[#This Row],[Comments]])&lt;&gt;0, priority(Main[[#This Row],[Comments]]),"")</f>
        <v/>
      </c>
      <c r="B1082" s="99" t="s">
        <v>2255</v>
      </c>
      <c r="C1082" s="65" t="s">
        <v>4</v>
      </c>
      <c r="D1082" s="66" t="s">
        <v>2256</v>
      </c>
      <c r="E1082" s="67">
        <v>40806.354490740741</v>
      </c>
      <c r="F1082" s="67"/>
      <c r="G1082" s="64" t="str">
        <f>IF(stdProdLT(Main[[#This Row],[Comments]])=0.1,"N/A",IF(stdProdLT(Main[[#This Row],[Comments]])=0,"",stdProdLT(Main[[#This Row],[Comments]])))</f>
        <v/>
      </c>
      <c r="H1082" s="68" t="str">
        <f>IF(AND(Main[[#This Row],[In Stock Date]]&lt;&gt;"",Main[[#This Row],[Revised Due Date]]&lt;&gt;""),Main[[#This Row],[In Stock Date]]-Main[[#This Row],[Revised Due Date]],"")</f>
        <v/>
      </c>
      <c r="I1082" s="65" t="s">
        <v>4</v>
      </c>
      <c r="J1082" s="65" t="s">
        <v>4</v>
      </c>
      <c r="K1082" s="65" t="s">
        <v>4</v>
      </c>
      <c r="L1082" s="67"/>
      <c r="M1082" s="69" t="str">
        <f>IF(Main[[#This Row],[Tech Start Date]]&lt;1/1/1990,"",IF(Main[[#This Row],[Class]]="C",WORKDAY(Main[[#This Row],[Tech Start Date]],9),IF(Main[[#This Row],[Class]]="B", WORKDAY(Main[[#This Row],[Tech Start Date]],6),IF(Main[[#This Row],[Class]]="A",WORKDAY(Main[[#This Row],[Tech Start Date]],2),""))))</f>
        <v/>
      </c>
      <c r="N1082" s="69" t="str">
        <f>IF(Main[[#This Row],[Tech Start Date]]&lt;1/1/1990,"",IF(Main[[#This Row],[Class]]="C",WORKDAY(Main[[#This Row],[Tech Start Date]],19),IF(Main[[#This Row],[Class]]="B", WORKDAY(Main[[#This Row],[Tech Start Date]],12),IF(Main[[#This Row],[Class]]="A",WORKDAY(Main[[#This Row],[Tech Start Date]],4),""))))</f>
        <v/>
      </c>
      <c r="O1082" s="69" t="str">
        <f>IF(Main[[#This Row],[Tech Start Date]]&lt;1/1/1990,"",IF(Main[[#This Row],[Class]]="C",WORKDAY(Main[[#This Row],[Tech Start Date]],23),IF(Main[[#This Row],[Class]]="B", WORKDAY(Main[[#This Row],[Tech Start Date]],15),IF(Main[[#This Row],[Class]]="A",WORKDAY(Main[[#This Row],[Tech Start Date]],5),""))))</f>
        <v/>
      </c>
      <c r="P1082" s="69" t="str">
        <f>IF(Main[[#This Row],[Tech Start Date]]&lt;1/1/1990,"",IF(Main[[#This Row],[Class]]="C",WORKDAY(Main[[#This Row],[Tech Start Date]],28),IF(Main[[#This Row],[Class]]="B", WORKDAY(Main[[#This Row],[Tech Start Date]],19),IF(Main[[#This Row],[Class]]="A",WORKDAY(Main[[#This Row],[Tech Start Date]],9),""))))</f>
        <v/>
      </c>
      <c r="Q1082" s="67"/>
      <c r="R1082" s="67"/>
      <c r="S1082" s="65" t="s">
        <v>17</v>
      </c>
      <c r="T1082" s="70" t="s">
        <v>4</v>
      </c>
      <c r="U1082" s="65" t="s">
        <v>7</v>
      </c>
      <c r="V1082" s="65" t="s">
        <v>1918</v>
      </c>
      <c r="W1082" s="65" t="s">
        <v>1919</v>
      </c>
      <c r="X1082" s="65" t="s">
        <v>2872</v>
      </c>
      <c r="Y1082" s="65" t="s">
        <v>3006</v>
      </c>
      <c r="Z1082" s="65" t="s">
        <v>4</v>
      </c>
      <c r="AA1082" s="65" t="s">
        <v>2872</v>
      </c>
    </row>
    <row r="1083" spans="1:27" ht="17.45" customHeight="1">
      <c r="A1083" s="131" t="str">
        <f>IF(priority(Main[[#This Row],[Comments]])&lt;&gt;0, priority(Main[[#This Row],[Comments]]),"")</f>
        <v/>
      </c>
      <c r="B1083" s="99" t="s">
        <v>2431</v>
      </c>
      <c r="C1083" s="65" t="s">
        <v>4</v>
      </c>
      <c r="D1083" s="66" t="s">
        <v>2432</v>
      </c>
      <c r="E1083" s="67"/>
      <c r="F1083" s="67"/>
      <c r="G1083" s="64" t="str">
        <f>IF(stdProdLT(Main[[#This Row],[Comments]])=0.1,"N/A",IF(stdProdLT(Main[[#This Row],[Comments]])=0,"",stdProdLT(Main[[#This Row],[Comments]])))</f>
        <v/>
      </c>
      <c r="H1083" s="68" t="str">
        <f>IF(AND(Main[[#This Row],[In Stock Date]]&lt;&gt;"",Main[[#This Row],[Revised Due Date]]&lt;&gt;""),Main[[#This Row],[In Stock Date]]-Main[[#This Row],[Revised Due Date]],"")</f>
        <v/>
      </c>
      <c r="I1083" s="65" t="s">
        <v>4</v>
      </c>
      <c r="J1083" s="65" t="s">
        <v>4</v>
      </c>
      <c r="K1083" s="71" t="s">
        <v>4</v>
      </c>
      <c r="L1083" s="67"/>
      <c r="M1083" s="69" t="str">
        <f>IF(Main[[#This Row],[Tech Start Date]]&lt;1/1/1990,"",IF(Main[[#This Row],[Class]]="C",WORKDAY(Main[[#This Row],[Tech Start Date]],9),IF(Main[[#This Row],[Class]]="B", WORKDAY(Main[[#This Row],[Tech Start Date]],6),IF(Main[[#This Row],[Class]]="A",WORKDAY(Main[[#This Row],[Tech Start Date]],2),""))))</f>
        <v/>
      </c>
      <c r="N1083" s="69" t="str">
        <f>IF(Main[[#This Row],[Tech Start Date]]&lt;1/1/1990,"",IF(Main[[#This Row],[Class]]="C",WORKDAY(Main[[#This Row],[Tech Start Date]],19),IF(Main[[#This Row],[Class]]="B", WORKDAY(Main[[#This Row],[Tech Start Date]],12),IF(Main[[#This Row],[Class]]="A",WORKDAY(Main[[#This Row],[Tech Start Date]],4),""))))</f>
        <v/>
      </c>
      <c r="O1083" s="69" t="str">
        <f>IF(Main[[#This Row],[Tech Start Date]]&lt;1/1/1990,"",IF(Main[[#This Row],[Class]]="C",WORKDAY(Main[[#This Row],[Tech Start Date]],23),IF(Main[[#This Row],[Class]]="B", WORKDAY(Main[[#This Row],[Tech Start Date]],15),IF(Main[[#This Row],[Class]]="A",WORKDAY(Main[[#This Row],[Tech Start Date]],5),""))))</f>
        <v/>
      </c>
      <c r="P1083" s="69" t="str">
        <f>IF(Main[[#This Row],[Tech Start Date]]&lt;1/1/1990,"",IF(Main[[#This Row],[Class]]="C",WORKDAY(Main[[#This Row],[Tech Start Date]],28),IF(Main[[#This Row],[Class]]="B", WORKDAY(Main[[#This Row],[Tech Start Date]],19),IF(Main[[#This Row],[Class]]="A",WORKDAY(Main[[#This Row],[Tech Start Date]],9),""))))</f>
        <v/>
      </c>
      <c r="Q1083" s="67">
        <v>40907</v>
      </c>
      <c r="R1083" s="67"/>
      <c r="S1083" s="65" t="s">
        <v>6</v>
      </c>
      <c r="T1083" s="70" t="s">
        <v>4</v>
      </c>
      <c r="U1083" s="65" t="s">
        <v>14</v>
      </c>
      <c r="V1083" s="65" t="s">
        <v>1917</v>
      </c>
      <c r="W1083" s="65" t="s">
        <v>1921</v>
      </c>
      <c r="X1083" s="65" t="s">
        <v>2827</v>
      </c>
      <c r="Y1083" s="65" t="s">
        <v>2942</v>
      </c>
      <c r="Z1083" s="65" t="s">
        <v>4</v>
      </c>
      <c r="AA1083" s="65" t="s">
        <v>2827</v>
      </c>
    </row>
    <row r="1084" spans="1:27" ht="17.45" customHeight="1">
      <c r="A1084" s="131" t="str">
        <f>IF(priority(Main[[#This Row],[Comments]])&lt;&gt;0, priority(Main[[#This Row],[Comments]]),"")</f>
        <v/>
      </c>
      <c r="B1084" s="99" t="s">
        <v>3535</v>
      </c>
      <c r="C1084" s="65" t="s">
        <v>53</v>
      </c>
      <c r="D1084" s="66" t="s">
        <v>3647</v>
      </c>
      <c r="E1084" s="67">
        <v>40949.374872685185</v>
      </c>
      <c r="F1084" s="67"/>
      <c r="G1084" s="64" t="str">
        <f>IF(stdProdLT(Main[[#This Row],[Comments]])=0.1,"N/A",IF(stdProdLT(Main[[#This Row],[Comments]])=0,"",stdProdLT(Main[[#This Row],[Comments]])))</f>
        <v/>
      </c>
      <c r="H1084" s="68" t="str">
        <f>IF(AND(Main[[#This Row],[In Stock Date]]&lt;&gt;"",Main[[#This Row],[Revised Due Date]]&lt;&gt;""),Main[[#This Row],[In Stock Date]]-Main[[#This Row],[Revised Due Date]],"")</f>
        <v/>
      </c>
      <c r="I1084" s="65" t="s">
        <v>943</v>
      </c>
      <c r="J1084" s="65" t="s">
        <v>28</v>
      </c>
      <c r="K1084" s="65" t="s">
        <v>1926</v>
      </c>
      <c r="L1084" s="67"/>
      <c r="M1084" s="69" t="str">
        <f>IF(Main[[#This Row],[Tech Start Date]]&lt;1/1/1990,"",IF(Main[[#This Row],[Class]]="C",WORKDAY(Main[[#This Row],[Tech Start Date]],9),IF(Main[[#This Row],[Class]]="B", WORKDAY(Main[[#This Row],[Tech Start Date]],6),IF(Main[[#This Row],[Class]]="A",WORKDAY(Main[[#This Row],[Tech Start Date]],2),""))))</f>
        <v/>
      </c>
      <c r="N1084" s="69" t="str">
        <f>IF(Main[[#This Row],[Tech Start Date]]&lt;1/1/1990,"",IF(Main[[#This Row],[Class]]="C",WORKDAY(Main[[#This Row],[Tech Start Date]],19),IF(Main[[#This Row],[Class]]="B", WORKDAY(Main[[#This Row],[Tech Start Date]],12),IF(Main[[#This Row],[Class]]="A",WORKDAY(Main[[#This Row],[Tech Start Date]],4),""))))</f>
        <v/>
      </c>
      <c r="O1084" s="69" t="str">
        <f>IF(Main[[#This Row],[Tech Start Date]]&lt;1/1/1990,"",IF(Main[[#This Row],[Class]]="C",WORKDAY(Main[[#This Row],[Tech Start Date]],23),IF(Main[[#This Row],[Class]]="B", WORKDAY(Main[[#This Row],[Tech Start Date]],15),IF(Main[[#This Row],[Class]]="A",WORKDAY(Main[[#This Row],[Tech Start Date]],5),""))))</f>
        <v/>
      </c>
      <c r="P1084" s="69" t="str">
        <f>IF(Main[[#This Row],[Tech Start Date]]&lt;1/1/1990,"",IF(Main[[#This Row],[Class]]="C",WORKDAY(Main[[#This Row],[Tech Start Date]],28),IF(Main[[#This Row],[Class]]="B", WORKDAY(Main[[#This Row],[Tech Start Date]],19),IF(Main[[#This Row],[Class]]="A",WORKDAY(Main[[#This Row],[Tech Start Date]],9),""))))</f>
        <v/>
      </c>
      <c r="Q1084" s="67">
        <v>40956</v>
      </c>
      <c r="R1084" s="67"/>
      <c r="S1084" s="65" t="s">
        <v>6</v>
      </c>
      <c r="T1084" s="70" t="s">
        <v>4</v>
      </c>
      <c r="U1084" s="65" t="s">
        <v>29</v>
      </c>
      <c r="V1084" s="65" t="s">
        <v>1918</v>
      </c>
      <c r="W1084" s="65" t="s">
        <v>1919</v>
      </c>
      <c r="X1084" s="65" t="s">
        <v>2822</v>
      </c>
      <c r="Y1084" s="65" t="s">
        <v>4</v>
      </c>
      <c r="Z1084" s="65" t="s">
        <v>2056</v>
      </c>
      <c r="AA1084" s="65" t="s">
        <v>2822</v>
      </c>
    </row>
    <row r="1085" spans="1:27" ht="17.45" customHeight="1">
      <c r="A1085" s="131" t="str">
        <f>IF(priority(Main[[#This Row],[Comments]])&lt;&gt;0, priority(Main[[#This Row],[Comments]]),"")</f>
        <v/>
      </c>
      <c r="B1085" s="99" t="s">
        <v>3648</v>
      </c>
      <c r="C1085" s="65" t="s">
        <v>3649</v>
      </c>
      <c r="D1085" s="66" t="s">
        <v>3650</v>
      </c>
      <c r="E1085" s="67"/>
      <c r="F1085" s="67">
        <v>41044</v>
      </c>
      <c r="G1085" s="64" t="str">
        <f>IF(stdProdLT(Main[[#This Row],[Comments]])=0.1,"N/A",IF(stdProdLT(Main[[#This Row],[Comments]])=0,"",stdProdLT(Main[[#This Row],[Comments]])))</f>
        <v/>
      </c>
      <c r="H1085" s="68" t="str">
        <f>IF(AND(Main[[#This Row],[In Stock Date]]&lt;&gt;"",Main[[#This Row],[Revised Due Date]]&lt;&gt;""),Main[[#This Row],[In Stock Date]]-Main[[#This Row],[Revised Due Date]],"")</f>
        <v/>
      </c>
      <c r="I1085" s="65" t="s">
        <v>4</v>
      </c>
      <c r="J1085" s="65" t="s">
        <v>4</v>
      </c>
      <c r="K1085" s="65" t="s">
        <v>4</v>
      </c>
      <c r="L1085" s="67"/>
      <c r="M1085" s="69" t="str">
        <f>IF(Main[[#This Row],[Tech Start Date]]&lt;1/1/1990,"",IF(Main[[#This Row],[Class]]="C",WORKDAY(Main[[#This Row],[Tech Start Date]],9),IF(Main[[#This Row],[Class]]="B", WORKDAY(Main[[#This Row],[Tech Start Date]],6),IF(Main[[#This Row],[Class]]="A",WORKDAY(Main[[#This Row],[Tech Start Date]],2),""))))</f>
        <v/>
      </c>
      <c r="N1085" s="69" t="str">
        <f>IF(Main[[#This Row],[Tech Start Date]]&lt;1/1/1990,"",IF(Main[[#This Row],[Class]]="C",WORKDAY(Main[[#This Row],[Tech Start Date]],19),IF(Main[[#This Row],[Class]]="B", WORKDAY(Main[[#This Row],[Tech Start Date]],12),IF(Main[[#This Row],[Class]]="A",WORKDAY(Main[[#This Row],[Tech Start Date]],4),""))))</f>
        <v/>
      </c>
      <c r="O1085" s="69" t="str">
        <f>IF(Main[[#This Row],[Tech Start Date]]&lt;1/1/1990,"",IF(Main[[#This Row],[Class]]="C",WORKDAY(Main[[#This Row],[Tech Start Date]],23),IF(Main[[#This Row],[Class]]="B", WORKDAY(Main[[#This Row],[Tech Start Date]],15),IF(Main[[#This Row],[Class]]="A",WORKDAY(Main[[#This Row],[Tech Start Date]],5),""))))</f>
        <v/>
      </c>
      <c r="P1085" s="69" t="str">
        <f>IF(Main[[#This Row],[Tech Start Date]]&lt;1/1/1990,"",IF(Main[[#This Row],[Class]]="C",WORKDAY(Main[[#This Row],[Tech Start Date]],28),IF(Main[[#This Row],[Class]]="B", WORKDAY(Main[[#This Row],[Tech Start Date]],19),IF(Main[[#This Row],[Class]]="A",WORKDAY(Main[[#This Row],[Tech Start Date]],9),""))))</f>
        <v/>
      </c>
      <c r="Q1085" s="67">
        <v>40904</v>
      </c>
      <c r="R1085" s="67"/>
      <c r="S1085" s="65" t="s">
        <v>11</v>
      </c>
      <c r="T1085" s="70" t="s">
        <v>4</v>
      </c>
      <c r="U1085" s="65" t="s">
        <v>12</v>
      </c>
      <c r="V1085" s="65" t="s">
        <v>1917</v>
      </c>
      <c r="W1085" s="65" t="s">
        <v>1925</v>
      </c>
      <c r="X1085" s="65" t="s">
        <v>2849</v>
      </c>
      <c r="Y1085" s="65" t="s">
        <v>4</v>
      </c>
      <c r="Z1085" s="65" t="s">
        <v>4</v>
      </c>
      <c r="AA1085" s="65" t="s">
        <v>2849</v>
      </c>
    </row>
    <row r="1086" spans="1:27" ht="17.45" customHeight="1">
      <c r="A1086" s="131" t="str">
        <f>IF(priority(Main[[#This Row],[Comments]])&lt;&gt;0, priority(Main[[#This Row],[Comments]]),"")</f>
        <v/>
      </c>
      <c r="B1086" s="99" t="s">
        <v>2444</v>
      </c>
      <c r="C1086" s="65" t="s">
        <v>4</v>
      </c>
      <c r="D1086" s="66" t="s">
        <v>2445</v>
      </c>
      <c r="E1086" s="67">
        <v>40820.810810185183</v>
      </c>
      <c r="F1086" s="67"/>
      <c r="G1086" s="64" t="str">
        <f>IF(stdProdLT(Main[[#This Row],[Comments]])=0.1,"N/A",IF(stdProdLT(Main[[#This Row],[Comments]])=0,"",stdProdLT(Main[[#This Row],[Comments]])))</f>
        <v/>
      </c>
      <c r="H1086" s="68" t="str">
        <f>IF(AND(Main[[#This Row],[In Stock Date]]&lt;&gt;"",Main[[#This Row],[Revised Due Date]]&lt;&gt;""),Main[[#This Row],[In Stock Date]]-Main[[#This Row],[Revised Due Date]],"")</f>
        <v/>
      </c>
      <c r="I1086" s="65" t="s">
        <v>429</v>
      </c>
      <c r="J1086" s="65" t="s">
        <v>1981</v>
      </c>
      <c r="K1086" s="65" t="s">
        <v>1926</v>
      </c>
      <c r="L1086" s="67"/>
      <c r="M1086" s="69" t="str">
        <f>IF(Main[[#This Row],[Tech Start Date]]&lt;1/1/1990,"",IF(Main[[#This Row],[Class]]="C",WORKDAY(Main[[#This Row],[Tech Start Date]],9),IF(Main[[#This Row],[Class]]="B", WORKDAY(Main[[#This Row],[Tech Start Date]],6),IF(Main[[#This Row],[Class]]="A",WORKDAY(Main[[#This Row],[Tech Start Date]],2),""))))</f>
        <v/>
      </c>
      <c r="N1086" s="69" t="str">
        <f>IF(Main[[#This Row],[Tech Start Date]]&lt;1/1/1990,"",IF(Main[[#This Row],[Class]]="C",WORKDAY(Main[[#This Row],[Tech Start Date]],19),IF(Main[[#This Row],[Class]]="B", WORKDAY(Main[[#This Row],[Tech Start Date]],12),IF(Main[[#This Row],[Class]]="A",WORKDAY(Main[[#This Row],[Tech Start Date]],4),""))))</f>
        <v/>
      </c>
      <c r="O1086" s="69" t="str">
        <f>IF(Main[[#This Row],[Tech Start Date]]&lt;1/1/1990,"",IF(Main[[#This Row],[Class]]="C",WORKDAY(Main[[#This Row],[Tech Start Date]],23),IF(Main[[#This Row],[Class]]="B", WORKDAY(Main[[#This Row],[Tech Start Date]],15),IF(Main[[#This Row],[Class]]="A",WORKDAY(Main[[#This Row],[Tech Start Date]],5),""))))</f>
        <v/>
      </c>
      <c r="P1086" s="69" t="str">
        <f>IF(Main[[#This Row],[Tech Start Date]]&lt;1/1/1990,"",IF(Main[[#This Row],[Class]]="C",WORKDAY(Main[[#This Row],[Tech Start Date]],28),IF(Main[[#This Row],[Class]]="B", WORKDAY(Main[[#This Row],[Tech Start Date]],19),IF(Main[[#This Row],[Class]]="A",WORKDAY(Main[[#This Row],[Tech Start Date]],9),""))))</f>
        <v/>
      </c>
      <c r="Q1086" s="67">
        <v>40847</v>
      </c>
      <c r="R1086" s="67"/>
      <c r="S1086" s="65" t="s">
        <v>6</v>
      </c>
      <c r="T1086" s="70" t="s">
        <v>4</v>
      </c>
      <c r="U1086" s="65" t="s">
        <v>29</v>
      </c>
      <c r="V1086" s="65" t="s">
        <v>1920</v>
      </c>
      <c r="W1086" s="65" t="s">
        <v>1921</v>
      </c>
      <c r="X1086" s="65" t="s">
        <v>30</v>
      </c>
      <c r="Y1086" s="65" t="s">
        <v>2946</v>
      </c>
      <c r="Z1086" s="65" t="s">
        <v>30</v>
      </c>
      <c r="AA1086" s="65" t="s">
        <v>30</v>
      </c>
    </row>
    <row r="1087" spans="1:27" ht="17.45" customHeight="1">
      <c r="A1087" s="131" t="str">
        <f>IF(priority(Main[[#This Row],[Comments]])&lt;&gt;0, priority(Main[[#This Row],[Comments]]),"")</f>
        <v/>
      </c>
      <c r="B1087" s="99" t="s">
        <v>2446</v>
      </c>
      <c r="C1087" s="65" t="s">
        <v>4</v>
      </c>
      <c r="D1087" s="66" t="s">
        <v>2447</v>
      </c>
      <c r="E1087" s="67">
        <v>40834.538703703707</v>
      </c>
      <c r="F1087" s="67"/>
      <c r="G1087" s="64" t="str">
        <f>IF(stdProdLT(Main[[#This Row],[Comments]])=0.1,"N/A",IF(stdProdLT(Main[[#This Row],[Comments]])=0,"",stdProdLT(Main[[#This Row],[Comments]])))</f>
        <v/>
      </c>
      <c r="H1087" s="68" t="str">
        <f>IF(AND(Main[[#This Row],[In Stock Date]]&lt;&gt;"",Main[[#This Row],[Revised Due Date]]&lt;&gt;""),Main[[#This Row],[In Stock Date]]-Main[[#This Row],[Revised Due Date]],"")</f>
        <v/>
      </c>
      <c r="I1087" s="65" t="s">
        <v>4</v>
      </c>
      <c r="J1087" s="65" t="s">
        <v>4</v>
      </c>
      <c r="K1087" s="65" t="s">
        <v>4</v>
      </c>
      <c r="L1087" s="67"/>
      <c r="M1087" s="69" t="str">
        <f>IF(Main[[#This Row],[Tech Start Date]]&lt;1/1/1990,"",IF(Main[[#This Row],[Class]]="C",WORKDAY(Main[[#This Row],[Tech Start Date]],9),IF(Main[[#This Row],[Class]]="B", WORKDAY(Main[[#This Row],[Tech Start Date]],6),IF(Main[[#This Row],[Class]]="A",WORKDAY(Main[[#This Row],[Tech Start Date]],2),""))))</f>
        <v/>
      </c>
      <c r="N1087" s="69" t="str">
        <f>IF(Main[[#This Row],[Tech Start Date]]&lt;1/1/1990,"",IF(Main[[#This Row],[Class]]="C",WORKDAY(Main[[#This Row],[Tech Start Date]],19),IF(Main[[#This Row],[Class]]="B", WORKDAY(Main[[#This Row],[Tech Start Date]],12),IF(Main[[#This Row],[Class]]="A",WORKDAY(Main[[#This Row],[Tech Start Date]],4),""))))</f>
        <v/>
      </c>
      <c r="O1087" s="69" t="str">
        <f>IF(Main[[#This Row],[Tech Start Date]]&lt;1/1/1990,"",IF(Main[[#This Row],[Class]]="C",WORKDAY(Main[[#This Row],[Tech Start Date]],23),IF(Main[[#This Row],[Class]]="B", WORKDAY(Main[[#This Row],[Tech Start Date]],15),IF(Main[[#This Row],[Class]]="A",WORKDAY(Main[[#This Row],[Tech Start Date]],5),""))))</f>
        <v/>
      </c>
      <c r="P1087" s="69" t="str">
        <f>IF(Main[[#This Row],[Tech Start Date]]&lt;1/1/1990,"",IF(Main[[#This Row],[Class]]="C",WORKDAY(Main[[#This Row],[Tech Start Date]],28),IF(Main[[#This Row],[Class]]="B", WORKDAY(Main[[#This Row],[Tech Start Date]],19),IF(Main[[#This Row],[Class]]="A",WORKDAY(Main[[#This Row],[Tech Start Date]],9),""))))</f>
        <v/>
      </c>
      <c r="Q1087" s="67"/>
      <c r="R1087" s="67"/>
      <c r="S1087" s="65" t="s">
        <v>6</v>
      </c>
      <c r="T1087" s="70" t="s">
        <v>4</v>
      </c>
      <c r="U1087" s="65" t="s">
        <v>29</v>
      </c>
      <c r="V1087" s="65" t="s">
        <v>1917</v>
      </c>
      <c r="W1087" s="65" t="s">
        <v>1919</v>
      </c>
      <c r="X1087" s="65" t="s">
        <v>306</v>
      </c>
      <c r="Y1087" s="65" t="s">
        <v>4</v>
      </c>
      <c r="Z1087" s="65" t="s">
        <v>4</v>
      </c>
      <c r="AA1087" s="65" t="s">
        <v>4</v>
      </c>
    </row>
    <row r="1088" spans="1:27" ht="17.45" customHeight="1">
      <c r="A1088" s="131" t="str">
        <f>IF(priority(Main[[#This Row],[Comments]])&lt;&gt;0, priority(Main[[#This Row],[Comments]]),"")</f>
        <v/>
      </c>
      <c r="B1088" s="99" t="s">
        <v>2449</v>
      </c>
      <c r="C1088" s="65" t="s">
        <v>2357</v>
      </c>
      <c r="D1088" s="66" t="s">
        <v>2450</v>
      </c>
      <c r="E1088" s="67"/>
      <c r="F1088" s="67">
        <v>40940</v>
      </c>
      <c r="G1088" s="64" t="str">
        <f>IF(stdProdLT(Main[[#This Row],[Comments]])=0.1,"N/A",IF(stdProdLT(Main[[#This Row],[Comments]])=0,"",stdProdLT(Main[[#This Row],[Comments]])))</f>
        <v/>
      </c>
      <c r="H1088" s="68" t="str">
        <f>IF(AND(Main[[#This Row],[In Stock Date]]&lt;&gt;"",Main[[#This Row],[Revised Due Date]]&lt;&gt;""),Main[[#This Row],[In Stock Date]]-Main[[#This Row],[Revised Due Date]],"")</f>
        <v/>
      </c>
      <c r="I1088" s="65" t="s">
        <v>4</v>
      </c>
      <c r="J1088" s="65" t="s">
        <v>4</v>
      </c>
      <c r="K1088" s="65" t="s">
        <v>4</v>
      </c>
      <c r="L1088" s="67"/>
      <c r="M1088" s="69" t="str">
        <f>IF(Main[[#This Row],[Tech Start Date]]&lt;1/1/1990,"",IF(Main[[#This Row],[Class]]="C",WORKDAY(Main[[#This Row],[Tech Start Date]],9),IF(Main[[#This Row],[Class]]="B", WORKDAY(Main[[#This Row],[Tech Start Date]],6),IF(Main[[#This Row],[Class]]="A",WORKDAY(Main[[#This Row],[Tech Start Date]],2),""))))</f>
        <v/>
      </c>
      <c r="N1088" s="69" t="str">
        <f>IF(Main[[#This Row],[Tech Start Date]]&lt;1/1/1990,"",IF(Main[[#This Row],[Class]]="C",WORKDAY(Main[[#This Row],[Tech Start Date]],19),IF(Main[[#This Row],[Class]]="B", WORKDAY(Main[[#This Row],[Tech Start Date]],12),IF(Main[[#This Row],[Class]]="A",WORKDAY(Main[[#This Row],[Tech Start Date]],4),""))))</f>
        <v/>
      </c>
      <c r="O1088" s="69" t="str">
        <f>IF(Main[[#This Row],[Tech Start Date]]&lt;1/1/1990,"",IF(Main[[#This Row],[Class]]="C",WORKDAY(Main[[#This Row],[Tech Start Date]],23),IF(Main[[#This Row],[Class]]="B", WORKDAY(Main[[#This Row],[Tech Start Date]],15),IF(Main[[#This Row],[Class]]="A",WORKDAY(Main[[#This Row],[Tech Start Date]],5),""))))</f>
        <v/>
      </c>
      <c r="P1088" s="69" t="str">
        <f>IF(Main[[#This Row],[Tech Start Date]]&lt;1/1/1990,"",IF(Main[[#This Row],[Class]]="C",WORKDAY(Main[[#This Row],[Tech Start Date]],28),IF(Main[[#This Row],[Class]]="B", WORKDAY(Main[[#This Row],[Tech Start Date]],19),IF(Main[[#This Row],[Class]]="A",WORKDAY(Main[[#This Row],[Tech Start Date]],9),""))))</f>
        <v/>
      </c>
      <c r="Q1088" s="67">
        <v>40878</v>
      </c>
      <c r="R1088" s="67"/>
      <c r="S1088" s="65" t="s">
        <v>11</v>
      </c>
      <c r="T1088" s="70" t="s">
        <v>4</v>
      </c>
      <c r="U1088" s="65" t="s">
        <v>14</v>
      </c>
      <c r="V1088" s="65" t="s">
        <v>1927</v>
      </c>
      <c r="W1088" s="65" t="s">
        <v>1925</v>
      </c>
      <c r="X1088" s="65" t="s">
        <v>2854</v>
      </c>
      <c r="Y1088" s="65" t="s">
        <v>2985</v>
      </c>
      <c r="Z1088" s="65" t="s">
        <v>4</v>
      </c>
      <c r="AA1088" s="65" t="s">
        <v>2854</v>
      </c>
    </row>
    <row r="1089" spans="1:27" ht="17.45" customHeight="1">
      <c r="A1089" s="131" t="str">
        <f>IF(priority(Main[[#This Row],[Comments]])&lt;&gt;0, priority(Main[[#This Row],[Comments]]),"")</f>
        <v/>
      </c>
      <c r="B1089" s="99" t="s">
        <v>1988</v>
      </c>
      <c r="C1089" s="65" t="s">
        <v>4</v>
      </c>
      <c r="D1089" s="66" t="s">
        <v>2452</v>
      </c>
      <c r="E1089" s="67">
        <v>40737.702951388892</v>
      </c>
      <c r="F1089" s="67">
        <v>40755</v>
      </c>
      <c r="G1089" s="64" t="str">
        <f>IF(stdProdLT(Main[[#This Row],[Comments]])=0.1,"N/A",IF(stdProdLT(Main[[#This Row],[Comments]])=0,"",stdProdLT(Main[[#This Row],[Comments]])))</f>
        <v/>
      </c>
      <c r="H1089" s="68" t="str">
        <f>IF(AND(Main[[#This Row],[In Stock Date]]&lt;&gt;"",Main[[#This Row],[Revised Due Date]]&lt;&gt;""),Main[[#This Row],[In Stock Date]]-Main[[#This Row],[Revised Due Date]],"")</f>
        <v/>
      </c>
      <c r="I1089" s="65" t="s">
        <v>530</v>
      </c>
      <c r="J1089" s="65" t="s">
        <v>21</v>
      </c>
      <c r="K1089" s="65" t="s">
        <v>1926</v>
      </c>
      <c r="L1089" s="67"/>
      <c r="M1089" s="69" t="str">
        <f>IF(Main[[#This Row],[Tech Start Date]]&lt;1/1/1990,"",IF(Main[[#This Row],[Class]]="C",WORKDAY(Main[[#This Row],[Tech Start Date]],9),IF(Main[[#This Row],[Class]]="B", WORKDAY(Main[[#This Row],[Tech Start Date]],6),IF(Main[[#This Row],[Class]]="A",WORKDAY(Main[[#This Row],[Tech Start Date]],2),""))))</f>
        <v/>
      </c>
      <c r="N1089" s="69" t="str">
        <f>IF(Main[[#This Row],[Tech Start Date]]&lt;1/1/1990,"",IF(Main[[#This Row],[Class]]="C",WORKDAY(Main[[#This Row],[Tech Start Date]],19),IF(Main[[#This Row],[Class]]="B", WORKDAY(Main[[#This Row],[Tech Start Date]],12),IF(Main[[#This Row],[Class]]="A",WORKDAY(Main[[#This Row],[Tech Start Date]],4),""))))</f>
        <v/>
      </c>
      <c r="O1089" s="69" t="str">
        <f>IF(Main[[#This Row],[Tech Start Date]]&lt;1/1/1990,"",IF(Main[[#This Row],[Class]]="C",WORKDAY(Main[[#This Row],[Tech Start Date]],23),IF(Main[[#This Row],[Class]]="B", WORKDAY(Main[[#This Row],[Tech Start Date]],15),IF(Main[[#This Row],[Class]]="A",WORKDAY(Main[[#This Row],[Tech Start Date]],5),""))))</f>
        <v/>
      </c>
      <c r="P1089" s="69" t="str">
        <f>IF(Main[[#This Row],[Tech Start Date]]&lt;1/1/1990,"",IF(Main[[#This Row],[Class]]="C",WORKDAY(Main[[#This Row],[Tech Start Date]],28),IF(Main[[#This Row],[Class]]="B", WORKDAY(Main[[#This Row],[Tech Start Date]],19),IF(Main[[#This Row],[Class]]="A",WORKDAY(Main[[#This Row],[Tech Start Date]],9),""))))</f>
        <v/>
      </c>
      <c r="Q1089" s="67">
        <v>40770</v>
      </c>
      <c r="R1089" s="67"/>
      <c r="S1089" s="65" t="s">
        <v>6</v>
      </c>
      <c r="T1089" s="70" t="s">
        <v>4</v>
      </c>
      <c r="U1089" s="65" t="s">
        <v>29</v>
      </c>
      <c r="V1089" s="65" t="s">
        <v>1927</v>
      </c>
      <c r="W1089" s="65" t="s">
        <v>1921</v>
      </c>
      <c r="X1089" s="65" t="s">
        <v>2847</v>
      </c>
      <c r="Y1089" s="65" t="s">
        <v>2977</v>
      </c>
      <c r="Z1089" s="65" t="s">
        <v>30</v>
      </c>
      <c r="AA1089" s="65" t="s">
        <v>2847</v>
      </c>
    </row>
    <row r="1090" spans="1:27" ht="17.45" customHeight="1">
      <c r="A1090" s="131" t="str">
        <f>IF(priority(Main[[#This Row],[Comments]])&lt;&gt;0, priority(Main[[#This Row],[Comments]]),"")</f>
        <v/>
      </c>
      <c r="B1090" s="99" t="s">
        <v>3745</v>
      </c>
      <c r="C1090" s="65" t="s">
        <v>3746</v>
      </c>
      <c r="D1090" s="66" t="s">
        <v>3747</v>
      </c>
      <c r="E1090" s="67">
        <v>40967.774861111109</v>
      </c>
      <c r="F1090" s="67"/>
      <c r="G1090" s="64">
        <f>IF(stdProdLT(Main[[#This Row],[Comments]])=0.1,"N/A",IF(stdProdLT(Main[[#This Row],[Comments]])=0,"",stdProdLT(Main[[#This Row],[Comments]])))</f>
        <v>126</v>
      </c>
      <c r="H1090" s="68" t="str">
        <f>IF(AND(Main[[#This Row],[In Stock Date]]&lt;&gt;"",Main[[#This Row],[Revised Due Date]]&lt;&gt;""),Main[[#This Row],[In Stock Date]]-Main[[#This Row],[Revised Due Date]],"")</f>
        <v/>
      </c>
      <c r="I1090" s="65" t="s">
        <v>4</v>
      </c>
      <c r="J1090" s="65" t="s">
        <v>4</v>
      </c>
      <c r="K1090" s="65" t="s">
        <v>4</v>
      </c>
      <c r="L1090" s="67"/>
      <c r="M1090" s="69" t="str">
        <f>IF(Main[[#This Row],[Tech Start Date]]&lt;1/1/1990,"",IF(Main[[#This Row],[Class]]="C",WORKDAY(Main[[#This Row],[Tech Start Date]],9),IF(Main[[#This Row],[Class]]="B", WORKDAY(Main[[#This Row],[Tech Start Date]],6),IF(Main[[#This Row],[Class]]="A",WORKDAY(Main[[#This Row],[Tech Start Date]],2),""))))</f>
        <v/>
      </c>
      <c r="N1090" s="69" t="str">
        <f>IF(Main[[#This Row],[Tech Start Date]]&lt;1/1/1990,"",IF(Main[[#This Row],[Class]]="C",WORKDAY(Main[[#This Row],[Tech Start Date]],19),IF(Main[[#This Row],[Class]]="B", WORKDAY(Main[[#This Row],[Tech Start Date]],12),IF(Main[[#This Row],[Class]]="A",WORKDAY(Main[[#This Row],[Tech Start Date]],4),""))))</f>
        <v/>
      </c>
      <c r="O1090" s="69" t="str">
        <f>IF(Main[[#This Row],[Tech Start Date]]&lt;1/1/1990,"",IF(Main[[#This Row],[Class]]="C",WORKDAY(Main[[#This Row],[Tech Start Date]],23),IF(Main[[#This Row],[Class]]="B", WORKDAY(Main[[#This Row],[Tech Start Date]],15),IF(Main[[#This Row],[Class]]="A",WORKDAY(Main[[#This Row],[Tech Start Date]],5),""))))</f>
        <v/>
      </c>
      <c r="P1090" s="69" t="str">
        <f>IF(Main[[#This Row],[Tech Start Date]]&lt;1/1/1990,"",IF(Main[[#This Row],[Class]]="C",WORKDAY(Main[[#This Row],[Tech Start Date]],28),IF(Main[[#This Row],[Class]]="B", WORKDAY(Main[[#This Row],[Tech Start Date]],19),IF(Main[[#This Row],[Class]]="A",WORKDAY(Main[[#This Row],[Tech Start Date]],9),""))))</f>
        <v/>
      </c>
      <c r="Q1090" s="67"/>
      <c r="R1090" s="67"/>
      <c r="S1090" s="65" t="s">
        <v>11</v>
      </c>
      <c r="T1090" s="70" t="s">
        <v>3748</v>
      </c>
      <c r="U1090" s="65" t="s">
        <v>7</v>
      </c>
      <c r="V1090" s="65" t="s">
        <v>1920</v>
      </c>
      <c r="W1090" s="65" t="s">
        <v>1925</v>
      </c>
      <c r="X1090" s="65" t="s">
        <v>50</v>
      </c>
      <c r="Y1090" s="65" t="s">
        <v>3749</v>
      </c>
      <c r="Z1090" s="65" t="s">
        <v>4</v>
      </c>
      <c r="AA1090" s="65" t="s">
        <v>3475</v>
      </c>
    </row>
    <row r="1091" spans="1:27" ht="17.45" customHeight="1">
      <c r="A1091" s="131" t="str">
        <f>IF(priority(Main[[#This Row],[Comments]])&lt;&gt;0, priority(Main[[#This Row],[Comments]]),"")</f>
        <v/>
      </c>
      <c r="B1091" s="99" t="s">
        <v>2120</v>
      </c>
      <c r="C1091" s="65" t="s">
        <v>4</v>
      </c>
      <c r="D1091" s="66" t="s">
        <v>3523</v>
      </c>
      <c r="E1091" s="67">
        <v>40780.253831018519</v>
      </c>
      <c r="F1091" s="67"/>
      <c r="G1091" s="64" t="str">
        <f>IF(stdProdLT(Main[[#This Row],[Comments]])=0.1,"N/A",IF(stdProdLT(Main[[#This Row],[Comments]])=0,"",stdProdLT(Main[[#This Row],[Comments]])))</f>
        <v/>
      </c>
      <c r="H1091" s="68" t="str">
        <f>IF(AND(Main[[#This Row],[In Stock Date]]&lt;&gt;"",Main[[#This Row],[Revised Due Date]]&lt;&gt;""),Main[[#This Row],[In Stock Date]]-Main[[#This Row],[Revised Due Date]],"")</f>
        <v/>
      </c>
      <c r="I1091" s="65" t="s">
        <v>2054</v>
      </c>
      <c r="J1091" s="65" t="s">
        <v>52</v>
      </c>
      <c r="K1091" s="71" t="s">
        <v>1926</v>
      </c>
      <c r="L1091" s="67"/>
      <c r="M1091" s="69" t="str">
        <f>IF(Main[[#This Row],[Tech Start Date]]&lt;1/1/1990,"",IF(Main[[#This Row],[Class]]="C",WORKDAY(Main[[#This Row],[Tech Start Date]],9),IF(Main[[#This Row],[Class]]="B", WORKDAY(Main[[#This Row],[Tech Start Date]],6),IF(Main[[#This Row],[Class]]="A",WORKDAY(Main[[#This Row],[Tech Start Date]],2),""))))</f>
        <v/>
      </c>
      <c r="N1091" s="69" t="str">
        <f>IF(Main[[#This Row],[Tech Start Date]]&lt;1/1/1990,"",IF(Main[[#This Row],[Class]]="C",WORKDAY(Main[[#This Row],[Tech Start Date]],19),IF(Main[[#This Row],[Class]]="B", WORKDAY(Main[[#This Row],[Tech Start Date]],12),IF(Main[[#This Row],[Class]]="A",WORKDAY(Main[[#This Row],[Tech Start Date]],4),""))))</f>
        <v/>
      </c>
      <c r="O1091" s="69" t="str">
        <f>IF(Main[[#This Row],[Tech Start Date]]&lt;1/1/1990,"",IF(Main[[#This Row],[Class]]="C",WORKDAY(Main[[#This Row],[Tech Start Date]],23),IF(Main[[#This Row],[Class]]="B", WORKDAY(Main[[#This Row],[Tech Start Date]],15),IF(Main[[#This Row],[Class]]="A",WORKDAY(Main[[#This Row],[Tech Start Date]],5),""))))</f>
        <v/>
      </c>
      <c r="P1091" s="69" t="str">
        <f>IF(Main[[#This Row],[Tech Start Date]]&lt;1/1/1990,"",IF(Main[[#This Row],[Class]]="C",WORKDAY(Main[[#This Row],[Tech Start Date]],28),IF(Main[[#This Row],[Class]]="B", WORKDAY(Main[[#This Row],[Tech Start Date]],19),IF(Main[[#This Row],[Class]]="A",WORKDAY(Main[[#This Row],[Tech Start Date]],9),""))))</f>
        <v/>
      </c>
      <c r="Q1091" s="67">
        <v>40800</v>
      </c>
      <c r="R1091" s="67"/>
      <c r="S1091" s="65" t="s">
        <v>6</v>
      </c>
      <c r="T1091" s="70" t="s">
        <v>4</v>
      </c>
      <c r="U1091" s="65" t="s">
        <v>29</v>
      </c>
      <c r="V1091" s="65" t="s">
        <v>1920</v>
      </c>
      <c r="W1091" s="65" t="s">
        <v>1921</v>
      </c>
      <c r="X1091" s="65" t="s">
        <v>2828</v>
      </c>
      <c r="Y1091" s="65" t="s">
        <v>2944</v>
      </c>
      <c r="Z1091" s="65" t="s">
        <v>30</v>
      </c>
      <c r="AA1091" s="65" t="s">
        <v>2828</v>
      </c>
    </row>
    <row r="1092" spans="1:27" ht="17.45" customHeight="1">
      <c r="A1092" s="131" t="str">
        <f>IF(priority(Main[[#This Row],[Comments]])&lt;&gt;0, priority(Main[[#This Row],[Comments]]),"")</f>
        <v/>
      </c>
      <c r="B1092" s="99" t="s">
        <v>3652</v>
      </c>
      <c r="C1092" s="65" t="s">
        <v>4</v>
      </c>
      <c r="D1092" s="66" t="s">
        <v>3653</v>
      </c>
      <c r="E1092" s="67">
        <v>40960.474270833336</v>
      </c>
      <c r="F1092" s="67"/>
      <c r="G1092" s="64" t="str">
        <f>IF(stdProdLT(Main[[#This Row],[Comments]])=0.1,"N/A",IF(stdProdLT(Main[[#This Row],[Comments]])=0,"",stdProdLT(Main[[#This Row],[Comments]])))</f>
        <v/>
      </c>
      <c r="H1092" s="68" t="str">
        <f>IF(AND(Main[[#This Row],[In Stock Date]]&lt;&gt;"",Main[[#This Row],[Revised Due Date]]&lt;&gt;""),Main[[#This Row],[In Stock Date]]-Main[[#This Row],[Revised Due Date]],"")</f>
        <v/>
      </c>
      <c r="I1092" s="65" t="s">
        <v>429</v>
      </c>
      <c r="J1092" s="65" t="s">
        <v>70</v>
      </c>
      <c r="K1092" s="65" t="s">
        <v>1926</v>
      </c>
      <c r="L1092" s="67"/>
      <c r="M1092" s="69" t="str">
        <f>IF(Main[[#This Row],[Tech Start Date]]&lt;1/1/1990,"",IF(Main[[#This Row],[Class]]="C",WORKDAY(Main[[#This Row],[Tech Start Date]],9),IF(Main[[#This Row],[Class]]="B", WORKDAY(Main[[#This Row],[Tech Start Date]],6),IF(Main[[#This Row],[Class]]="A",WORKDAY(Main[[#This Row],[Tech Start Date]],2),""))))</f>
        <v/>
      </c>
      <c r="N1092" s="69" t="str">
        <f>IF(Main[[#This Row],[Tech Start Date]]&lt;1/1/1990,"",IF(Main[[#This Row],[Class]]="C",WORKDAY(Main[[#This Row],[Tech Start Date]],19),IF(Main[[#This Row],[Class]]="B", WORKDAY(Main[[#This Row],[Tech Start Date]],12),IF(Main[[#This Row],[Class]]="A",WORKDAY(Main[[#This Row],[Tech Start Date]],4),""))))</f>
        <v/>
      </c>
      <c r="O1092" s="69" t="str">
        <f>IF(Main[[#This Row],[Tech Start Date]]&lt;1/1/1990,"",IF(Main[[#This Row],[Class]]="C",WORKDAY(Main[[#This Row],[Tech Start Date]],23),IF(Main[[#This Row],[Class]]="B", WORKDAY(Main[[#This Row],[Tech Start Date]],15),IF(Main[[#This Row],[Class]]="A",WORKDAY(Main[[#This Row],[Tech Start Date]],5),""))))</f>
        <v/>
      </c>
      <c r="P1092" s="69" t="str">
        <f>IF(Main[[#This Row],[Tech Start Date]]&lt;1/1/1990,"",IF(Main[[#This Row],[Class]]="C",WORKDAY(Main[[#This Row],[Tech Start Date]],28),IF(Main[[#This Row],[Class]]="B", WORKDAY(Main[[#This Row],[Tech Start Date]],19),IF(Main[[#This Row],[Class]]="A",WORKDAY(Main[[#This Row],[Tech Start Date]],9),""))))</f>
        <v/>
      </c>
      <c r="Q1092" s="67">
        <v>40974</v>
      </c>
      <c r="R1092" s="67"/>
      <c r="S1092" s="65" t="s">
        <v>6</v>
      </c>
      <c r="T1092" s="70" t="s">
        <v>4</v>
      </c>
      <c r="U1092" s="65" t="s">
        <v>29</v>
      </c>
      <c r="V1092" s="65" t="s">
        <v>1920</v>
      </c>
      <c r="W1092" s="65" t="s">
        <v>1921</v>
      </c>
      <c r="X1092" s="65" t="s">
        <v>2054</v>
      </c>
      <c r="Y1092" s="65" t="s">
        <v>4</v>
      </c>
      <c r="Z1092" s="65" t="s">
        <v>30</v>
      </c>
      <c r="AA1092" s="65" t="s">
        <v>3654</v>
      </c>
    </row>
    <row r="1093" spans="1:27" ht="17.45" customHeight="1">
      <c r="A1093" s="131" t="str">
        <f>IF(priority(Main[[#This Row],[Comments]])&lt;&gt;0, priority(Main[[#This Row],[Comments]]),"")</f>
        <v/>
      </c>
      <c r="B1093" s="99" t="s">
        <v>3651</v>
      </c>
      <c r="C1093" s="65" t="s">
        <v>3649</v>
      </c>
      <c r="D1093" s="66" t="s">
        <v>3650</v>
      </c>
      <c r="E1093" s="67"/>
      <c r="F1093" s="67">
        <v>41108</v>
      </c>
      <c r="G1093" s="64" t="str">
        <f>IF(stdProdLT(Main[[#This Row],[Comments]])=0.1,"N/A",IF(stdProdLT(Main[[#This Row],[Comments]])=0,"",stdProdLT(Main[[#This Row],[Comments]])))</f>
        <v/>
      </c>
      <c r="H1093" s="68" t="str">
        <f>IF(AND(Main[[#This Row],[In Stock Date]]&lt;&gt;"",Main[[#This Row],[Revised Due Date]]&lt;&gt;""),Main[[#This Row],[In Stock Date]]-Main[[#This Row],[Revised Due Date]],"")</f>
        <v/>
      </c>
      <c r="I1093" s="65" t="s">
        <v>4</v>
      </c>
      <c r="J1093" s="65" t="s">
        <v>4</v>
      </c>
      <c r="K1093" s="65" t="s">
        <v>4</v>
      </c>
      <c r="L1093" s="67"/>
      <c r="M1093" s="69" t="str">
        <f>IF(Main[[#This Row],[Tech Start Date]]&lt;1/1/1990,"",IF(Main[[#This Row],[Class]]="C",WORKDAY(Main[[#This Row],[Tech Start Date]],9),IF(Main[[#This Row],[Class]]="B", WORKDAY(Main[[#This Row],[Tech Start Date]],6),IF(Main[[#This Row],[Class]]="A",WORKDAY(Main[[#This Row],[Tech Start Date]],2),""))))</f>
        <v/>
      </c>
      <c r="N1093" s="69" t="str">
        <f>IF(Main[[#This Row],[Tech Start Date]]&lt;1/1/1990,"",IF(Main[[#This Row],[Class]]="C",WORKDAY(Main[[#This Row],[Tech Start Date]],19),IF(Main[[#This Row],[Class]]="B", WORKDAY(Main[[#This Row],[Tech Start Date]],12),IF(Main[[#This Row],[Class]]="A",WORKDAY(Main[[#This Row],[Tech Start Date]],4),""))))</f>
        <v/>
      </c>
      <c r="O1093" s="69" t="str">
        <f>IF(Main[[#This Row],[Tech Start Date]]&lt;1/1/1990,"",IF(Main[[#This Row],[Class]]="C",WORKDAY(Main[[#This Row],[Tech Start Date]],23),IF(Main[[#This Row],[Class]]="B", WORKDAY(Main[[#This Row],[Tech Start Date]],15),IF(Main[[#This Row],[Class]]="A",WORKDAY(Main[[#This Row],[Tech Start Date]],5),""))))</f>
        <v/>
      </c>
      <c r="P1093" s="69" t="str">
        <f>IF(Main[[#This Row],[Tech Start Date]]&lt;1/1/1990,"",IF(Main[[#This Row],[Class]]="C",WORKDAY(Main[[#This Row],[Tech Start Date]],28),IF(Main[[#This Row],[Class]]="B", WORKDAY(Main[[#This Row],[Tech Start Date]],19),IF(Main[[#This Row],[Class]]="A",WORKDAY(Main[[#This Row],[Tech Start Date]],9),""))))</f>
        <v/>
      </c>
      <c r="Q1093" s="67">
        <v>40968</v>
      </c>
      <c r="R1093" s="67"/>
      <c r="S1093" s="65" t="s">
        <v>11</v>
      </c>
      <c r="T1093" s="70" t="s">
        <v>4</v>
      </c>
      <c r="U1093" s="65" t="s">
        <v>12</v>
      </c>
      <c r="V1093" s="65" t="s">
        <v>1917</v>
      </c>
      <c r="W1093" s="65" t="s">
        <v>1925</v>
      </c>
      <c r="X1093" s="65" t="s">
        <v>2849</v>
      </c>
      <c r="Y1093" s="65" t="s">
        <v>4</v>
      </c>
      <c r="Z1093" s="65" t="s">
        <v>4</v>
      </c>
      <c r="AA1093" s="65" t="s">
        <v>2849</v>
      </c>
    </row>
    <row r="1094" spans="1:27" ht="17.45" customHeight="1">
      <c r="A1094" s="131" t="str">
        <f>IF(priority(Main[[#This Row],[Comments]])&lt;&gt;0, priority(Main[[#This Row],[Comments]]),"")</f>
        <v/>
      </c>
      <c r="B1094" s="99" t="s">
        <v>2762</v>
      </c>
      <c r="C1094" s="65" t="s">
        <v>4</v>
      </c>
      <c r="D1094" s="66" t="s">
        <v>2763</v>
      </c>
      <c r="E1094" s="67">
        <v>40911.432222222225</v>
      </c>
      <c r="F1094" s="67"/>
      <c r="G1094" s="64" t="str">
        <f>IF(stdProdLT(Main[[#This Row],[Comments]])=0.1,"N/A",IF(stdProdLT(Main[[#This Row],[Comments]])=0,"",stdProdLT(Main[[#This Row],[Comments]])))</f>
        <v/>
      </c>
      <c r="H1094" s="68" t="str">
        <f>IF(AND(Main[[#This Row],[In Stock Date]]&lt;&gt;"",Main[[#This Row],[Revised Due Date]]&lt;&gt;""),Main[[#This Row],[In Stock Date]]-Main[[#This Row],[Revised Due Date]],"")</f>
        <v/>
      </c>
      <c r="I1094" s="65" t="s">
        <v>939</v>
      </c>
      <c r="J1094" s="65" t="s">
        <v>52</v>
      </c>
      <c r="K1094" s="65" t="s">
        <v>1926</v>
      </c>
      <c r="L1094" s="67"/>
      <c r="M1094" s="69" t="str">
        <f>IF(Main[[#This Row],[Tech Start Date]]&lt;1/1/1990,"",IF(Main[[#This Row],[Class]]="C",WORKDAY(Main[[#This Row],[Tech Start Date]],9),IF(Main[[#This Row],[Class]]="B", WORKDAY(Main[[#This Row],[Tech Start Date]],6),IF(Main[[#This Row],[Class]]="A",WORKDAY(Main[[#This Row],[Tech Start Date]],2),""))))</f>
        <v/>
      </c>
      <c r="N1094" s="69" t="str">
        <f>IF(Main[[#This Row],[Tech Start Date]]&lt;1/1/1990,"",IF(Main[[#This Row],[Class]]="C",WORKDAY(Main[[#This Row],[Tech Start Date]],19),IF(Main[[#This Row],[Class]]="B", WORKDAY(Main[[#This Row],[Tech Start Date]],12),IF(Main[[#This Row],[Class]]="A",WORKDAY(Main[[#This Row],[Tech Start Date]],4),""))))</f>
        <v/>
      </c>
      <c r="O1094" s="69" t="str">
        <f>IF(Main[[#This Row],[Tech Start Date]]&lt;1/1/1990,"",IF(Main[[#This Row],[Class]]="C",WORKDAY(Main[[#This Row],[Tech Start Date]],23),IF(Main[[#This Row],[Class]]="B", WORKDAY(Main[[#This Row],[Tech Start Date]],15),IF(Main[[#This Row],[Class]]="A",WORKDAY(Main[[#This Row],[Tech Start Date]],5),""))))</f>
        <v/>
      </c>
      <c r="P1094" s="69" t="str">
        <f>IF(Main[[#This Row],[Tech Start Date]]&lt;1/1/1990,"",IF(Main[[#This Row],[Class]]="C",WORKDAY(Main[[#This Row],[Tech Start Date]],28),IF(Main[[#This Row],[Class]]="B", WORKDAY(Main[[#This Row],[Tech Start Date]],19),IF(Main[[#This Row],[Class]]="A",WORKDAY(Main[[#This Row],[Tech Start Date]],9),""))))</f>
        <v/>
      </c>
      <c r="Q1094" s="67"/>
      <c r="R1094" s="67"/>
      <c r="S1094" s="65" t="s">
        <v>6</v>
      </c>
      <c r="T1094" s="70" t="s">
        <v>4</v>
      </c>
      <c r="U1094" s="65" t="s">
        <v>29</v>
      </c>
      <c r="V1094" s="65" t="s">
        <v>1917</v>
      </c>
      <c r="W1094" s="65" t="s">
        <v>1921</v>
      </c>
      <c r="X1094" s="65" t="s">
        <v>2211</v>
      </c>
      <c r="Y1094" s="65" t="s">
        <v>3133</v>
      </c>
      <c r="Z1094" s="65" t="s">
        <v>914</v>
      </c>
      <c r="AA1094" s="65" t="s">
        <v>2211</v>
      </c>
    </row>
    <row r="1095" spans="1:27" ht="17.45" customHeight="1">
      <c r="A1095" s="131" t="str">
        <f>IF(priority(Main[[#This Row],[Comments]])&lt;&gt;0, priority(Main[[#This Row],[Comments]]),"")</f>
        <v/>
      </c>
      <c r="B1095" s="99" t="s">
        <v>2674</v>
      </c>
      <c r="C1095" s="65" t="s">
        <v>4</v>
      </c>
      <c r="D1095" s="66" t="s">
        <v>2675</v>
      </c>
      <c r="E1095" s="67">
        <v>40879.618761574071</v>
      </c>
      <c r="F1095" s="67"/>
      <c r="G1095" s="64" t="str">
        <f>IF(stdProdLT(Main[[#This Row],[Comments]])=0.1,"N/A",IF(stdProdLT(Main[[#This Row],[Comments]])=0,"",stdProdLT(Main[[#This Row],[Comments]])))</f>
        <v/>
      </c>
      <c r="H1095" s="68" t="str">
        <f>IF(AND(Main[[#This Row],[In Stock Date]]&lt;&gt;"",Main[[#This Row],[Revised Due Date]]&lt;&gt;""),Main[[#This Row],[In Stock Date]]-Main[[#This Row],[Revised Due Date]],"")</f>
        <v/>
      </c>
      <c r="I1095" s="65" t="s">
        <v>4</v>
      </c>
      <c r="J1095" s="65" t="s">
        <v>4</v>
      </c>
      <c r="K1095" s="65" t="s">
        <v>4</v>
      </c>
      <c r="L1095" s="67"/>
      <c r="M1095" s="69" t="str">
        <f>IF(Main[[#This Row],[Tech Start Date]]&lt;1/1/1990,"",IF(Main[[#This Row],[Class]]="C",WORKDAY(Main[[#This Row],[Tech Start Date]],9),IF(Main[[#This Row],[Class]]="B", WORKDAY(Main[[#This Row],[Tech Start Date]],6),IF(Main[[#This Row],[Class]]="A",WORKDAY(Main[[#This Row],[Tech Start Date]],2),""))))</f>
        <v/>
      </c>
      <c r="N1095" s="69" t="str">
        <f>IF(Main[[#This Row],[Tech Start Date]]&lt;1/1/1990,"",IF(Main[[#This Row],[Class]]="C",WORKDAY(Main[[#This Row],[Tech Start Date]],19),IF(Main[[#This Row],[Class]]="B", WORKDAY(Main[[#This Row],[Tech Start Date]],12),IF(Main[[#This Row],[Class]]="A",WORKDAY(Main[[#This Row],[Tech Start Date]],4),""))))</f>
        <v/>
      </c>
      <c r="O1095" s="69" t="str">
        <f>IF(Main[[#This Row],[Tech Start Date]]&lt;1/1/1990,"",IF(Main[[#This Row],[Class]]="C",WORKDAY(Main[[#This Row],[Tech Start Date]],23),IF(Main[[#This Row],[Class]]="B", WORKDAY(Main[[#This Row],[Tech Start Date]],15),IF(Main[[#This Row],[Class]]="A",WORKDAY(Main[[#This Row],[Tech Start Date]],5),""))))</f>
        <v/>
      </c>
      <c r="P1095" s="69" t="str">
        <f>IF(Main[[#This Row],[Tech Start Date]]&lt;1/1/1990,"",IF(Main[[#This Row],[Class]]="C",WORKDAY(Main[[#This Row],[Tech Start Date]],28),IF(Main[[#This Row],[Class]]="B", WORKDAY(Main[[#This Row],[Tech Start Date]],19),IF(Main[[#This Row],[Class]]="A",WORKDAY(Main[[#This Row],[Tech Start Date]],9),""))))</f>
        <v/>
      </c>
      <c r="Q1095" s="67"/>
      <c r="R1095" s="67"/>
      <c r="S1095" s="65" t="s">
        <v>17</v>
      </c>
      <c r="T1095" s="70" t="s">
        <v>4</v>
      </c>
      <c r="U1095" s="65" t="s">
        <v>7</v>
      </c>
      <c r="V1095" s="65" t="s">
        <v>1920</v>
      </c>
      <c r="W1095" s="65" t="s">
        <v>1922</v>
      </c>
      <c r="X1095" s="65" t="s">
        <v>554</v>
      </c>
      <c r="Y1095" s="65" t="s">
        <v>2958</v>
      </c>
      <c r="Z1095" s="65" t="s">
        <v>4</v>
      </c>
      <c r="AA1095" s="65" t="s">
        <v>554</v>
      </c>
    </row>
    <row r="1096" spans="1:27" ht="17.45" customHeight="1">
      <c r="A1096" s="131" t="str">
        <f>IF(priority(Main[[#This Row],[Comments]])&lt;&gt;0, priority(Main[[#This Row],[Comments]]),"")</f>
        <v/>
      </c>
      <c r="B1096" s="99" t="s">
        <v>1908</v>
      </c>
      <c r="C1096" s="65" t="s">
        <v>31</v>
      </c>
      <c r="D1096" s="66" t="s">
        <v>957</v>
      </c>
      <c r="E1096" s="67">
        <v>40528.412233796298</v>
      </c>
      <c r="F1096" s="67">
        <v>40634</v>
      </c>
      <c r="G1096" s="64" t="str">
        <f>IF(stdProdLT(Main[[#This Row],[Comments]])=0.1,"N/A",IF(stdProdLT(Main[[#This Row],[Comments]])=0,"",stdProdLT(Main[[#This Row],[Comments]])))</f>
        <v/>
      </c>
      <c r="H1096" s="68">
        <f>IF(AND(Main[[#This Row],[In Stock Date]]&lt;&gt;"",Main[[#This Row],[Revised Due Date]]&lt;&gt;""),Main[[#This Row],[In Stock Date]]-Main[[#This Row],[Revised Due Date]],"")</f>
        <v>-255</v>
      </c>
      <c r="I1096" s="65" t="s">
        <v>431</v>
      </c>
      <c r="J1096" s="65" t="s">
        <v>28</v>
      </c>
      <c r="K1096" s="65" t="s">
        <v>1929</v>
      </c>
      <c r="L1096" s="67"/>
      <c r="M1096" s="69" t="str">
        <f>IF(Main[[#This Row],[Tech Start Date]]&lt;1/1/1990,"",IF(Main[[#This Row],[Class]]="C",WORKDAY(Main[[#This Row],[Tech Start Date]],9),IF(Main[[#This Row],[Class]]="B", WORKDAY(Main[[#This Row],[Tech Start Date]],6),IF(Main[[#This Row],[Class]]="A",WORKDAY(Main[[#This Row],[Tech Start Date]],2),""))))</f>
        <v/>
      </c>
      <c r="N1096" s="69" t="str">
        <f>IF(Main[[#This Row],[Tech Start Date]]&lt;1/1/1990,"",IF(Main[[#This Row],[Class]]="C",WORKDAY(Main[[#This Row],[Tech Start Date]],19),IF(Main[[#This Row],[Class]]="B", WORKDAY(Main[[#This Row],[Tech Start Date]],12),IF(Main[[#This Row],[Class]]="A",WORKDAY(Main[[#This Row],[Tech Start Date]],4),""))))</f>
        <v/>
      </c>
      <c r="O1096" s="69" t="str">
        <f>IF(Main[[#This Row],[Tech Start Date]]&lt;1/1/1990,"",IF(Main[[#This Row],[Class]]="C",WORKDAY(Main[[#This Row],[Tech Start Date]],23),IF(Main[[#This Row],[Class]]="B", WORKDAY(Main[[#This Row],[Tech Start Date]],15),IF(Main[[#This Row],[Class]]="A",WORKDAY(Main[[#This Row],[Tech Start Date]],5),""))))</f>
        <v/>
      </c>
      <c r="P1096" s="69" t="str">
        <f>IF(Main[[#This Row],[Tech Start Date]]&lt;1/1/1990,"",IF(Main[[#This Row],[Class]]="C",WORKDAY(Main[[#This Row],[Tech Start Date]],28),IF(Main[[#This Row],[Class]]="B", WORKDAY(Main[[#This Row],[Tech Start Date]],19),IF(Main[[#This Row],[Class]]="A",WORKDAY(Main[[#This Row],[Tech Start Date]],9),""))))</f>
        <v/>
      </c>
      <c r="Q1096" s="67">
        <v>40634</v>
      </c>
      <c r="R1096" s="67">
        <v>40889</v>
      </c>
      <c r="S1096" s="65" t="s">
        <v>17</v>
      </c>
      <c r="T1096" s="70" t="s">
        <v>4</v>
      </c>
      <c r="U1096" s="65" t="s">
        <v>29</v>
      </c>
      <c r="V1096" s="65" t="s">
        <v>1920</v>
      </c>
      <c r="W1096" s="65" t="s">
        <v>1928</v>
      </c>
      <c r="X1096" s="65" t="s">
        <v>554</v>
      </c>
      <c r="Y1096" s="65" t="s">
        <v>3035</v>
      </c>
      <c r="Z1096" s="65" t="s">
        <v>415</v>
      </c>
      <c r="AA1096" s="65" t="s">
        <v>2898</v>
      </c>
    </row>
    <row r="1097" spans="1:27" ht="17.45" customHeight="1">
      <c r="A1097" s="131" t="str">
        <f>IF(priority(Main[[#This Row],[Comments]])&lt;&gt;0, priority(Main[[#This Row],[Comments]]),"")</f>
        <v/>
      </c>
      <c r="B1097" s="99" t="s">
        <v>2435</v>
      </c>
      <c r="C1097" s="65" t="s">
        <v>4</v>
      </c>
      <c r="D1097" s="66" t="s">
        <v>2436</v>
      </c>
      <c r="E1097" s="67">
        <v>40822.361354166664</v>
      </c>
      <c r="F1097" s="67"/>
      <c r="G1097" s="64" t="str">
        <f>IF(stdProdLT(Main[[#This Row],[Comments]])=0.1,"N/A",IF(stdProdLT(Main[[#This Row],[Comments]])=0,"",stdProdLT(Main[[#This Row],[Comments]])))</f>
        <v/>
      </c>
      <c r="H1097" s="68" t="str">
        <f>IF(AND(Main[[#This Row],[In Stock Date]]&lt;&gt;"",Main[[#This Row],[Revised Due Date]]&lt;&gt;""),Main[[#This Row],[In Stock Date]]-Main[[#This Row],[Revised Due Date]],"")</f>
        <v/>
      </c>
      <c r="I1097" s="65" t="s">
        <v>4</v>
      </c>
      <c r="J1097" s="65" t="s">
        <v>4</v>
      </c>
      <c r="K1097" s="65" t="s">
        <v>4</v>
      </c>
      <c r="L1097" s="67"/>
      <c r="M1097" s="69" t="str">
        <f>IF(Main[[#This Row],[Tech Start Date]]&lt;1/1/1990,"",IF(Main[[#This Row],[Class]]="C",WORKDAY(Main[[#This Row],[Tech Start Date]],9),IF(Main[[#This Row],[Class]]="B", WORKDAY(Main[[#This Row],[Tech Start Date]],6),IF(Main[[#This Row],[Class]]="A",WORKDAY(Main[[#This Row],[Tech Start Date]],2),""))))</f>
        <v/>
      </c>
      <c r="N1097" s="69" t="str">
        <f>IF(Main[[#This Row],[Tech Start Date]]&lt;1/1/1990,"",IF(Main[[#This Row],[Class]]="C",WORKDAY(Main[[#This Row],[Tech Start Date]],19),IF(Main[[#This Row],[Class]]="B", WORKDAY(Main[[#This Row],[Tech Start Date]],12),IF(Main[[#This Row],[Class]]="A",WORKDAY(Main[[#This Row],[Tech Start Date]],4),""))))</f>
        <v/>
      </c>
      <c r="O1097" s="69" t="str">
        <f>IF(Main[[#This Row],[Tech Start Date]]&lt;1/1/1990,"",IF(Main[[#This Row],[Class]]="C",WORKDAY(Main[[#This Row],[Tech Start Date]],23),IF(Main[[#This Row],[Class]]="B", WORKDAY(Main[[#This Row],[Tech Start Date]],15),IF(Main[[#This Row],[Class]]="A",WORKDAY(Main[[#This Row],[Tech Start Date]],5),""))))</f>
        <v/>
      </c>
      <c r="P1097" s="69" t="str">
        <f>IF(Main[[#This Row],[Tech Start Date]]&lt;1/1/1990,"",IF(Main[[#This Row],[Class]]="C",WORKDAY(Main[[#This Row],[Tech Start Date]],28),IF(Main[[#This Row],[Class]]="B", WORKDAY(Main[[#This Row],[Tech Start Date]],19),IF(Main[[#This Row],[Class]]="A",WORKDAY(Main[[#This Row],[Tech Start Date]],9),""))))</f>
        <v/>
      </c>
      <c r="Q1097" s="67">
        <v>40872</v>
      </c>
      <c r="R1097" s="67"/>
      <c r="S1097" s="65" t="s">
        <v>6</v>
      </c>
      <c r="T1097" s="70" t="s">
        <v>4</v>
      </c>
      <c r="U1097" s="65" t="s">
        <v>7</v>
      </c>
      <c r="V1097" s="65" t="s">
        <v>1917</v>
      </c>
      <c r="W1097" s="65" t="s">
        <v>4</v>
      </c>
      <c r="X1097" s="65" t="s">
        <v>2828</v>
      </c>
      <c r="Y1097" s="65" t="s">
        <v>2944</v>
      </c>
      <c r="Z1097" s="65" t="s">
        <v>4</v>
      </c>
      <c r="AA1097" s="65" t="s">
        <v>2828</v>
      </c>
    </row>
    <row r="1098" spans="1:27" ht="17.45" customHeight="1">
      <c r="A1098" s="131" t="str">
        <f>IF(priority(Main[[#This Row],[Comments]])&lt;&gt;0, priority(Main[[#This Row],[Comments]]),"")</f>
        <v/>
      </c>
      <c r="B1098" s="99" t="s">
        <v>1202</v>
      </c>
      <c r="C1098" s="65" t="s">
        <v>4</v>
      </c>
      <c r="D1098" s="66" t="s">
        <v>3316</v>
      </c>
      <c r="E1098" s="67"/>
      <c r="F1098" s="67"/>
      <c r="G1098" s="64" t="str">
        <f>IF(stdProdLT(Main[[#This Row],[Comments]])=0.1,"N/A",IF(stdProdLT(Main[[#This Row],[Comments]])=0,"",stdProdLT(Main[[#This Row],[Comments]])))</f>
        <v/>
      </c>
      <c r="H1098" s="68" t="str">
        <f>IF(AND(Main[[#This Row],[In Stock Date]]&lt;&gt;"",Main[[#This Row],[Revised Due Date]]&lt;&gt;""),Main[[#This Row],[In Stock Date]]-Main[[#This Row],[Revised Due Date]],"")</f>
        <v/>
      </c>
      <c r="I1098" s="65" t="s">
        <v>2054</v>
      </c>
      <c r="J1098" s="65" t="s">
        <v>28</v>
      </c>
      <c r="K1098" s="65" t="s">
        <v>1926</v>
      </c>
      <c r="L1098" s="67"/>
      <c r="M1098" s="69" t="str">
        <f>IF(Main[[#This Row],[Tech Start Date]]&lt;1/1/1990,"",IF(Main[[#This Row],[Class]]="C",WORKDAY(Main[[#This Row],[Tech Start Date]],9),IF(Main[[#This Row],[Class]]="B", WORKDAY(Main[[#This Row],[Tech Start Date]],6),IF(Main[[#This Row],[Class]]="A",WORKDAY(Main[[#This Row],[Tech Start Date]],2),""))))</f>
        <v/>
      </c>
      <c r="N1098" s="69" t="str">
        <f>IF(Main[[#This Row],[Tech Start Date]]&lt;1/1/1990,"",IF(Main[[#This Row],[Class]]="C",WORKDAY(Main[[#This Row],[Tech Start Date]],19),IF(Main[[#This Row],[Class]]="B", WORKDAY(Main[[#This Row],[Tech Start Date]],12),IF(Main[[#This Row],[Class]]="A",WORKDAY(Main[[#This Row],[Tech Start Date]],4),""))))</f>
        <v/>
      </c>
      <c r="O1098" s="69" t="str">
        <f>IF(Main[[#This Row],[Tech Start Date]]&lt;1/1/1990,"",IF(Main[[#This Row],[Class]]="C",WORKDAY(Main[[#This Row],[Tech Start Date]],23),IF(Main[[#This Row],[Class]]="B", WORKDAY(Main[[#This Row],[Tech Start Date]],15),IF(Main[[#This Row],[Class]]="A",WORKDAY(Main[[#This Row],[Tech Start Date]],5),""))))</f>
        <v/>
      </c>
      <c r="P1098" s="69" t="str">
        <f>IF(Main[[#This Row],[Tech Start Date]]&lt;1/1/1990,"",IF(Main[[#This Row],[Class]]="C",WORKDAY(Main[[#This Row],[Tech Start Date]],28),IF(Main[[#This Row],[Class]]="B", WORKDAY(Main[[#This Row],[Tech Start Date]],19),IF(Main[[#This Row],[Class]]="A",WORKDAY(Main[[#This Row],[Tech Start Date]],9),""))))</f>
        <v/>
      </c>
      <c r="Q1098" s="67"/>
      <c r="R1098" s="67"/>
      <c r="S1098" s="65" t="s">
        <v>6</v>
      </c>
      <c r="T1098" s="70" t="s">
        <v>4</v>
      </c>
      <c r="U1098" s="65" t="s">
        <v>14</v>
      </c>
      <c r="V1098" s="65" t="s">
        <v>1920</v>
      </c>
      <c r="W1098" s="65" t="s">
        <v>1921</v>
      </c>
      <c r="X1098" s="65" t="s">
        <v>2825</v>
      </c>
      <c r="Y1098" s="65" t="s">
        <v>2938</v>
      </c>
      <c r="Z1098" s="65" t="s">
        <v>30</v>
      </c>
      <c r="AA1098" s="65" t="s">
        <v>2825</v>
      </c>
    </row>
    <row r="1099" spans="1:27" ht="17.45" customHeight="1">
      <c r="A1099" s="131" t="str">
        <f>IF(priority(Main[[#This Row],[Comments]])&lt;&gt;0, priority(Main[[#This Row],[Comments]]),"")</f>
        <v/>
      </c>
      <c r="B1099" s="99" t="s">
        <v>2437</v>
      </c>
      <c r="C1099" s="65" t="s">
        <v>4</v>
      </c>
      <c r="D1099" s="66" t="s">
        <v>2438</v>
      </c>
      <c r="E1099" s="67">
        <v>40861.647233796299</v>
      </c>
      <c r="F1099" s="67"/>
      <c r="G1099" s="64" t="str">
        <f>IF(stdProdLT(Main[[#This Row],[Comments]])=0.1,"N/A",IF(stdProdLT(Main[[#This Row],[Comments]])=0,"",stdProdLT(Main[[#This Row],[Comments]])))</f>
        <v/>
      </c>
      <c r="H1099" s="68" t="str">
        <f>IF(AND(Main[[#This Row],[In Stock Date]]&lt;&gt;"",Main[[#This Row],[Revised Due Date]]&lt;&gt;""),Main[[#This Row],[In Stock Date]]-Main[[#This Row],[Revised Due Date]],"")</f>
        <v/>
      </c>
      <c r="I1099" s="65" t="s">
        <v>767</v>
      </c>
      <c r="J1099" s="65" t="s">
        <v>52</v>
      </c>
      <c r="K1099" s="65" t="s">
        <v>1926</v>
      </c>
      <c r="L1099" s="67"/>
      <c r="M1099" s="69" t="str">
        <f>IF(Main[[#This Row],[Tech Start Date]]&lt;1/1/1990,"",IF(Main[[#This Row],[Class]]="C",WORKDAY(Main[[#This Row],[Tech Start Date]],9),IF(Main[[#This Row],[Class]]="B", WORKDAY(Main[[#This Row],[Tech Start Date]],6),IF(Main[[#This Row],[Class]]="A",WORKDAY(Main[[#This Row],[Tech Start Date]],2),""))))</f>
        <v/>
      </c>
      <c r="N1099" s="69" t="str">
        <f>IF(Main[[#This Row],[Tech Start Date]]&lt;1/1/1990,"",IF(Main[[#This Row],[Class]]="C",WORKDAY(Main[[#This Row],[Tech Start Date]],19),IF(Main[[#This Row],[Class]]="B", WORKDAY(Main[[#This Row],[Tech Start Date]],12),IF(Main[[#This Row],[Class]]="A",WORKDAY(Main[[#This Row],[Tech Start Date]],4),""))))</f>
        <v/>
      </c>
      <c r="O1099" s="69" t="str">
        <f>IF(Main[[#This Row],[Tech Start Date]]&lt;1/1/1990,"",IF(Main[[#This Row],[Class]]="C",WORKDAY(Main[[#This Row],[Tech Start Date]],23),IF(Main[[#This Row],[Class]]="B", WORKDAY(Main[[#This Row],[Tech Start Date]],15),IF(Main[[#This Row],[Class]]="A",WORKDAY(Main[[#This Row],[Tech Start Date]],5),""))))</f>
        <v/>
      </c>
      <c r="P1099" s="69" t="str">
        <f>IF(Main[[#This Row],[Tech Start Date]]&lt;1/1/1990,"",IF(Main[[#This Row],[Class]]="C",WORKDAY(Main[[#This Row],[Tech Start Date]],28),IF(Main[[#This Row],[Class]]="B", WORKDAY(Main[[#This Row],[Tech Start Date]],19),IF(Main[[#This Row],[Class]]="A",WORKDAY(Main[[#This Row],[Tech Start Date]],9),""))))</f>
        <v/>
      </c>
      <c r="Q1099" s="67">
        <v>40897</v>
      </c>
      <c r="R1099" s="67"/>
      <c r="S1099" s="65" t="s">
        <v>6</v>
      </c>
      <c r="T1099" s="70" t="s">
        <v>4</v>
      </c>
      <c r="U1099" s="65" t="s">
        <v>29</v>
      </c>
      <c r="V1099" s="65" t="s">
        <v>1920</v>
      </c>
      <c r="W1099" s="65" t="s">
        <v>1921</v>
      </c>
      <c r="X1099" s="65" t="s">
        <v>30</v>
      </c>
      <c r="Y1099" s="65" t="s">
        <v>2946</v>
      </c>
      <c r="Z1099" s="65" t="s">
        <v>30</v>
      </c>
      <c r="AA1099" s="65" t="s">
        <v>30</v>
      </c>
    </row>
    <row r="1100" spans="1:27" ht="17.45" customHeight="1">
      <c r="A1100" s="131" t="str">
        <f>IF(priority(Main[[#This Row],[Comments]])&lt;&gt;0, priority(Main[[#This Row],[Comments]]),"")</f>
        <v/>
      </c>
      <c r="B1100" s="99" t="s">
        <v>1846</v>
      </c>
      <c r="C1100" s="65" t="s">
        <v>4</v>
      </c>
      <c r="D1100" s="66" t="s">
        <v>902</v>
      </c>
      <c r="E1100" s="67">
        <v>40478.709317129629</v>
      </c>
      <c r="F1100" s="67">
        <v>40492</v>
      </c>
      <c r="G1100" s="64" t="str">
        <f>IF(stdProdLT(Main[[#This Row],[Comments]])=0.1,"N/A",IF(stdProdLT(Main[[#This Row],[Comments]])=0,"",stdProdLT(Main[[#This Row],[Comments]])))</f>
        <v/>
      </c>
      <c r="H1100" s="68">
        <f>IF(AND(Main[[#This Row],[In Stock Date]]&lt;&gt;"",Main[[#This Row],[Revised Due Date]]&lt;&gt;""),Main[[#This Row],[In Stock Date]]-Main[[#This Row],[Revised Due Date]],"")</f>
        <v>-3</v>
      </c>
      <c r="I1100" s="65" t="s">
        <v>4</v>
      </c>
      <c r="J1100" s="65" t="s">
        <v>28</v>
      </c>
      <c r="K1100" s="65" t="s">
        <v>1924</v>
      </c>
      <c r="L1100" s="67"/>
      <c r="M1100" s="69" t="str">
        <f>IF(Main[[#This Row],[Tech Start Date]]&lt;1/1/1990,"",IF(Main[[#This Row],[Class]]="C",WORKDAY(Main[[#This Row],[Tech Start Date]],9),IF(Main[[#This Row],[Class]]="B", WORKDAY(Main[[#This Row],[Tech Start Date]],6),IF(Main[[#This Row],[Class]]="A",WORKDAY(Main[[#This Row],[Tech Start Date]],2),""))))</f>
        <v/>
      </c>
      <c r="N1100" s="69" t="str">
        <f>IF(Main[[#This Row],[Tech Start Date]]&lt;1/1/1990,"",IF(Main[[#This Row],[Class]]="C",WORKDAY(Main[[#This Row],[Tech Start Date]],19),IF(Main[[#This Row],[Class]]="B", WORKDAY(Main[[#This Row],[Tech Start Date]],12),IF(Main[[#This Row],[Class]]="A",WORKDAY(Main[[#This Row],[Tech Start Date]],4),""))))</f>
        <v/>
      </c>
      <c r="O1100" s="69" t="str">
        <f>IF(Main[[#This Row],[Tech Start Date]]&lt;1/1/1990,"",IF(Main[[#This Row],[Class]]="C",WORKDAY(Main[[#This Row],[Tech Start Date]],23),IF(Main[[#This Row],[Class]]="B", WORKDAY(Main[[#This Row],[Tech Start Date]],15),IF(Main[[#This Row],[Class]]="A",WORKDAY(Main[[#This Row],[Tech Start Date]],5),""))))</f>
        <v/>
      </c>
      <c r="P1100" s="69" t="str">
        <f>IF(Main[[#This Row],[Tech Start Date]]&lt;1/1/1990,"",IF(Main[[#This Row],[Class]]="C",WORKDAY(Main[[#This Row],[Tech Start Date]],28),IF(Main[[#This Row],[Class]]="B", WORKDAY(Main[[#This Row],[Tech Start Date]],19),IF(Main[[#This Row],[Class]]="A",WORKDAY(Main[[#This Row],[Tech Start Date]],9),""))))</f>
        <v/>
      </c>
      <c r="Q1100" s="67">
        <v>40908</v>
      </c>
      <c r="R1100" s="67">
        <v>40495</v>
      </c>
      <c r="S1100" s="65" t="s">
        <v>17</v>
      </c>
      <c r="T1100" s="70" t="s">
        <v>2439</v>
      </c>
      <c r="U1100" s="65" t="s">
        <v>29</v>
      </c>
      <c r="V1100" s="65" t="s">
        <v>1918</v>
      </c>
      <c r="W1100" s="65" t="s">
        <v>1919</v>
      </c>
      <c r="X1100" s="65" t="s">
        <v>50</v>
      </c>
      <c r="Y1100" s="65" t="s">
        <v>4</v>
      </c>
      <c r="Z1100" s="65" t="s">
        <v>4</v>
      </c>
      <c r="AA1100" s="65" t="s">
        <v>977</v>
      </c>
    </row>
    <row r="1101" spans="1:27" ht="17.45" customHeight="1">
      <c r="A1101" s="131" t="str">
        <f>IF(priority(Main[[#This Row],[Comments]])&lt;&gt;0, priority(Main[[#This Row],[Comments]]),"")</f>
        <v/>
      </c>
      <c r="B1101" s="99" t="s">
        <v>1126</v>
      </c>
      <c r="C1101" s="65" t="s">
        <v>4</v>
      </c>
      <c r="D1101" s="66" t="s">
        <v>2440</v>
      </c>
      <c r="E1101" s="67">
        <v>40581.512430555558</v>
      </c>
      <c r="F1101" s="67">
        <v>40627</v>
      </c>
      <c r="G1101" s="64" t="str">
        <f>IF(stdProdLT(Main[[#This Row],[Comments]])=0.1,"N/A",IF(stdProdLT(Main[[#This Row],[Comments]])=0,"",stdProdLT(Main[[#This Row],[Comments]])))</f>
        <v/>
      </c>
      <c r="H1101" s="68" t="str">
        <f>IF(AND(Main[[#This Row],[In Stock Date]]&lt;&gt;"",Main[[#This Row],[Revised Due Date]]&lt;&gt;""),Main[[#This Row],[In Stock Date]]-Main[[#This Row],[Revised Due Date]],"")</f>
        <v/>
      </c>
      <c r="I1101" s="65" t="s">
        <v>914</v>
      </c>
      <c r="J1101" s="65" t="s">
        <v>52</v>
      </c>
      <c r="K1101" s="71" t="s">
        <v>1924</v>
      </c>
      <c r="L1101" s="67"/>
      <c r="M1101" s="69" t="str">
        <f>IF(Main[[#This Row],[Tech Start Date]]&lt;1/1/1990,"",IF(Main[[#This Row],[Class]]="C",WORKDAY(Main[[#This Row],[Tech Start Date]],9),IF(Main[[#This Row],[Class]]="B", WORKDAY(Main[[#This Row],[Tech Start Date]],6),IF(Main[[#This Row],[Class]]="A",WORKDAY(Main[[#This Row],[Tech Start Date]],2),""))))</f>
        <v/>
      </c>
      <c r="N1101" s="69" t="str">
        <f>IF(Main[[#This Row],[Tech Start Date]]&lt;1/1/1990,"",IF(Main[[#This Row],[Class]]="C",WORKDAY(Main[[#This Row],[Tech Start Date]],19),IF(Main[[#This Row],[Class]]="B", WORKDAY(Main[[#This Row],[Tech Start Date]],12),IF(Main[[#This Row],[Class]]="A",WORKDAY(Main[[#This Row],[Tech Start Date]],4),""))))</f>
        <v/>
      </c>
      <c r="O1101" s="69" t="str">
        <f>IF(Main[[#This Row],[Tech Start Date]]&lt;1/1/1990,"",IF(Main[[#This Row],[Class]]="C",WORKDAY(Main[[#This Row],[Tech Start Date]],23),IF(Main[[#This Row],[Class]]="B", WORKDAY(Main[[#This Row],[Tech Start Date]],15),IF(Main[[#This Row],[Class]]="A",WORKDAY(Main[[#This Row],[Tech Start Date]],5),""))))</f>
        <v/>
      </c>
      <c r="P1101" s="69" t="str">
        <f>IF(Main[[#This Row],[Tech Start Date]]&lt;1/1/1990,"",IF(Main[[#This Row],[Class]]="C",WORKDAY(Main[[#This Row],[Tech Start Date]],28),IF(Main[[#This Row],[Class]]="B", WORKDAY(Main[[#This Row],[Tech Start Date]],19),IF(Main[[#This Row],[Class]]="A",WORKDAY(Main[[#This Row],[Tech Start Date]],9),""))))</f>
        <v/>
      </c>
      <c r="Q1101" s="67">
        <v>40627</v>
      </c>
      <c r="R1101" s="67"/>
      <c r="S1101" s="65" t="s">
        <v>6</v>
      </c>
      <c r="T1101" s="70" t="s">
        <v>4</v>
      </c>
      <c r="U1101" s="65" t="s">
        <v>29</v>
      </c>
      <c r="V1101" s="65" t="s">
        <v>1917</v>
      </c>
      <c r="W1101" s="65" t="s">
        <v>1919</v>
      </c>
      <c r="X1101" s="65" t="s">
        <v>2824</v>
      </c>
      <c r="Y1101" s="65" t="s">
        <v>2935</v>
      </c>
      <c r="Z1101" s="65" t="s">
        <v>129</v>
      </c>
      <c r="AA1101" s="65" t="s">
        <v>2824</v>
      </c>
    </row>
    <row r="1102" spans="1:27" ht="17.45" customHeight="1">
      <c r="A1102" s="131" t="str">
        <f>IF(priority(Main[[#This Row],[Comments]])&lt;&gt;0, priority(Main[[#This Row],[Comments]]),"")</f>
        <v/>
      </c>
      <c r="B1102" s="99" t="s">
        <v>1315</v>
      </c>
      <c r="C1102" s="65" t="s">
        <v>4</v>
      </c>
      <c r="D1102" s="66" t="s">
        <v>2309</v>
      </c>
      <c r="E1102" s="67">
        <v>40627.285358796296</v>
      </c>
      <c r="F1102" s="67"/>
      <c r="G1102" s="64" t="str">
        <f>IF(stdProdLT(Main[[#This Row],[Comments]])=0.1,"N/A",IF(stdProdLT(Main[[#This Row],[Comments]])=0,"",stdProdLT(Main[[#This Row],[Comments]])))</f>
        <v/>
      </c>
      <c r="H1102" s="68" t="str">
        <f>IF(AND(Main[[#This Row],[In Stock Date]]&lt;&gt;"",Main[[#This Row],[Revised Due Date]]&lt;&gt;""),Main[[#This Row],[In Stock Date]]-Main[[#This Row],[Revised Due Date]],"")</f>
        <v/>
      </c>
      <c r="I1102" s="65" t="s">
        <v>562</v>
      </c>
      <c r="J1102" s="65" t="s">
        <v>21</v>
      </c>
      <c r="K1102" s="65" t="s">
        <v>1926</v>
      </c>
      <c r="L1102" s="67"/>
      <c r="M1102" s="69" t="str">
        <f>IF(Main[[#This Row],[Tech Start Date]]&lt;1/1/1990,"",IF(Main[[#This Row],[Class]]="C",WORKDAY(Main[[#This Row],[Tech Start Date]],9),IF(Main[[#This Row],[Class]]="B", WORKDAY(Main[[#This Row],[Tech Start Date]],6),IF(Main[[#This Row],[Class]]="A",WORKDAY(Main[[#This Row],[Tech Start Date]],2),""))))</f>
        <v/>
      </c>
      <c r="N1102" s="69" t="str">
        <f>IF(Main[[#This Row],[Tech Start Date]]&lt;1/1/1990,"",IF(Main[[#This Row],[Class]]="C",WORKDAY(Main[[#This Row],[Tech Start Date]],19),IF(Main[[#This Row],[Class]]="B", WORKDAY(Main[[#This Row],[Tech Start Date]],12),IF(Main[[#This Row],[Class]]="A",WORKDAY(Main[[#This Row],[Tech Start Date]],4),""))))</f>
        <v/>
      </c>
      <c r="O1102" s="69" t="str">
        <f>IF(Main[[#This Row],[Tech Start Date]]&lt;1/1/1990,"",IF(Main[[#This Row],[Class]]="C",WORKDAY(Main[[#This Row],[Tech Start Date]],23),IF(Main[[#This Row],[Class]]="B", WORKDAY(Main[[#This Row],[Tech Start Date]],15),IF(Main[[#This Row],[Class]]="A",WORKDAY(Main[[#This Row],[Tech Start Date]],5),""))))</f>
        <v/>
      </c>
      <c r="P1102" s="69" t="str">
        <f>IF(Main[[#This Row],[Tech Start Date]]&lt;1/1/1990,"",IF(Main[[#This Row],[Class]]="C",WORKDAY(Main[[#This Row],[Tech Start Date]],28),IF(Main[[#This Row],[Class]]="B", WORKDAY(Main[[#This Row],[Tech Start Date]],19),IF(Main[[#This Row],[Class]]="A",WORKDAY(Main[[#This Row],[Tech Start Date]],9),""))))</f>
        <v/>
      </c>
      <c r="Q1102" s="67">
        <v>40658</v>
      </c>
      <c r="R1102" s="67"/>
      <c r="S1102" s="65" t="s">
        <v>6</v>
      </c>
      <c r="T1102" s="70" t="s">
        <v>4</v>
      </c>
      <c r="U1102" s="65" t="s">
        <v>29</v>
      </c>
      <c r="V1102" s="65" t="s">
        <v>1917</v>
      </c>
      <c r="W1102" s="65" t="s">
        <v>1919</v>
      </c>
      <c r="X1102" s="65" t="s">
        <v>2824</v>
      </c>
      <c r="Y1102" s="65" t="s">
        <v>2935</v>
      </c>
      <c r="Z1102" s="65" t="s">
        <v>530</v>
      </c>
      <c r="AA1102" s="65" t="s">
        <v>2824</v>
      </c>
    </row>
    <row r="1103" spans="1:27" ht="17.45" customHeight="1">
      <c r="A1103" s="131" t="str">
        <f>IF(priority(Main[[#This Row],[Comments]])&lt;&gt;0, priority(Main[[#This Row],[Comments]]),"")</f>
        <v/>
      </c>
      <c r="B1103" s="99" t="s">
        <v>2441</v>
      </c>
      <c r="C1103" s="65" t="s">
        <v>4</v>
      </c>
      <c r="D1103" s="66" t="s">
        <v>2442</v>
      </c>
      <c r="E1103" s="67"/>
      <c r="F1103" s="67"/>
      <c r="G1103" s="64" t="str">
        <f>IF(stdProdLT(Main[[#This Row],[Comments]])=0.1,"N/A",IF(stdProdLT(Main[[#This Row],[Comments]])=0,"",stdProdLT(Main[[#This Row],[Comments]])))</f>
        <v/>
      </c>
      <c r="H1103" s="68" t="str">
        <f>IF(AND(Main[[#This Row],[In Stock Date]]&lt;&gt;"",Main[[#This Row],[Revised Due Date]]&lt;&gt;""),Main[[#This Row],[In Stock Date]]-Main[[#This Row],[Revised Due Date]],"")</f>
        <v/>
      </c>
      <c r="I1103" s="65" t="s">
        <v>4</v>
      </c>
      <c r="J1103" s="65" t="s">
        <v>4</v>
      </c>
      <c r="K1103" s="71" t="s">
        <v>4</v>
      </c>
      <c r="L1103" s="67"/>
      <c r="M1103" s="69" t="str">
        <f>IF(Main[[#This Row],[Tech Start Date]]&lt;1/1/1990,"",IF(Main[[#This Row],[Class]]="C",WORKDAY(Main[[#This Row],[Tech Start Date]],9),IF(Main[[#This Row],[Class]]="B", WORKDAY(Main[[#This Row],[Tech Start Date]],6),IF(Main[[#This Row],[Class]]="A",WORKDAY(Main[[#This Row],[Tech Start Date]],2),""))))</f>
        <v/>
      </c>
      <c r="N1103" s="69" t="str">
        <f>IF(Main[[#This Row],[Tech Start Date]]&lt;1/1/1990,"",IF(Main[[#This Row],[Class]]="C",WORKDAY(Main[[#This Row],[Tech Start Date]],19),IF(Main[[#This Row],[Class]]="B", WORKDAY(Main[[#This Row],[Tech Start Date]],12),IF(Main[[#This Row],[Class]]="A",WORKDAY(Main[[#This Row],[Tech Start Date]],4),""))))</f>
        <v/>
      </c>
      <c r="O1103" s="69" t="str">
        <f>IF(Main[[#This Row],[Tech Start Date]]&lt;1/1/1990,"",IF(Main[[#This Row],[Class]]="C",WORKDAY(Main[[#This Row],[Tech Start Date]],23),IF(Main[[#This Row],[Class]]="B", WORKDAY(Main[[#This Row],[Tech Start Date]],15),IF(Main[[#This Row],[Class]]="A",WORKDAY(Main[[#This Row],[Tech Start Date]],5),""))))</f>
        <v/>
      </c>
      <c r="P1103" s="69" t="str">
        <f>IF(Main[[#This Row],[Tech Start Date]]&lt;1/1/1990,"",IF(Main[[#This Row],[Class]]="C",WORKDAY(Main[[#This Row],[Tech Start Date]],28),IF(Main[[#This Row],[Class]]="B", WORKDAY(Main[[#This Row],[Tech Start Date]],19),IF(Main[[#This Row],[Class]]="A",WORKDAY(Main[[#This Row],[Tech Start Date]],9),""))))</f>
        <v/>
      </c>
      <c r="Q1103" s="67">
        <v>40877</v>
      </c>
      <c r="R1103" s="67"/>
      <c r="S1103" s="65" t="s">
        <v>6</v>
      </c>
      <c r="T1103" s="70" t="s">
        <v>4</v>
      </c>
      <c r="U1103" s="65" t="s">
        <v>14</v>
      </c>
      <c r="V1103" s="65" t="s">
        <v>1917</v>
      </c>
      <c r="W1103" s="65" t="s">
        <v>1921</v>
      </c>
      <c r="X1103" s="65" t="s">
        <v>2827</v>
      </c>
      <c r="Y1103" s="65" t="s">
        <v>2942</v>
      </c>
      <c r="Z1103" s="65" t="s">
        <v>4</v>
      </c>
      <c r="AA1103" s="65" t="s">
        <v>2827</v>
      </c>
    </row>
    <row r="1104" spans="1:27" ht="17.45" customHeight="1">
      <c r="A1104" s="131" t="str">
        <f>IF(priority(Main[[#This Row],[Comments]])&lt;&gt;0, priority(Main[[#This Row],[Comments]]),"")</f>
        <v/>
      </c>
      <c r="B1104" s="99" t="s">
        <v>2443</v>
      </c>
      <c r="C1104" s="65" t="s">
        <v>2359</v>
      </c>
      <c r="D1104" s="66" t="s">
        <v>2360</v>
      </c>
      <c r="E1104" s="67"/>
      <c r="F1104" s="67">
        <v>41008</v>
      </c>
      <c r="G1104" s="64" t="str">
        <f>IF(stdProdLT(Main[[#This Row],[Comments]])=0.1,"N/A",IF(stdProdLT(Main[[#This Row],[Comments]])=0,"",stdProdLT(Main[[#This Row],[Comments]])))</f>
        <v/>
      </c>
      <c r="H1104" s="68" t="str">
        <f>IF(AND(Main[[#This Row],[In Stock Date]]&lt;&gt;"",Main[[#This Row],[Revised Due Date]]&lt;&gt;""),Main[[#This Row],[In Stock Date]]-Main[[#This Row],[Revised Due Date]],"")</f>
        <v/>
      </c>
      <c r="I1104" s="65" t="s">
        <v>4</v>
      </c>
      <c r="J1104" s="65" t="s">
        <v>4</v>
      </c>
      <c r="K1104" s="65" t="s">
        <v>4</v>
      </c>
      <c r="L1104" s="67"/>
      <c r="M1104" s="69" t="str">
        <f>IF(Main[[#This Row],[Tech Start Date]]&lt;1/1/1990,"",IF(Main[[#This Row],[Class]]="C",WORKDAY(Main[[#This Row],[Tech Start Date]],9),IF(Main[[#This Row],[Class]]="B", WORKDAY(Main[[#This Row],[Tech Start Date]],6),IF(Main[[#This Row],[Class]]="A",WORKDAY(Main[[#This Row],[Tech Start Date]],2),""))))</f>
        <v/>
      </c>
      <c r="N1104" s="69" t="str">
        <f>IF(Main[[#This Row],[Tech Start Date]]&lt;1/1/1990,"",IF(Main[[#This Row],[Class]]="C",WORKDAY(Main[[#This Row],[Tech Start Date]],19),IF(Main[[#This Row],[Class]]="B", WORKDAY(Main[[#This Row],[Tech Start Date]],12),IF(Main[[#This Row],[Class]]="A",WORKDAY(Main[[#This Row],[Tech Start Date]],4),""))))</f>
        <v/>
      </c>
      <c r="O1104" s="69" t="str">
        <f>IF(Main[[#This Row],[Tech Start Date]]&lt;1/1/1990,"",IF(Main[[#This Row],[Class]]="C",WORKDAY(Main[[#This Row],[Tech Start Date]],23),IF(Main[[#This Row],[Class]]="B", WORKDAY(Main[[#This Row],[Tech Start Date]],15),IF(Main[[#This Row],[Class]]="A",WORKDAY(Main[[#This Row],[Tech Start Date]],5),""))))</f>
        <v/>
      </c>
      <c r="P1104" s="69" t="str">
        <f>IF(Main[[#This Row],[Tech Start Date]]&lt;1/1/1990,"",IF(Main[[#This Row],[Class]]="C",WORKDAY(Main[[#This Row],[Tech Start Date]],28),IF(Main[[#This Row],[Class]]="B", WORKDAY(Main[[#This Row],[Tech Start Date]],19),IF(Main[[#This Row],[Class]]="A",WORKDAY(Main[[#This Row],[Tech Start Date]],9),""))))</f>
        <v/>
      </c>
      <c r="Q1104" s="67">
        <v>40826</v>
      </c>
      <c r="R1104" s="67"/>
      <c r="S1104" s="65" t="s">
        <v>11</v>
      </c>
      <c r="T1104" s="70" t="s">
        <v>4</v>
      </c>
      <c r="U1104" s="65" t="s">
        <v>12</v>
      </c>
      <c r="V1104" s="65" t="s">
        <v>1920</v>
      </c>
      <c r="W1104" s="65" t="s">
        <v>1923</v>
      </c>
      <c r="X1104" s="65" t="s">
        <v>2849</v>
      </c>
      <c r="Y1104" s="65" t="s">
        <v>4</v>
      </c>
      <c r="Z1104" s="65" t="s">
        <v>4</v>
      </c>
      <c r="AA1104" s="65" t="s">
        <v>2849</v>
      </c>
    </row>
    <row r="1105" spans="1:27" ht="17.45" customHeight="1">
      <c r="A1105" s="131" t="str">
        <f>IF(priority(Main[[#This Row],[Comments]])&lt;&gt;0, priority(Main[[#This Row],[Comments]]),"")</f>
        <v/>
      </c>
      <c r="B1105" s="99" t="s">
        <v>3540</v>
      </c>
      <c r="C1105" s="65" t="s">
        <v>4</v>
      </c>
      <c r="D1105" s="66" t="s">
        <v>3541</v>
      </c>
      <c r="E1105" s="67">
        <v>40948.6487037037</v>
      </c>
      <c r="F1105" s="67"/>
      <c r="G1105" s="64" t="str">
        <f>IF(stdProdLT(Main[[#This Row],[Comments]])=0.1,"N/A",IF(stdProdLT(Main[[#This Row],[Comments]])=0,"",stdProdLT(Main[[#This Row],[Comments]])))</f>
        <v/>
      </c>
      <c r="H1105" s="68" t="str">
        <f>IF(AND(Main[[#This Row],[In Stock Date]]&lt;&gt;"",Main[[#This Row],[Revised Due Date]]&lt;&gt;""),Main[[#This Row],[In Stock Date]]-Main[[#This Row],[Revised Due Date]],"")</f>
        <v/>
      </c>
      <c r="I1105" s="65" t="s">
        <v>530</v>
      </c>
      <c r="J1105" s="65" t="s">
        <v>28</v>
      </c>
      <c r="K1105" s="65" t="s">
        <v>1926</v>
      </c>
      <c r="L1105" s="67"/>
      <c r="M1105" s="69" t="str">
        <f>IF(Main[[#This Row],[Tech Start Date]]&lt;1/1/1990,"",IF(Main[[#This Row],[Class]]="C",WORKDAY(Main[[#This Row],[Tech Start Date]],9),IF(Main[[#This Row],[Class]]="B", WORKDAY(Main[[#This Row],[Tech Start Date]],6),IF(Main[[#This Row],[Class]]="A",WORKDAY(Main[[#This Row],[Tech Start Date]],2),""))))</f>
        <v/>
      </c>
      <c r="N1105" s="69" t="str">
        <f>IF(Main[[#This Row],[Tech Start Date]]&lt;1/1/1990,"",IF(Main[[#This Row],[Class]]="C",WORKDAY(Main[[#This Row],[Tech Start Date]],19),IF(Main[[#This Row],[Class]]="B", WORKDAY(Main[[#This Row],[Tech Start Date]],12),IF(Main[[#This Row],[Class]]="A",WORKDAY(Main[[#This Row],[Tech Start Date]],4),""))))</f>
        <v/>
      </c>
      <c r="O1105" s="69" t="str">
        <f>IF(Main[[#This Row],[Tech Start Date]]&lt;1/1/1990,"",IF(Main[[#This Row],[Class]]="C",WORKDAY(Main[[#This Row],[Tech Start Date]],23),IF(Main[[#This Row],[Class]]="B", WORKDAY(Main[[#This Row],[Tech Start Date]],15),IF(Main[[#This Row],[Class]]="A",WORKDAY(Main[[#This Row],[Tech Start Date]],5),""))))</f>
        <v/>
      </c>
      <c r="P1105" s="69" t="str">
        <f>IF(Main[[#This Row],[Tech Start Date]]&lt;1/1/1990,"",IF(Main[[#This Row],[Class]]="C",WORKDAY(Main[[#This Row],[Tech Start Date]],28),IF(Main[[#This Row],[Class]]="B", WORKDAY(Main[[#This Row],[Tech Start Date]],19),IF(Main[[#This Row],[Class]]="A",WORKDAY(Main[[#This Row],[Tech Start Date]],9),""))))</f>
        <v/>
      </c>
      <c r="Q1105" s="67">
        <v>40949</v>
      </c>
      <c r="R1105" s="67"/>
      <c r="S1105" s="65" t="s">
        <v>6</v>
      </c>
      <c r="T1105" s="70" t="s">
        <v>4</v>
      </c>
      <c r="U1105" s="65" t="s">
        <v>29</v>
      </c>
      <c r="V1105" s="65" t="s">
        <v>1920</v>
      </c>
      <c r="W1105" s="65" t="s">
        <v>1919</v>
      </c>
      <c r="X1105" s="65" t="s">
        <v>2901</v>
      </c>
      <c r="Y1105" s="65" t="s">
        <v>3066</v>
      </c>
      <c r="Z1105" s="65" t="s">
        <v>30</v>
      </c>
      <c r="AA1105" s="65" t="s">
        <v>2901</v>
      </c>
    </row>
    <row r="1106" spans="1:27" ht="17.45" customHeight="1">
      <c r="A1106" s="131" t="str">
        <f>IF(priority(Main[[#This Row],[Comments]])&lt;&gt;0, priority(Main[[#This Row],[Comments]]),"")</f>
        <v/>
      </c>
      <c r="B1106" s="99" t="s">
        <v>2069</v>
      </c>
      <c r="C1106" s="65" t="s">
        <v>4</v>
      </c>
      <c r="D1106" s="66" t="s">
        <v>2453</v>
      </c>
      <c r="E1106" s="67">
        <v>40772.422800925924</v>
      </c>
      <c r="F1106" s="67"/>
      <c r="G1106" s="64" t="str">
        <f>IF(stdProdLT(Main[[#This Row],[Comments]])=0.1,"N/A",IF(stdProdLT(Main[[#This Row],[Comments]])=0,"",stdProdLT(Main[[#This Row],[Comments]])))</f>
        <v/>
      </c>
      <c r="H1106" s="68" t="str">
        <f>IF(AND(Main[[#This Row],[In Stock Date]]&lt;&gt;"",Main[[#This Row],[Revised Due Date]]&lt;&gt;""),Main[[#This Row],[In Stock Date]]-Main[[#This Row],[Revised Due Date]],"")</f>
        <v/>
      </c>
      <c r="I1106" s="65" t="s">
        <v>914</v>
      </c>
      <c r="J1106" s="65" t="s">
        <v>52</v>
      </c>
      <c r="K1106" s="71" t="s">
        <v>4</v>
      </c>
      <c r="L1106" s="67"/>
      <c r="M1106" s="69" t="str">
        <f>IF(Main[[#This Row],[Tech Start Date]]&lt;1/1/1990,"",IF(Main[[#This Row],[Class]]="C",WORKDAY(Main[[#This Row],[Tech Start Date]],9),IF(Main[[#This Row],[Class]]="B", WORKDAY(Main[[#This Row],[Tech Start Date]],6),IF(Main[[#This Row],[Class]]="A",WORKDAY(Main[[#This Row],[Tech Start Date]],2),""))))</f>
        <v/>
      </c>
      <c r="N1106" s="69" t="str">
        <f>IF(Main[[#This Row],[Tech Start Date]]&lt;1/1/1990,"",IF(Main[[#This Row],[Class]]="C",WORKDAY(Main[[#This Row],[Tech Start Date]],19),IF(Main[[#This Row],[Class]]="B", WORKDAY(Main[[#This Row],[Tech Start Date]],12),IF(Main[[#This Row],[Class]]="A",WORKDAY(Main[[#This Row],[Tech Start Date]],4),""))))</f>
        <v/>
      </c>
      <c r="O1106" s="69" t="str">
        <f>IF(Main[[#This Row],[Tech Start Date]]&lt;1/1/1990,"",IF(Main[[#This Row],[Class]]="C",WORKDAY(Main[[#This Row],[Tech Start Date]],23),IF(Main[[#This Row],[Class]]="B", WORKDAY(Main[[#This Row],[Tech Start Date]],15),IF(Main[[#This Row],[Class]]="A",WORKDAY(Main[[#This Row],[Tech Start Date]],5),""))))</f>
        <v/>
      </c>
      <c r="P1106" s="69" t="str">
        <f>IF(Main[[#This Row],[Tech Start Date]]&lt;1/1/1990,"",IF(Main[[#This Row],[Class]]="C",WORKDAY(Main[[#This Row],[Tech Start Date]],28),IF(Main[[#This Row],[Class]]="B", WORKDAY(Main[[#This Row],[Tech Start Date]],19),IF(Main[[#This Row],[Class]]="A",WORKDAY(Main[[#This Row],[Tech Start Date]],9),""))))</f>
        <v/>
      </c>
      <c r="Q1106" s="67"/>
      <c r="R1106" s="67"/>
      <c r="S1106" s="65" t="s">
        <v>6</v>
      </c>
      <c r="T1106" s="70" t="s">
        <v>4</v>
      </c>
      <c r="U1106" s="65" t="s">
        <v>29</v>
      </c>
      <c r="V1106" s="65" t="s">
        <v>1917</v>
      </c>
      <c r="W1106" s="65" t="s">
        <v>1921</v>
      </c>
      <c r="X1106" s="65" t="s">
        <v>939</v>
      </c>
      <c r="Y1106" s="65" t="s">
        <v>2990</v>
      </c>
      <c r="Z1106" s="65" t="s">
        <v>129</v>
      </c>
      <c r="AA1106" s="65" t="s">
        <v>939</v>
      </c>
    </row>
    <row r="1107" spans="1:27" ht="17.45" customHeight="1">
      <c r="A1107" s="131" t="str">
        <f>IF(priority(Main[[#This Row],[Comments]])&lt;&gt;0, priority(Main[[#This Row],[Comments]]),"")</f>
        <v/>
      </c>
      <c r="B1107" s="99" t="s">
        <v>2454</v>
      </c>
      <c r="C1107" s="65" t="s">
        <v>4</v>
      </c>
      <c r="D1107" s="66" t="s">
        <v>2455</v>
      </c>
      <c r="E1107" s="67">
        <v>40834.417719907404</v>
      </c>
      <c r="F1107" s="67"/>
      <c r="G1107" s="64" t="str">
        <f>IF(stdProdLT(Main[[#This Row],[Comments]])=0.1,"N/A",IF(stdProdLT(Main[[#This Row],[Comments]])=0,"",stdProdLT(Main[[#This Row],[Comments]])))</f>
        <v/>
      </c>
      <c r="H1107" s="68" t="str">
        <f>IF(AND(Main[[#This Row],[In Stock Date]]&lt;&gt;"",Main[[#This Row],[Revised Due Date]]&lt;&gt;""),Main[[#This Row],[In Stock Date]]-Main[[#This Row],[Revised Due Date]],"")</f>
        <v/>
      </c>
      <c r="I1107" s="65" t="s">
        <v>4</v>
      </c>
      <c r="J1107" s="65" t="s">
        <v>4</v>
      </c>
      <c r="K1107" s="71" t="s">
        <v>4</v>
      </c>
      <c r="L1107" s="67"/>
      <c r="M1107" s="69" t="str">
        <f>IF(Main[[#This Row],[Tech Start Date]]&lt;1/1/1990,"",IF(Main[[#This Row],[Class]]="C",WORKDAY(Main[[#This Row],[Tech Start Date]],9),IF(Main[[#This Row],[Class]]="B", WORKDAY(Main[[#This Row],[Tech Start Date]],6),IF(Main[[#This Row],[Class]]="A",WORKDAY(Main[[#This Row],[Tech Start Date]],2),""))))</f>
        <v/>
      </c>
      <c r="N1107" s="69" t="str">
        <f>IF(Main[[#This Row],[Tech Start Date]]&lt;1/1/1990,"",IF(Main[[#This Row],[Class]]="C",WORKDAY(Main[[#This Row],[Tech Start Date]],19),IF(Main[[#This Row],[Class]]="B", WORKDAY(Main[[#This Row],[Tech Start Date]],12),IF(Main[[#This Row],[Class]]="A",WORKDAY(Main[[#This Row],[Tech Start Date]],4),""))))</f>
        <v/>
      </c>
      <c r="O1107" s="69" t="str">
        <f>IF(Main[[#This Row],[Tech Start Date]]&lt;1/1/1990,"",IF(Main[[#This Row],[Class]]="C",WORKDAY(Main[[#This Row],[Tech Start Date]],23),IF(Main[[#This Row],[Class]]="B", WORKDAY(Main[[#This Row],[Tech Start Date]],15),IF(Main[[#This Row],[Class]]="A",WORKDAY(Main[[#This Row],[Tech Start Date]],5),""))))</f>
        <v/>
      </c>
      <c r="P1107" s="69" t="str">
        <f>IF(Main[[#This Row],[Tech Start Date]]&lt;1/1/1990,"",IF(Main[[#This Row],[Class]]="C",WORKDAY(Main[[#This Row],[Tech Start Date]],28),IF(Main[[#This Row],[Class]]="B", WORKDAY(Main[[#This Row],[Tech Start Date]],19),IF(Main[[#This Row],[Class]]="A",WORKDAY(Main[[#This Row],[Tech Start Date]],9),""))))</f>
        <v/>
      </c>
      <c r="Q1107" s="67"/>
      <c r="R1107" s="67"/>
      <c r="S1107" s="65" t="s">
        <v>6</v>
      </c>
      <c r="T1107" s="70" t="s">
        <v>4</v>
      </c>
      <c r="U1107" s="65" t="s">
        <v>29</v>
      </c>
      <c r="V1107" s="65" t="s">
        <v>1920</v>
      </c>
      <c r="W1107" s="65" t="s">
        <v>1921</v>
      </c>
      <c r="X1107" s="65" t="s">
        <v>306</v>
      </c>
      <c r="Y1107" s="65" t="s">
        <v>4</v>
      </c>
      <c r="Z1107" s="65" t="s">
        <v>4</v>
      </c>
      <c r="AA1107" s="65" t="s">
        <v>4</v>
      </c>
    </row>
    <row r="1108" spans="1:27" ht="17.45" customHeight="1">
      <c r="A1108" s="131" t="str">
        <f>IF(priority(Main[[#This Row],[Comments]])&lt;&gt;0, priority(Main[[#This Row],[Comments]]),"")</f>
        <v/>
      </c>
      <c r="B1108" s="99" t="s">
        <v>2247</v>
      </c>
      <c r="C1108" s="65" t="s">
        <v>4</v>
      </c>
      <c r="D1108" s="66" t="s">
        <v>2456</v>
      </c>
      <c r="E1108" s="67">
        <v>40798.432673611111</v>
      </c>
      <c r="F1108" s="67"/>
      <c r="G1108" s="64" t="str">
        <f>IF(stdProdLT(Main[[#This Row],[Comments]])=0.1,"N/A",IF(stdProdLT(Main[[#This Row],[Comments]])=0,"",stdProdLT(Main[[#This Row],[Comments]])))</f>
        <v/>
      </c>
      <c r="H1108" s="68" t="str">
        <f>IF(AND(Main[[#This Row],[In Stock Date]]&lt;&gt;"",Main[[#This Row],[Revised Due Date]]&lt;&gt;""),Main[[#This Row],[In Stock Date]]-Main[[#This Row],[Revised Due Date]],"")</f>
        <v/>
      </c>
      <c r="I1108" s="65" t="s">
        <v>914</v>
      </c>
      <c r="J1108" s="65" t="s">
        <v>52</v>
      </c>
      <c r="K1108" s="65" t="s">
        <v>4</v>
      </c>
      <c r="L1108" s="67"/>
      <c r="M1108" s="69" t="str">
        <f>IF(Main[[#This Row],[Tech Start Date]]&lt;1/1/1990,"",IF(Main[[#This Row],[Class]]="C",WORKDAY(Main[[#This Row],[Tech Start Date]],9),IF(Main[[#This Row],[Class]]="B", WORKDAY(Main[[#This Row],[Tech Start Date]],6),IF(Main[[#This Row],[Class]]="A",WORKDAY(Main[[#This Row],[Tech Start Date]],2),""))))</f>
        <v/>
      </c>
      <c r="N1108" s="69" t="str">
        <f>IF(Main[[#This Row],[Tech Start Date]]&lt;1/1/1990,"",IF(Main[[#This Row],[Class]]="C",WORKDAY(Main[[#This Row],[Tech Start Date]],19),IF(Main[[#This Row],[Class]]="B", WORKDAY(Main[[#This Row],[Tech Start Date]],12),IF(Main[[#This Row],[Class]]="A",WORKDAY(Main[[#This Row],[Tech Start Date]],4),""))))</f>
        <v/>
      </c>
      <c r="O1108" s="69" t="str">
        <f>IF(Main[[#This Row],[Tech Start Date]]&lt;1/1/1990,"",IF(Main[[#This Row],[Class]]="C",WORKDAY(Main[[#This Row],[Tech Start Date]],23),IF(Main[[#This Row],[Class]]="B", WORKDAY(Main[[#This Row],[Tech Start Date]],15),IF(Main[[#This Row],[Class]]="A",WORKDAY(Main[[#This Row],[Tech Start Date]],5),""))))</f>
        <v/>
      </c>
      <c r="P1108" s="69" t="str">
        <f>IF(Main[[#This Row],[Tech Start Date]]&lt;1/1/1990,"",IF(Main[[#This Row],[Class]]="C",WORKDAY(Main[[#This Row],[Tech Start Date]],28),IF(Main[[#This Row],[Class]]="B", WORKDAY(Main[[#This Row],[Tech Start Date]],19),IF(Main[[#This Row],[Class]]="A",WORKDAY(Main[[#This Row],[Tech Start Date]],9),""))))</f>
        <v/>
      </c>
      <c r="Q1108" s="67"/>
      <c r="R1108" s="67"/>
      <c r="S1108" s="65" t="s">
        <v>6</v>
      </c>
      <c r="T1108" s="70" t="s">
        <v>4</v>
      </c>
      <c r="U1108" s="65" t="s">
        <v>29</v>
      </c>
      <c r="V1108" s="65" t="s">
        <v>1917</v>
      </c>
      <c r="W1108" s="65" t="s">
        <v>1921</v>
      </c>
      <c r="X1108" s="65" t="s">
        <v>562</v>
      </c>
      <c r="Y1108" s="65" t="s">
        <v>4</v>
      </c>
      <c r="Z1108" s="65" t="s">
        <v>129</v>
      </c>
      <c r="AA1108" s="65" t="s">
        <v>4</v>
      </c>
    </row>
    <row r="1109" spans="1:27" ht="17.45" customHeight="1">
      <c r="A1109" s="131" t="str">
        <f>IF(priority(Main[[#This Row],[Comments]])&lt;&gt;0, priority(Main[[#This Row],[Comments]]),"")</f>
        <v/>
      </c>
      <c r="B1109" s="99" t="s">
        <v>2457</v>
      </c>
      <c r="C1109" s="65" t="s">
        <v>4</v>
      </c>
      <c r="D1109" s="66" t="s">
        <v>2458</v>
      </c>
      <c r="E1109" s="67">
        <v>40841.609861111108</v>
      </c>
      <c r="F1109" s="67"/>
      <c r="G1109" s="64" t="str">
        <f>IF(stdProdLT(Main[[#This Row],[Comments]])=0.1,"N/A",IF(stdProdLT(Main[[#This Row],[Comments]])=0,"",stdProdLT(Main[[#This Row],[Comments]])))</f>
        <v/>
      </c>
      <c r="H1109" s="68" t="str">
        <f>IF(AND(Main[[#This Row],[In Stock Date]]&lt;&gt;"",Main[[#This Row],[Revised Due Date]]&lt;&gt;""),Main[[#This Row],[In Stock Date]]-Main[[#This Row],[Revised Due Date]],"")</f>
        <v/>
      </c>
      <c r="I1109" s="65" t="s">
        <v>4</v>
      </c>
      <c r="J1109" s="65" t="s">
        <v>4</v>
      </c>
      <c r="K1109" s="65" t="s">
        <v>4</v>
      </c>
      <c r="L1109" s="67"/>
      <c r="M1109" s="69" t="str">
        <f>IF(Main[[#This Row],[Tech Start Date]]&lt;1/1/1990,"",IF(Main[[#This Row],[Class]]="C",WORKDAY(Main[[#This Row],[Tech Start Date]],9),IF(Main[[#This Row],[Class]]="B", WORKDAY(Main[[#This Row],[Tech Start Date]],6),IF(Main[[#This Row],[Class]]="A",WORKDAY(Main[[#This Row],[Tech Start Date]],2),""))))</f>
        <v/>
      </c>
      <c r="N1109" s="69" t="str">
        <f>IF(Main[[#This Row],[Tech Start Date]]&lt;1/1/1990,"",IF(Main[[#This Row],[Class]]="C",WORKDAY(Main[[#This Row],[Tech Start Date]],19),IF(Main[[#This Row],[Class]]="B", WORKDAY(Main[[#This Row],[Tech Start Date]],12),IF(Main[[#This Row],[Class]]="A",WORKDAY(Main[[#This Row],[Tech Start Date]],4),""))))</f>
        <v/>
      </c>
      <c r="O1109" s="69" t="str">
        <f>IF(Main[[#This Row],[Tech Start Date]]&lt;1/1/1990,"",IF(Main[[#This Row],[Class]]="C",WORKDAY(Main[[#This Row],[Tech Start Date]],23),IF(Main[[#This Row],[Class]]="B", WORKDAY(Main[[#This Row],[Tech Start Date]],15),IF(Main[[#This Row],[Class]]="A",WORKDAY(Main[[#This Row],[Tech Start Date]],5),""))))</f>
        <v/>
      </c>
      <c r="P1109" s="69" t="str">
        <f>IF(Main[[#This Row],[Tech Start Date]]&lt;1/1/1990,"",IF(Main[[#This Row],[Class]]="C",WORKDAY(Main[[#This Row],[Tech Start Date]],28),IF(Main[[#This Row],[Class]]="B", WORKDAY(Main[[#This Row],[Tech Start Date]],19),IF(Main[[#This Row],[Class]]="A",WORKDAY(Main[[#This Row],[Tech Start Date]],9),""))))</f>
        <v/>
      </c>
      <c r="Q1109" s="67"/>
      <c r="R1109" s="67"/>
      <c r="S1109" s="65" t="s">
        <v>6</v>
      </c>
      <c r="T1109" s="70" t="s">
        <v>4</v>
      </c>
      <c r="U1109" s="65" t="s">
        <v>7</v>
      </c>
      <c r="V1109" s="65" t="s">
        <v>1917</v>
      </c>
      <c r="W1109" s="65" t="s">
        <v>4</v>
      </c>
      <c r="X1109" s="65" t="s">
        <v>914</v>
      </c>
      <c r="Y1109" s="65" t="s">
        <v>3063</v>
      </c>
      <c r="Z1109" s="65" t="s">
        <v>4</v>
      </c>
      <c r="AA1109" s="65" t="s">
        <v>914</v>
      </c>
    </row>
    <row r="1110" spans="1:27" ht="17.45" customHeight="1">
      <c r="A1110" s="131" t="str">
        <f>IF(priority(Main[[#This Row],[Comments]])&lt;&gt;0, priority(Main[[#This Row],[Comments]]),"")</f>
        <v/>
      </c>
      <c r="B1110" s="99" t="s">
        <v>1639</v>
      </c>
      <c r="C1110" s="65" t="s">
        <v>4</v>
      </c>
      <c r="D1110" s="66" t="s">
        <v>709</v>
      </c>
      <c r="E1110" s="67">
        <v>40634.328217592592</v>
      </c>
      <c r="F1110" s="67"/>
      <c r="G1110" s="64" t="str">
        <f>IF(stdProdLT(Main[[#This Row],[Comments]])=0.1,"N/A",IF(stdProdLT(Main[[#This Row],[Comments]])=0,"",stdProdLT(Main[[#This Row],[Comments]])))</f>
        <v/>
      </c>
      <c r="H1110" s="68" t="str">
        <f>IF(AND(Main[[#This Row],[In Stock Date]]&lt;&gt;"",Main[[#This Row],[Revised Due Date]]&lt;&gt;""),Main[[#This Row],[In Stock Date]]-Main[[#This Row],[Revised Due Date]],"")</f>
        <v/>
      </c>
      <c r="I1110" s="65" t="s">
        <v>914</v>
      </c>
      <c r="J1110" s="65" t="s">
        <v>4</v>
      </c>
      <c r="K1110" s="65" t="s">
        <v>4</v>
      </c>
      <c r="L1110" s="67"/>
      <c r="M1110" s="69" t="str">
        <f>IF(Main[[#This Row],[Tech Start Date]]&lt;1/1/1990,"",IF(Main[[#This Row],[Class]]="C",WORKDAY(Main[[#This Row],[Tech Start Date]],9),IF(Main[[#This Row],[Class]]="B", WORKDAY(Main[[#This Row],[Tech Start Date]],6),IF(Main[[#This Row],[Class]]="A",WORKDAY(Main[[#This Row],[Tech Start Date]],2),""))))</f>
        <v/>
      </c>
      <c r="N1110" s="69" t="str">
        <f>IF(Main[[#This Row],[Tech Start Date]]&lt;1/1/1990,"",IF(Main[[#This Row],[Class]]="C",WORKDAY(Main[[#This Row],[Tech Start Date]],19),IF(Main[[#This Row],[Class]]="B", WORKDAY(Main[[#This Row],[Tech Start Date]],12),IF(Main[[#This Row],[Class]]="A",WORKDAY(Main[[#This Row],[Tech Start Date]],4),""))))</f>
        <v/>
      </c>
      <c r="O1110" s="69" t="str">
        <f>IF(Main[[#This Row],[Tech Start Date]]&lt;1/1/1990,"",IF(Main[[#This Row],[Class]]="C",WORKDAY(Main[[#This Row],[Tech Start Date]],23),IF(Main[[#This Row],[Class]]="B", WORKDAY(Main[[#This Row],[Tech Start Date]],15),IF(Main[[#This Row],[Class]]="A",WORKDAY(Main[[#This Row],[Tech Start Date]],5),""))))</f>
        <v/>
      </c>
      <c r="P1110" s="69" t="str">
        <f>IF(Main[[#This Row],[Tech Start Date]]&lt;1/1/1990,"",IF(Main[[#This Row],[Class]]="C",WORKDAY(Main[[#This Row],[Tech Start Date]],28),IF(Main[[#This Row],[Class]]="B", WORKDAY(Main[[#This Row],[Tech Start Date]],19),IF(Main[[#This Row],[Class]]="A",WORKDAY(Main[[#This Row],[Tech Start Date]],9),""))))</f>
        <v/>
      </c>
      <c r="Q1110" s="67"/>
      <c r="R1110" s="67"/>
      <c r="S1110" s="65" t="s">
        <v>6</v>
      </c>
      <c r="T1110" s="70" t="s">
        <v>4</v>
      </c>
      <c r="U1110" s="65" t="s">
        <v>7</v>
      </c>
      <c r="V1110" s="65" t="s">
        <v>1917</v>
      </c>
      <c r="W1110" s="65" t="s">
        <v>1921</v>
      </c>
      <c r="X1110" s="65" t="s">
        <v>399</v>
      </c>
      <c r="Y1110" s="65" t="s">
        <v>4</v>
      </c>
      <c r="Z1110" s="65" t="s">
        <v>4</v>
      </c>
      <c r="AA1110" s="65" t="s">
        <v>3467</v>
      </c>
    </row>
    <row r="1111" spans="1:27" ht="17.45" customHeight="1">
      <c r="A1111" s="131" t="str">
        <f>IF(priority(Main[[#This Row],[Comments]])&lt;&gt;0, priority(Main[[#This Row],[Comments]]),"")</f>
        <v/>
      </c>
      <c r="B1111" s="99" t="s">
        <v>1838</v>
      </c>
      <c r="C1111" s="65" t="s">
        <v>4</v>
      </c>
      <c r="D1111" s="66" t="s">
        <v>892</v>
      </c>
      <c r="E1111" s="67">
        <v>40351.730219907404</v>
      </c>
      <c r="F1111" s="67"/>
      <c r="G1111" s="64" t="str">
        <f>IF(stdProdLT(Main[[#This Row],[Comments]])=0.1,"N/A",IF(stdProdLT(Main[[#This Row],[Comments]])=0,"",stdProdLT(Main[[#This Row],[Comments]])))</f>
        <v/>
      </c>
      <c r="H1111" s="68" t="str">
        <f>IF(AND(Main[[#This Row],[In Stock Date]]&lt;&gt;"",Main[[#This Row],[Revised Due Date]]&lt;&gt;""),Main[[#This Row],[In Stock Date]]-Main[[#This Row],[Revised Due Date]],"")</f>
        <v/>
      </c>
      <c r="I1111" s="65" t="s">
        <v>2056</v>
      </c>
      <c r="J1111" s="65" t="s">
        <v>28</v>
      </c>
      <c r="K1111" s="65" t="s">
        <v>1929</v>
      </c>
      <c r="L1111" s="67"/>
      <c r="M1111" s="69" t="str">
        <f>IF(Main[[#This Row],[Tech Start Date]]&lt;1/1/1990,"",IF(Main[[#This Row],[Class]]="C",WORKDAY(Main[[#This Row],[Tech Start Date]],9),IF(Main[[#This Row],[Class]]="B", WORKDAY(Main[[#This Row],[Tech Start Date]],6),IF(Main[[#This Row],[Class]]="A",WORKDAY(Main[[#This Row],[Tech Start Date]],2),""))))</f>
        <v/>
      </c>
      <c r="N1111" s="69" t="str">
        <f>IF(Main[[#This Row],[Tech Start Date]]&lt;1/1/1990,"",IF(Main[[#This Row],[Class]]="C",WORKDAY(Main[[#This Row],[Tech Start Date]],19),IF(Main[[#This Row],[Class]]="B", WORKDAY(Main[[#This Row],[Tech Start Date]],12),IF(Main[[#This Row],[Class]]="A",WORKDAY(Main[[#This Row],[Tech Start Date]],4),""))))</f>
        <v/>
      </c>
      <c r="O1111" s="69" t="str">
        <f>IF(Main[[#This Row],[Tech Start Date]]&lt;1/1/1990,"",IF(Main[[#This Row],[Class]]="C",WORKDAY(Main[[#This Row],[Tech Start Date]],23),IF(Main[[#This Row],[Class]]="B", WORKDAY(Main[[#This Row],[Tech Start Date]],15),IF(Main[[#This Row],[Class]]="A",WORKDAY(Main[[#This Row],[Tech Start Date]],5),""))))</f>
        <v/>
      </c>
      <c r="P1111" s="69" t="str">
        <f>IF(Main[[#This Row],[Tech Start Date]]&lt;1/1/1990,"",IF(Main[[#This Row],[Class]]="C",WORKDAY(Main[[#This Row],[Tech Start Date]],28),IF(Main[[#This Row],[Class]]="B", WORKDAY(Main[[#This Row],[Tech Start Date]],19),IF(Main[[#This Row],[Class]]="A",WORKDAY(Main[[#This Row],[Tech Start Date]],9),""))))</f>
        <v/>
      </c>
      <c r="Q1111" s="67">
        <v>40906</v>
      </c>
      <c r="R1111" s="67">
        <v>40436</v>
      </c>
      <c r="S1111" s="65" t="s">
        <v>17</v>
      </c>
      <c r="T1111" s="70" t="s">
        <v>4</v>
      </c>
      <c r="U1111" s="65" t="s">
        <v>29</v>
      </c>
      <c r="V1111" s="65" t="s">
        <v>1918</v>
      </c>
      <c r="W1111" s="65" t="s">
        <v>1922</v>
      </c>
      <c r="X1111" s="65" t="s">
        <v>2868</v>
      </c>
      <c r="Y1111" s="65" t="s">
        <v>3012</v>
      </c>
      <c r="Z1111" s="65" t="s">
        <v>108</v>
      </c>
      <c r="AA1111" s="65" t="s">
        <v>2868</v>
      </c>
    </row>
    <row r="1112" spans="1:27" ht="17.45" customHeight="1">
      <c r="A1112" s="131" t="str">
        <f>IF(priority(Main[[#This Row],[Comments]])&lt;&gt;0, priority(Main[[#This Row],[Comments]]),"")</f>
        <v/>
      </c>
      <c r="B1112" s="99" t="s">
        <v>3661</v>
      </c>
      <c r="C1112" s="65" t="s">
        <v>4</v>
      </c>
      <c r="D1112" s="66" t="s">
        <v>3662</v>
      </c>
      <c r="E1112" s="67">
        <v>40960.440069444441</v>
      </c>
      <c r="F1112" s="67"/>
      <c r="G1112" s="64" t="str">
        <f>IF(stdProdLT(Main[[#This Row],[Comments]])=0.1,"N/A",IF(stdProdLT(Main[[#This Row],[Comments]])=0,"",stdProdLT(Main[[#This Row],[Comments]])))</f>
        <v/>
      </c>
      <c r="H1112" s="68" t="str">
        <f>IF(AND(Main[[#This Row],[In Stock Date]]&lt;&gt;"",Main[[#This Row],[Revised Due Date]]&lt;&gt;""),Main[[#This Row],[In Stock Date]]-Main[[#This Row],[Revised Due Date]],"")</f>
        <v/>
      </c>
      <c r="I1112" s="65" t="s">
        <v>102</v>
      </c>
      <c r="J1112" s="65" t="s">
        <v>75</v>
      </c>
      <c r="K1112" s="65" t="s">
        <v>1926</v>
      </c>
      <c r="L1112" s="67"/>
      <c r="M1112" s="69" t="str">
        <f>IF(Main[[#This Row],[Tech Start Date]]&lt;1/1/1990,"",IF(Main[[#This Row],[Class]]="C",WORKDAY(Main[[#This Row],[Tech Start Date]],9),IF(Main[[#This Row],[Class]]="B", WORKDAY(Main[[#This Row],[Tech Start Date]],6),IF(Main[[#This Row],[Class]]="A",WORKDAY(Main[[#This Row],[Tech Start Date]],2),""))))</f>
        <v/>
      </c>
      <c r="N1112" s="69" t="str">
        <f>IF(Main[[#This Row],[Tech Start Date]]&lt;1/1/1990,"",IF(Main[[#This Row],[Class]]="C",WORKDAY(Main[[#This Row],[Tech Start Date]],19),IF(Main[[#This Row],[Class]]="B", WORKDAY(Main[[#This Row],[Tech Start Date]],12),IF(Main[[#This Row],[Class]]="A",WORKDAY(Main[[#This Row],[Tech Start Date]],4),""))))</f>
        <v/>
      </c>
      <c r="O1112" s="69" t="str">
        <f>IF(Main[[#This Row],[Tech Start Date]]&lt;1/1/1990,"",IF(Main[[#This Row],[Class]]="C",WORKDAY(Main[[#This Row],[Tech Start Date]],23),IF(Main[[#This Row],[Class]]="B", WORKDAY(Main[[#This Row],[Tech Start Date]],15),IF(Main[[#This Row],[Class]]="A",WORKDAY(Main[[#This Row],[Tech Start Date]],5),""))))</f>
        <v/>
      </c>
      <c r="P1112" s="69" t="str">
        <f>IF(Main[[#This Row],[Tech Start Date]]&lt;1/1/1990,"",IF(Main[[#This Row],[Class]]="C",WORKDAY(Main[[#This Row],[Tech Start Date]],28),IF(Main[[#This Row],[Class]]="B", WORKDAY(Main[[#This Row],[Tech Start Date]],19),IF(Main[[#This Row],[Class]]="A",WORKDAY(Main[[#This Row],[Tech Start Date]],9),""))))</f>
        <v/>
      </c>
      <c r="Q1112" s="67"/>
      <c r="R1112" s="67"/>
      <c r="S1112" s="65" t="s">
        <v>6</v>
      </c>
      <c r="T1112" s="70" t="s">
        <v>4</v>
      </c>
      <c r="U1112" s="65" t="s">
        <v>29</v>
      </c>
      <c r="V1112" s="65" t="s">
        <v>1917</v>
      </c>
      <c r="W1112" s="65" t="s">
        <v>1919</v>
      </c>
      <c r="X1112" s="65" t="s">
        <v>2211</v>
      </c>
      <c r="Y1112" s="65" t="s">
        <v>3663</v>
      </c>
      <c r="Z1112" s="65" t="s">
        <v>306</v>
      </c>
      <c r="AA1112" s="65" t="s">
        <v>3469</v>
      </c>
    </row>
    <row r="1113" spans="1:27" ht="17.45" customHeight="1">
      <c r="A1113" s="131" t="str">
        <f>IF(priority(Main[[#This Row],[Comments]])&lt;&gt;0, priority(Main[[#This Row],[Comments]]),"")</f>
        <v/>
      </c>
      <c r="B1113" s="99" t="s">
        <v>3664</v>
      </c>
      <c r="C1113" s="65" t="s">
        <v>4</v>
      </c>
      <c r="D1113" s="66" t="s">
        <v>3665</v>
      </c>
      <c r="E1113" s="67">
        <v>40956.460902777777</v>
      </c>
      <c r="F1113" s="67"/>
      <c r="G1113" s="64" t="str">
        <f>IF(stdProdLT(Main[[#This Row],[Comments]])=0.1,"N/A",IF(stdProdLT(Main[[#This Row],[Comments]])=0,"",stdProdLT(Main[[#This Row],[Comments]])))</f>
        <v/>
      </c>
      <c r="H1113" s="68" t="str">
        <f>IF(AND(Main[[#This Row],[In Stock Date]]&lt;&gt;"",Main[[#This Row],[Revised Due Date]]&lt;&gt;""),Main[[#This Row],[In Stock Date]]-Main[[#This Row],[Revised Due Date]],"")</f>
        <v/>
      </c>
      <c r="I1113" s="65" t="s">
        <v>2054</v>
      </c>
      <c r="J1113" s="65" t="s">
        <v>28</v>
      </c>
      <c r="K1113" s="65" t="s">
        <v>4</v>
      </c>
      <c r="L1113" s="67"/>
      <c r="M1113" s="69" t="str">
        <f>IF(Main[[#This Row],[Tech Start Date]]&lt;1/1/1990,"",IF(Main[[#This Row],[Class]]="C",WORKDAY(Main[[#This Row],[Tech Start Date]],9),IF(Main[[#This Row],[Class]]="B", WORKDAY(Main[[#This Row],[Tech Start Date]],6),IF(Main[[#This Row],[Class]]="A",WORKDAY(Main[[#This Row],[Tech Start Date]],2),""))))</f>
        <v/>
      </c>
      <c r="N1113" s="69" t="str">
        <f>IF(Main[[#This Row],[Tech Start Date]]&lt;1/1/1990,"",IF(Main[[#This Row],[Class]]="C",WORKDAY(Main[[#This Row],[Tech Start Date]],19),IF(Main[[#This Row],[Class]]="B", WORKDAY(Main[[#This Row],[Tech Start Date]],12),IF(Main[[#This Row],[Class]]="A",WORKDAY(Main[[#This Row],[Tech Start Date]],4),""))))</f>
        <v/>
      </c>
      <c r="O1113" s="69" t="str">
        <f>IF(Main[[#This Row],[Tech Start Date]]&lt;1/1/1990,"",IF(Main[[#This Row],[Class]]="C",WORKDAY(Main[[#This Row],[Tech Start Date]],23),IF(Main[[#This Row],[Class]]="B", WORKDAY(Main[[#This Row],[Tech Start Date]],15),IF(Main[[#This Row],[Class]]="A",WORKDAY(Main[[#This Row],[Tech Start Date]],5),""))))</f>
        <v/>
      </c>
      <c r="P1113" s="69" t="str">
        <f>IF(Main[[#This Row],[Tech Start Date]]&lt;1/1/1990,"",IF(Main[[#This Row],[Class]]="C",WORKDAY(Main[[#This Row],[Tech Start Date]],28),IF(Main[[#This Row],[Class]]="B", WORKDAY(Main[[#This Row],[Tech Start Date]],19),IF(Main[[#This Row],[Class]]="A",WORKDAY(Main[[#This Row],[Tech Start Date]],9),""))))</f>
        <v/>
      </c>
      <c r="Q1113" s="67">
        <v>40991</v>
      </c>
      <c r="R1113" s="67"/>
      <c r="S1113" s="65" t="s">
        <v>6</v>
      </c>
      <c r="T1113" s="70" t="s">
        <v>4</v>
      </c>
      <c r="U1113" s="65" t="s">
        <v>29</v>
      </c>
      <c r="V1113" s="65" t="s">
        <v>1920</v>
      </c>
      <c r="W1113" s="65" t="s">
        <v>1921</v>
      </c>
      <c r="X1113" s="65" t="s">
        <v>2824</v>
      </c>
      <c r="Y1113" s="65" t="s">
        <v>2935</v>
      </c>
      <c r="Z1113" s="65" t="s">
        <v>30</v>
      </c>
      <c r="AA1113" s="65" t="s">
        <v>2824</v>
      </c>
    </row>
    <row r="1114" spans="1:27" ht="17.45" customHeight="1">
      <c r="A1114" s="131" t="str">
        <f>IF(priority(Main[[#This Row],[Comments]])&lt;&gt;0, priority(Main[[#This Row],[Comments]]),"")</f>
        <v/>
      </c>
      <c r="B1114" s="99" t="s">
        <v>2299</v>
      </c>
      <c r="C1114" s="65" t="s">
        <v>4</v>
      </c>
      <c r="D1114" s="66" t="s">
        <v>3666</v>
      </c>
      <c r="E1114" s="67">
        <v>40814.667314814818</v>
      </c>
      <c r="F1114" s="67"/>
      <c r="G1114" s="64" t="str">
        <f>IF(stdProdLT(Main[[#This Row],[Comments]])=0.1,"N/A",IF(stdProdLT(Main[[#This Row],[Comments]])=0,"",stdProdLT(Main[[#This Row],[Comments]])))</f>
        <v/>
      </c>
      <c r="H1114" s="68" t="str">
        <f>IF(AND(Main[[#This Row],[In Stock Date]]&lt;&gt;"",Main[[#This Row],[Revised Due Date]]&lt;&gt;""),Main[[#This Row],[In Stock Date]]-Main[[#This Row],[Revised Due Date]],"")</f>
        <v/>
      </c>
      <c r="I1114" s="65" t="s">
        <v>885</v>
      </c>
      <c r="J1114" s="65" t="s">
        <v>51</v>
      </c>
      <c r="K1114" s="65" t="s">
        <v>1926</v>
      </c>
      <c r="L1114" s="67"/>
      <c r="M1114" s="69" t="str">
        <f>IF(Main[[#This Row],[Tech Start Date]]&lt;1/1/1990,"",IF(Main[[#This Row],[Class]]="C",WORKDAY(Main[[#This Row],[Tech Start Date]],9),IF(Main[[#This Row],[Class]]="B", WORKDAY(Main[[#This Row],[Tech Start Date]],6),IF(Main[[#This Row],[Class]]="A",WORKDAY(Main[[#This Row],[Tech Start Date]],2),""))))</f>
        <v/>
      </c>
      <c r="N1114" s="69" t="str">
        <f>IF(Main[[#This Row],[Tech Start Date]]&lt;1/1/1990,"",IF(Main[[#This Row],[Class]]="C",WORKDAY(Main[[#This Row],[Tech Start Date]],19),IF(Main[[#This Row],[Class]]="B", WORKDAY(Main[[#This Row],[Tech Start Date]],12),IF(Main[[#This Row],[Class]]="A",WORKDAY(Main[[#This Row],[Tech Start Date]],4),""))))</f>
        <v/>
      </c>
      <c r="O1114" s="69" t="str">
        <f>IF(Main[[#This Row],[Tech Start Date]]&lt;1/1/1990,"",IF(Main[[#This Row],[Class]]="C",WORKDAY(Main[[#This Row],[Tech Start Date]],23),IF(Main[[#This Row],[Class]]="B", WORKDAY(Main[[#This Row],[Tech Start Date]],15),IF(Main[[#This Row],[Class]]="A",WORKDAY(Main[[#This Row],[Tech Start Date]],5),""))))</f>
        <v/>
      </c>
      <c r="P1114" s="69" t="str">
        <f>IF(Main[[#This Row],[Tech Start Date]]&lt;1/1/1990,"",IF(Main[[#This Row],[Class]]="C",WORKDAY(Main[[#This Row],[Tech Start Date]],28),IF(Main[[#This Row],[Class]]="B", WORKDAY(Main[[#This Row],[Tech Start Date]],19),IF(Main[[#This Row],[Class]]="A",WORKDAY(Main[[#This Row],[Tech Start Date]],9),""))))</f>
        <v/>
      </c>
      <c r="Q1114" s="67"/>
      <c r="R1114" s="67"/>
      <c r="S1114" s="65" t="s">
        <v>6</v>
      </c>
      <c r="T1114" s="70" t="s">
        <v>4</v>
      </c>
      <c r="U1114" s="65" t="s">
        <v>29</v>
      </c>
      <c r="V1114" s="65" t="s">
        <v>1920</v>
      </c>
      <c r="W1114" s="65" t="s">
        <v>1921</v>
      </c>
      <c r="X1114" s="65" t="s">
        <v>399</v>
      </c>
      <c r="Y1114" s="65" t="s">
        <v>2969</v>
      </c>
      <c r="Z1114" s="65" t="s">
        <v>306</v>
      </c>
      <c r="AA1114" s="65" t="s">
        <v>885</v>
      </c>
    </row>
    <row r="1115" spans="1:27" ht="17.45" customHeight="1">
      <c r="A1115" s="131" t="str">
        <f>IF(priority(Main[[#This Row],[Comments]])&lt;&gt;0, priority(Main[[#This Row],[Comments]]),"")</f>
        <v/>
      </c>
      <c r="B1115" s="99" t="s">
        <v>2381</v>
      </c>
      <c r="C1115" s="65" t="s">
        <v>4</v>
      </c>
      <c r="D1115" s="66" t="s">
        <v>2382</v>
      </c>
      <c r="E1115" s="67">
        <v>40835.331365740742</v>
      </c>
      <c r="F1115" s="67"/>
      <c r="G1115" s="64" t="str">
        <f>IF(stdProdLT(Main[[#This Row],[Comments]])=0.1,"N/A",IF(stdProdLT(Main[[#This Row],[Comments]])=0,"",stdProdLT(Main[[#This Row],[Comments]])))</f>
        <v/>
      </c>
      <c r="H1115" s="68" t="str">
        <f>IF(AND(Main[[#This Row],[In Stock Date]]&lt;&gt;"",Main[[#This Row],[Revised Due Date]]&lt;&gt;""),Main[[#This Row],[In Stock Date]]-Main[[#This Row],[Revised Due Date]],"")</f>
        <v/>
      </c>
      <c r="I1115" s="65" t="s">
        <v>530</v>
      </c>
      <c r="J1115" s="65" t="s">
        <v>21</v>
      </c>
      <c r="K1115" s="71" t="s">
        <v>1926</v>
      </c>
      <c r="L1115" s="67"/>
      <c r="M1115" s="69" t="str">
        <f>IF(Main[[#This Row],[Tech Start Date]]&lt;1/1/1990,"",IF(Main[[#This Row],[Class]]="C",WORKDAY(Main[[#This Row],[Tech Start Date]],9),IF(Main[[#This Row],[Class]]="B", WORKDAY(Main[[#This Row],[Tech Start Date]],6),IF(Main[[#This Row],[Class]]="A",WORKDAY(Main[[#This Row],[Tech Start Date]],2),""))))</f>
        <v/>
      </c>
      <c r="N1115" s="69" t="str">
        <f>IF(Main[[#This Row],[Tech Start Date]]&lt;1/1/1990,"",IF(Main[[#This Row],[Class]]="C",WORKDAY(Main[[#This Row],[Tech Start Date]],19),IF(Main[[#This Row],[Class]]="B", WORKDAY(Main[[#This Row],[Tech Start Date]],12),IF(Main[[#This Row],[Class]]="A",WORKDAY(Main[[#This Row],[Tech Start Date]],4),""))))</f>
        <v/>
      </c>
      <c r="O1115" s="69" t="str">
        <f>IF(Main[[#This Row],[Tech Start Date]]&lt;1/1/1990,"",IF(Main[[#This Row],[Class]]="C",WORKDAY(Main[[#This Row],[Tech Start Date]],23),IF(Main[[#This Row],[Class]]="B", WORKDAY(Main[[#This Row],[Tech Start Date]],15),IF(Main[[#This Row],[Class]]="A",WORKDAY(Main[[#This Row],[Tech Start Date]],5),""))))</f>
        <v/>
      </c>
      <c r="P1115" s="69" t="str">
        <f>IF(Main[[#This Row],[Tech Start Date]]&lt;1/1/1990,"",IF(Main[[#This Row],[Class]]="C",WORKDAY(Main[[#This Row],[Tech Start Date]],28),IF(Main[[#This Row],[Class]]="B", WORKDAY(Main[[#This Row],[Tech Start Date]],19),IF(Main[[#This Row],[Class]]="A",WORKDAY(Main[[#This Row],[Tech Start Date]],9),""))))</f>
        <v/>
      </c>
      <c r="Q1115" s="67"/>
      <c r="R1115" s="67"/>
      <c r="S1115" s="65" t="s">
        <v>6</v>
      </c>
      <c r="T1115" s="70" t="s">
        <v>4</v>
      </c>
      <c r="U1115" s="65" t="s">
        <v>29</v>
      </c>
      <c r="V1115" s="65" t="s">
        <v>1920</v>
      </c>
      <c r="W1115" s="65" t="s">
        <v>1921</v>
      </c>
      <c r="X1115" s="65" t="s">
        <v>399</v>
      </c>
      <c r="Y1115" s="65" t="s">
        <v>4</v>
      </c>
      <c r="Z1115" s="65" t="s">
        <v>530</v>
      </c>
      <c r="AA1115" s="65" t="s">
        <v>3408</v>
      </c>
    </row>
    <row r="1116" spans="1:27" ht="17.45" customHeight="1">
      <c r="A1116" s="131" t="str">
        <f>IF(priority(Main[[#This Row],[Comments]])&lt;&gt;0, priority(Main[[#This Row],[Comments]]),"")</f>
        <v/>
      </c>
      <c r="B1116" s="99" t="s">
        <v>3667</v>
      </c>
      <c r="C1116" s="65" t="s">
        <v>122</v>
      </c>
      <c r="D1116" s="66" t="s">
        <v>3668</v>
      </c>
      <c r="E1116" s="67">
        <v>40966.422523148147</v>
      </c>
      <c r="F1116" s="67">
        <v>40998</v>
      </c>
      <c r="G1116" s="64" t="str">
        <f>IF(stdProdLT(Main[[#This Row],[Comments]])=0.1,"N/A",IF(stdProdLT(Main[[#This Row],[Comments]])=0,"",stdProdLT(Main[[#This Row],[Comments]])))</f>
        <v/>
      </c>
      <c r="H1116" s="68" t="str">
        <f>IF(AND(Main[[#This Row],[In Stock Date]]&lt;&gt;"",Main[[#This Row],[Revised Due Date]]&lt;&gt;""),Main[[#This Row],[In Stock Date]]-Main[[#This Row],[Revised Due Date]],"")</f>
        <v/>
      </c>
      <c r="I1116" s="65" t="s">
        <v>4</v>
      </c>
      <c r="J1116" s="65" t="s">
        <v>4</v>
      </c>
      <c r="K1116" s="65" t="s">
        <v>4</v>
      </c>
      <c r="L1116" s="67"/>
      <c r="M1116" s="69" t="str">
        <f>IF(Main[[#This Row],[Tech Start Date]]&lt;1/1/1990,"",IF(Main[[#This Row],[Class]]="C",WORKDAY(Main[[#This Row],[Tech Start Date]],9),IF(Main[[#This Row],[Class]]="B", WORKDAY(Main[[#This Row],[Tech Start Date]],6),IF(Main[[#This Row],[Class]]="A",WORKDAY(Main[[#This Row],[Tech Start Date]],2),""))))</f>
        <v/>
      </c>
      <c r="N1116" s="69" t="str">
        <f>IF(Main[[#This Row],[Tech Start Date]]&lt;1/1/1990,"",IF(Main[[#This Row],[Class]]="C",WORKDAY(Main[[#This Row],[Tech Start Date]],19),IF(Main[[#This Row],[Class]]="B", WORKDAY(Main[[#This Row],[Tech Start Date]],12),IF(Main[[#This Row],[Class]]="A",WORKDAY(Main[[#This Row],[Tech Start Date]],4),""))))</f>
        <v/>
      </c>
      <c r="O1116" s="69" t="str">
        <f>IF(Main[[#This Row],[Tech Start Date]]&lt;1/1/1990,"",IF(Main[[#This Row],[Class]]="C",WORKDAY(Main[[#This Row],[Tech Start Date]],23),IF(Main[[#This Row],[Class]]="B", WORKDAY(Main[[#This Row],[Tech Start Date]],15),IF(Main[[#This Row],[Class]]="A",WORKDAY(Main[[#This Row],[Tech Start Date]],5),""))))</f>
        <v/>
      </c>
      <c r="P1116" s="69" t="str">
        <f>IF(Main[[#This Row],[Tech Start Date]]&lt;1/1/1990,"",IF(Main[[#This Row],[Class]]="C",WORKDAY(Main[[#This Row],[Tech Start Date]],28),IF(Main[[#This Row],[Class]]="B", WORKDAY(Main[[#This Row],[Tech Start Date]],19),IF(Main[[#This Row],[Class]]="A",WORKDAY(Main[[#This Row],[Tech Start Date]],9),""))))</f>
        <v/>
      </c>
      <c r="Q1116" s="67"/>
      <c r="R1116" s="67"/>
      <c r="S1116" s="65" t="s">
        <v>17</v>
      </c>
      <c r="T1116" s="70" t="s">
        <v>4</v>
      </c>
      <c r="U1116" s="65" t="s">
        <v>7</v>
      </c>
      <c r="V1116" s="65" t="s">
        <v>1920</v>
      </c>
      <c r="W1116" s="65" t="s">
        <v>1925</v>
      </c>
      <c r="X1116" s="65" t="s">
        <v>50</v>
      </c>
      <c r="Y1116" s="65" t="s">
        <v>3595</v>
      </c>
      <c r="Z1116" s="65" t="s">
        <v>4</v>
      </c>
      <c r="AA1116" s="65" t="s">
        <v>65</v>
      </c>
    </row>
    <row r="1117" spans="1:27" ht="17.45" customHeight="1">
      <c r="A1117" s="131" t="str">
        <f>IF(priority(Main[[#This Row],[Comments]])&lt;&gt;0, priority(Main[[#This Row],[Comments]]),"")</f>
        <v/>
      </c>
      <c r="B1117" s="99" t="s">
        <v>2294</v>
      </c>
      <c r="C1117" s="65" t="s">
        <v>67</v>
      </c>
      <c r="D1117" s="66" t="s">
        <v>2290</v>
      </c>
      <c r="E1117" s="67">
        <v>40813.66920138889</v>
      </c>
      <c r="F1117" s="67">
        <v>41075</v>
      </c>
      <c r="G1117" s="64" t="str">
        <f>IF(stdProdLT(Main[[#This Row],[Comments]])=0.1,"N/A",IF(stdProdLT(Main[[#This Row],[Comments]])=0,"",stdProdLT(Main[[#This Row],[Comments]])))</f>
        <v/>
      </c>
      <c r="H1117" s="68" t="str">
        <f>IF(AND(Main[[#This Row],[In Stock Date]]&lt;&gt;"",Main[[#This Row],[Revised Due Date]]&lt;&gt;""),Main[[#This Row],[In Stock Date]]-Main[[#This Row],[Revised Due Date]],"")</f>
        <v/>
      </c>
      <c r="I1117" s="65" t="s">
        <v>239</v>
      </c>
      <c r="J1117" s="65" t="s">
        <v>28</v>
      </c>
      <c r="K1117" s="65" t="s">
        <v>1929</v>
      </c>
      <c r="L1117" s="67"/>
      <c r="M1117" s="69" t="str">
        <f>IF(Main[[#This Row],[Tech Start Date]]&lt;1/1/1990,"",IF(Main[[#This Row],[Class]]="C",WORKDAY(Main[[#This Row],[Tech Start Date]],9),IF(Main[[#This Row],[Class]]="B", WORKDAY(Main[[#This Row],[Tech Start Date]],6),IF(Main[[#This Row],[Class]]="A",WORKDAY(Main[[#This Row],[Tech Start Date]],2),""))))</f>
        <v/>
      </c>
      <c r="N1117" s="69" t="str">
        <f>IF(Main[[#This Row],[Tech Start Date]]&lt;1/1/1990,"",IF(Main[[#This Row],[Class]]="C",WORKDAY(Main[[#This Row],[Tech Start Date]],19),IF(Main[[#This Row],[Class]]="B", WORKDAY(Main[[#This Row],[Tech Start Date]],12),IF(Main[[#This Row],[Class]]="A",WORKDAY(Main[[#This Row],[Tech Start Date]],4),""))))</f>
        <v/>
      </c>
      <c r="O1117" s="69" t="str">
        <f>IF(Main[[#This Row],[Tech Start Date]]&lt;1/1/1990,"",IF(Main[[#This Row],[Class]]="C",WORKDAY(Main[[#This Row],[Tech Start Date]],23),IF(Main[[#This Row],[Class]]="B", WORKDAY(Main[[#This Row],[Tech Start Date]],15),IF(Main[[#This Row],[Class]]="A",WORKDAY(Main[[#This Row],[Tech Start Date]],5),""))))</f>
        <v/>
      </c>
      <c r="P1117" s="69" t="str">
        <f>IF(Main[[#This Row],[Tech Start Date]]&lt;1/1/1990,"",IF(Main[[#This Row],[Class]]="C",WORKDAY(Main[[#This Row],[Tech Start Date]],28),IF(Main[[#This Row],[Class]]="B", WORKDAY(Main[[#This Row],[Tech Start Date]],19),IF(Main[[#This Row],[Class]]="A",WORKDAY(Main[[#This Row],[Tech Start Date]],9),""))))</f>
        <v/>
      </c>
      <c r="Q1117" s="67">
        <v>41258</v>
      </c>
      <c r="R1117" s="67"/>
      <c r="S1117" s="65" t="s">
        <v>17</v>
      </c>
      <c r="T1117" s="70" t="s">
        <v>4</v>
      </c>
      <c r="U1117" s="65" t="s">
        <v>29</v>
      </c>
      <c r="V1117" s="65" t="s">
        <v>1927</v>
      </c>
      <c r="W1117" s="65" t="s">
        <v>1928</v>
      </c>
      <c r="X1117" s="65" t="s">
        <v>554</v>
      </c>
      <c r="Y1117" s="65" t="s">
        <v>2958</v>
      </c>
      <c r="Z1117" s="65" t="s">
        <v>239</v>
      </c>
      <c r="AA1117" s="65" t="s">
        <v>554</v>
      </c>
    </row>
    <row r="1118" spans="1:27" ht="17.45" customHeight="1">
      <c r="A1118" s="131" t="str">
        <f>IF(priority(Main[[#This Row],[Comments]])&lt;&gt;0, priority(Main[[#This Row],[Comments]]),"")</f>
        <v/>
      </c>
      <c r="B1118" s="99" t="s">
        <v>2162</v>
      </c>
      <c r="C1118" s="65" t="s">
        <v>2163</v>
      </c>
      <c r="D1118" s="66" t="s">
        <v>2346</v>
      </c>
      <c r="E1118" s="67">
        <v>40781.400787037041</v>
      </c>
      <c r="F1118" s="67"/>
      <c r="G1118" s="64" t="str">
        <f>IF(stdProdLT(Main[[#This Row],[Comments]])=0.1,"N/A",IF(stdProdLT(Main[[#This Row],[Comments]])=0,"",stdProdLT(Main[[#This Row],[Comments]])))</f>
        <v/>
      </c>
      <c r="H1118" s="68" t="str">
        <f>IF(AND(Main[[#This Row],[In Stock Date]]&lt;&gt;"",Main[[#This Row],[Revised Due Date]]&lt;&gt;""),Main[[#This Row],[In Stock Date]]-Main[[#This Row],[Revised Due Date]],"")</f>
        <v/>
      </c>
      <c r="I1118" s="65" t="s">
        <v>4</v>
      </c>
      <c r="J1118" s="65" t="s">
        <v>28</v>
      </c>
      <c r="K1118" s="71" t="s">
        <v>1926</v>
      </c>
      <c r="L1118" s="67"/>
      <c r="M1118" s="69" t="str">
        <f>IF(Main[[#This Row],[Tech Start Date]]&lt;1/1/1990,"",IF(Main[[#This Row],[Class]]="C",WORKDAY(Main[[#This Row],[Tech Start Date]],9),IF(Main[[#This Row],[Class]]="B", WORKDAY(Main[[#This Row],[Tech Start Date]],6),IF(Main[[#This Row],[Class]]="A",WORKDAY(Main[[#This Row],[Tech Start Date]],2),""))))</f>
        <v/>
      </c>
      <c r="N1118" s="69" t="str">
        <f>IF(Main[[#This Row],[Tech Start Date]]&lt;1/1/1990,"",IF(Main[[#This Row],[Class]]="C",WORKDAY(Main[[#This Row],[Tech Start Date]],19),IF(Main[[#This Row],[Class]]="B", WORKDAY(Main[[#This Row],[Tech Start Date]],12),IF(Main[[#This Row],[Class]]="A",WORKDAY(Main[[#This Row],[Tech Start Date]],4),""))))</f>
        <v/>
      </c>
      <c r="O1118" s="69" t="str">
        <f>IF(Main[[#This Row],[Tech Start Date]]&lt;1/1/1990,"",IF(Main[[#This Row],[Class]]="C",WORKDAY(Main[[#This Row],[Tech Start Date]],23),IF(Main[[#This Row],[Class]]="B", WORKDAY(Main[[#This Row],[Tech Start Date]],15),IF(Main[[#This Row],[Class]]="A",WORKDAY(Main[[#This Row],[Tech Start Date]],5),""))))</f>
        <v/>
      </c>
      <c r="P1118" s="69" t="str">
        <f>IF(Main[[#This Row],[Tech Start Date]]&lt;1/1/1990,"",IF(Main[[#This Row],[Class]]="C",WORKDAY(Main[[#This Row],[Tech Start Date]],28),IF(Main[[#This Row],[Class]]="B", WORKDAY(Main[[#This Row],[Tech Start Date]],19),IF(Main[[#This Row],[Class]]="A",WORKDAY(Main[[#This Row],[Tech Start Date]],9),""))))</f>
        <v/>
      </c>
      <c r="Q1118" s="67">
        <v>40836</v>
      </c>
      <c r="R1118" s="67"/>
      <c r="S1118" s="65" t="s">
        <v>6</v>
      </c>
      <c r="T1118" s="70" t="s">
        <v>4</v>
      </c>
      <c r="U1118" s="65" t="s">
        <v>29</v>
      </c>
      <c r="V1118" s="65" t="s">
        <v>1920</v>
      </c>
      <c r="W1118" s="65" t="s">
        <v>1921</v>
      </c>
      <c r="X1118" s="65" t="s">
        <v>2842</v>
      </c>
      <c r="Y1118" s="65" t="s">
        <v>2971</v>
      </c>
      <c r="Z1118" s="65" t="s">
        <v>30</v>
      </c>
      <c r="AA1118" s="65" t="s">
        <v>2842</v>
      </c>
    </row>
    <row r="1119" spans="1:27" ht="17.45" customHeight="1">
      <c r="A1119" s="131" t="str">
        <f>IF(priority(Main[[#This Row],[Comments]])&lt;&gt;0, priority(Main[[#This Row],[Comments]]),"")</f>
        <v/>
      </c>
      <c r="B1119" s="99" t="s">
        <v>2756</v>
      </c>
      <c r="C1119" s="65" t="s">
        <v>4</v>
      </c>
      <c r="D1119" s="66" t="s">
        <v>2757</v>
      </c>
      <c r="E1119" s="67">
        <v>40883.642361111109</v>
      </c>
      <c r="F1119" s="67"/>
      <c r="G1119" s="64" t="str">
        <f>IF(stdProdLT(Main[[#This Row],[Comments]])=0.1,"N/A",IF(stdProdLT(Main[[#This Row],[Comments]])=0,"",stdProdLT(Main[[#This Row],[Comments]])))</f>
        <v/>
      </c>
      <c r="H1119" s="68" t="str">
        <f>IF(AND(Main[[#This Row],[In Stock Date]]&lt;&gt;"",Main[[#This Row],[Revised Due Date]]&lt;&gt;""),Main[[#This Row],[In Stock Date]]-Main[[#This Row],[Revised Due Date]],"")</f>
        <v/>
      </c>
      <c r="I1119" s="65" t="s">
        <v>74</v>
      </c>
      <c r="J1119" s="65" t="s">
        <v>4</v>
      </c>
      <c r="K1119" s="65" t="s">
        <v>1929</v>
      </c>
      <c r="L1119" s="67"/>
      <c r="M1119" s="69" t="str">
        <f>IF(Main[[#This Row],[Tech Start Date]]&lt;1/1/1990,"",IF(Main[[#This Row],[Class]]="C",WORKDAY(Main[[#This Row],[Tech Start Date]],9),IF(Main[[#This Row],[Class]]="B", WORKDAY(Main[[#This Row],[Tech Start Date]],6),IF(Main[[#This Row],[Class]]="A",WORKDAY(Main[[#This Row],[Tech Start Date]],2),""))))</f>
        <v/>
      </c>
      <c r="N1119" s="69" t="str">
        <f>IF(Main[[#This Row],[Tech Start Date]]&lt;1/1/1990,"",IF(Main[[#This Row],[Class]]="C",WORKDAY(Main[[#This Row],[Tech Start Date]],19),IF(Main[[#This Row],[Class]]="B", WORKDAY(Main[[#This Row],[Tech Start Date]],12),IF(Main[[#This Row],[Class]]="A",WORKDAY(Main[[#This Row],[Tech Start Date]],4),""))))</f>
        <v/>
      </c>
      <c r="O1119" s="69" t="str">
        <f>IF(Main[[#This Row],[Tech Start Date]]&lt;1/1/1990,"",IF(Main[[#This Row],[Class]]="C",WORKDAY(Main[[#This Row],[Tech Start Date]],23),IF(Main[[#This Row],[Class]]="B", WORKDAY(Main[[#This Row],[Tech Start Date]],15),IF(Main[[#This Row],[Class]]="A",WORKDAY(Main[[#This Row],[Tech Start Date]],5),""))))</f>
        <v/>
      </c>
      <c r="P1119" s="69" t="str">
        <f>IF(Main[[#This Row],[Tech Start Date]]&lt;1/1/1990,"",IF(Main[[#This Row],[Class]]="C",WORKDAY(Main[[#This Row],[Tech Start Date]],28),IF(Main[[#This Row],[Class]]="B", WORKDAY(Main[[#This Row],[Tech Start Date]],19),IF(Main[[#This Row],[Class]]="A",WORKDAY(Main[[#This Row],[Tech Start Date]],9),""))))</f>
        <v/>
      </c>
      <c r="Q1119" s="67"/>
      <c r="R1119" s="67"/>
      <c r="S1119" s="65" t="s">
        <v>17</v>
      </c>
      <c r="T1119" s="70" t="s">
        <v>4</v>
      </c>
      <c r="U1119" s="65" t="s">
        <v>29</v>
      </c>
      <c r="V1119" s="65" t="s">
        <v>1920</v>
      </c>
      <c r="W1119" s="65" t="s">
        <v>1922</v>
      </c>
      <c r="X1119" s="65" t="s">
        <v>415</v>
      </c>
      <c r="Y1119" s="65" t="s">
        <v>2981</v>
      </c>
      <c r="Z1119" s="65" t="s">
        <v>415</v>
      </c>
      <c r="AA1119" s="65" t="s">
        <v>415</v>
      </c>
    </row>
    <row r="1120" spans="1:27" ht="17.45" customHeight="1">
      <c r="A1120" s="131" t="str">
        <f>IF(priority(Main[[#This Row],[Comments]])&lt;&gt;0, priority(Main[[#This Row],[Comments]]),"")</f>
        <v/>
      </c>
      <c r="B1120" s="99" t="s">
        <v>2510</v>
      </c>
      <c r="C1120" s="65" t="s">
        <v>4</v>
      </c>
      <c r="D1120" s="66" t="s">
        <v>2511</v>
      </c>
      <c r="E1120" s="67">
        <v>40849.455775462964</v>
      </c>
      <c r="F1120" s="67"/>
      <c r="G1120" s="64" t="str">
        <f>IF(stdProdLT(Main[[#This Row],[Comments]])=0.1,"N/A",IF(stdProdLT(Main[[#This Row],[Comments]])=0,"",stdProdLT(Main[[#This Row],[Comments]])))</f>
        <v/>
      </c>
      <c r="H1120" s="68" t="str">
        <f>IF(AND(Main[[#This Row],[In Stock Date]]&lt;&gt;"",Main[[#This Row],[Revised Due Date]]&lt;&gt;""),Main[[#This Row],[In Stock Date]]-Main[[#This Row],[Revised Due Date]],"")</f>
        <v/>
      </c>
      <c r="I1120" s="65" t="s">
        <v>69</v>
      </c>
      <c r="J1120" s="65" t="s">
        <v>70</v>
      </c>
      <c r="K1120" s="65" t="s">
        <v>1926</v>
      </c>
      <c r="L1120" s="67"/>
      <c r="M1120" s="69" t="str">
        <f>IF(Main[[#This Row],[Tech Start Date]]&lt;1/1/1990,"",IF(Main[[#This Row],[Class]]="C",WORKDAY(Main[[#This Row],[Tech Start Date]],9),IF(Main[[#This Row],[Class]]="B", WORKDAY(Main[[#This Row],[Tech Start Date]],6),IF(Main[[#This Row],[Class]]="A",WORKDAY(Main[[#This Row],[Tech Start Date]],2),""))))</f>
        <v/>
      </c>
      <c r="N1120" s="69" t="str">
        <f>IF(Main[[#This Row],[Tech Start Date]]&lt;1/1/1990,"",IF(Main[[#This Row],[Class]]="C",WORKDAY(Main[[#This Row],[Tech Start Date]],19),IF(Main[[#This Row],[Class]]="B", WORKDAY(Main[[#This Row],[Tech Start Date]],12),IF(Main[[#This Row],[Class]]="A",WORKDAY(Main[[#This Row],[Tech Start Date]],4),""))))</f>
        <v/>
      </c>
      <c r="O1120" s="69" t="str">
        <f>IF(Main[[#This Row],[Tech Start Date]]&lt;1/1/1990,"",IF(Main[[#This Row],[Class]]="C",WORKDAY(Main[[#This Row],[Tech Start Date]],23),IF(Main[[#This Row],[Class]]="B", WORKDAY(Main[[#This Row],[Tech Start Date]],15),IF(Main[[#This Row],[Class]]="A",WORKDAY(Main[[#This Row],[Tech Start Date]],5),""))))</f>
        <v/>
      </c>
      <c r="P1120" s="69" t="str">
        <f>IF(Main[[#This Row],[Tech Start Date]]&lt;1/1/1990,"",IF(Main[[#This Row],[Class]]="C",WORKDAY(Main[[#This Row],[Tech Start Date]],28),IF(Main[[#This Row],[Class]]="B", WORKDAY(Main[[#This Row],[Tech Start Date]],19),IF(Main[[#This Row],[Class]]="A",WORKDAY(Main[[#This Row],[Tech Start Date]],9),""))))</f>
        <v/>
      </c>
      <c r="Q1120" s="67">
        <v>40879</v>
      </c>
      <c r="R1120" s="67"/>
      <c r="S1120" s="65" t="s">
        <v>6</v>
      </c>
      <c r="T1120" s="70" t="s">
        <v>4</v>
      </c>
      <c r="U1120" s="65" t="s">
        <v>29</v>
      </c>
      <c r="V1120" s="65" t="s">
        <v>1920</v>
      </c>
      <c r="W1120" s="65" t="s">
        <v>1921</v>
      </c>
      <c r="X1120" s="65" t="s">
        <v>2909</v>
      </c>
      <c r="Y1120" s="65" t="s">
        <v>3089</v>
      </c>
      <c r="Z1120" s="65" t="s">
        <v>30</v>
      </c>
      <c r="AA1120" s="65" t="s">
        <v>2909</v>
      </c>
    </row>
    <row r="1121" spans="1:27" ht="17.45" customHeight="1">
      <c r="A1121" s="131" t="str">
        <f>IF(priority(Main[[#This Row],[Comments]])&lt;&gt;0, priority(Main[[#This Row],[Comments]]),"")</f>
        <v/>
      </c>
      <c r="B1121" s="99" t="s">
        <v>3230</v>
      </c>
      <c r="C1121" s="65" t="s">
        <v>4</v>
      </c>
      <c r="D1121" s="66" t="s">
        <v>3231</v>
      </c>
      <c r="E1121" s="67">
        <v>40924.459930555553</v>
      </c>
      <c r="F1121" s="67"/>
      <c r="G1121" s="64" t="str">
        <f>IF(stdProdLT(Main[[#This Row],[Comments]])=0.1,"N/A",IF(stdProdLT(Main[[#This Row],[Comments]])=0,"",stdProdLT(Main[[#This Row],[Comments]])))</f>
        <v/>
      </c>
      <c r="H1121" s="68" t="str">
        <f>IF(AND(Main[[#This Row],[In Stock Date]]&lt;&gt;"",Main[[#This Row],[Revised Due Date]]&lt;&gt;""),Main[[#This Row],[In Stock Date]]-Main[[#This Row],[Revised Due Date]],"")</f>
        <v/>
      </c>
      <c r="I1121" s="65" t="s">
        <v>4</v>
      </c>
      <c r="J1121" s="65" t="s">
        <v>28</v>
      </c>
      <c r="K1121" s="65" t="s">
        <v>4</v>
      </c>
      <c r="L1121" s="67"/>
      <c r="M1121" s="69" t="str">
        <f>IF(Main[[#This Row],[Tech Start Date]]&lt;1/1/1990,"",IF(Main[[#This Row],[Class]]="C",WORKDAY(Main[[#This Row],[Tech Start Date]],9),IF(Main[[#This Row],[Class]]="B", WORKDAY(Main[[#This Row],[Tech Start Date]],6),IF(Main[[#This Row],[Class]]="A",WORKDAY(Main[[#This Row],[Tech Start Date]],2),""))))</f>
        <v/>
      </c>
      <c r="N1121" s="69" t="str">
        <f>IF(Main[[#This Row],[Tech Start Date]]&lt;1/1/1990,"",IF(Main[[#This Row],[Class]]="C",WORKDAY(Main[[#This Row],[Tech Start Date]],19),IF(Main[[#This Row],[Class]]="B", WORKDAY(Main[[#This Row],[Tech Start Date]],12),IF(Main[[#This Row],[Class]]="A",WORKDAY(Main[[#This Row],[Tech Start Date]],4),""))))</f>
        <v/>
      </c>
      <c r="O1121" s="69" t="str">
        <f>IF(Main[[#This Row],[Tech Start Date]]&lt;1/1/1990,"",IF(Main[[#This Row],[Class]]="C",WORKDAY(Main[[#This Row],[Tech Start Date]],23),IF(Main[[#This Row],[Class]]="B", WORKDAY(Main[[#This Row],[Tech Start Date]],15),IF(Main[[#This Row],[Class]]="A",WORKDAY(Main[[#This Row],[Tech Start Date]],5),""))))</f>
        <v/>
      </c>
      <c r="P1121" s="69" t="str">
        <f>IF(Main[[#This Row],[Tech Start Date]]&lt;1/1/1990,"",IF(Main[[#This Row],[Class]]="C",WORKDAY(Main[[#This Row],[Tech Start Date]],28),IF(Main[[#This Row],[Class]]="B", WORKDAY(Main[[#This Row],[Tech Start Date]],19),IF(Main[[#This Row],[Class]]="A",WORKDAY(Main[[#This Row],[Tech Start Date]],9),""))))</f>
        <v/>
      </c>
      <c r="Q1121" s="67"/>
      <c r="R1121" s="67"/>
      <c r="S1121" s="65" t="s">
        <v>6</v>
      </c>
      <c r="T1121" s="70" t="s">
        <v>4</v>
      </c>
      <c r="U1121" s="65" t="s">
        <v>29</v>
      </c>
      <c r="V1121" s="65" t="s">
        <v>1920</v>
      </c>
      <c r="W1121" s="65" t="s">
        <v>1921</v>
      </c>
      <c r="X1121" s="65" t="s">
        <v>102</v>
      </c>
      <c r="Y1121" s="65" t="s">
        <v>3232</v>
      </c>
      <c r="Z1121" s="65" t="s">
        <v>30</v>
      </c>
      <c r="AA1121" s="65" t="s">
        <v>3468</v>
      </c>
    </row>
    <row r="1122" spans="1:27" ht="17.45" customHeight="1">
      <c r="A1122" s="131" t="str">
        <f>IF(priority(Main[[#This Row],[Comments]])&lt;&gt;0, priority(Main[[#This Row],[Comments]]),"")</f>
        <v/>
      </c>
      <c r="B1122" s="99" t="s">
        <v>3552</v>
      </c>
      <c r="C1122" s="65" t="s">
        <v>4</v>
      </c>
      <c r="D1122" s="66" t="s">
        <v>3669</v>
      </c>
      <c r="E1122" s="67">
        <v>40948.438587962963</v>
      </c>
      <c r="F1122" s="67"/>
      <c r="G1122" s="64" t="str">
        <f>IF(stdProdLT(Main[[#This Row],[Comments]])=0.1,"N/A",IF(stdProdLT(Main[[#This Row],[Comments]])=0,"",stdProdLT(Main[[#This Row],[Comments]])))</f>
        <v/>
      </c>
      <c r="H1122" s="68" t="str">
        <f>IF(AND(Main[[#This Row],[In Stock Date]]&lt;&gt;"",Main[[#This Row],[Revised Due Date]]&lt;&gt;""),Main[[#This Row],[In Stock Date]]-Main[[#This Row],[Revised Due Date]],"")</f>
        <v/>
      </c>
      <c r="I1122" s="65" t="s">
        <v>4</v>
      </c>
      <c r="J1122" s="65" t="s">
        <v>4</v>
      </c>
      <c r="K1122" s="65" t="s">
        <v>4</v>
      </c>
      <c r="L1122" s="67"/>
      <c r="M1122" s="69" t="str">
        <f>IF(Main[[#This Row],[Tech Start Date]]&lt;1/1/1990,"",IF(Main[[#This Row],[Class]]="C",WORKDAY(Main[[#This Row],[Tech Start Date]],9),IF(Main[[#This Row],[Class]]="B", WORKDAY(Main[[#This Row],[Tech Start Date]],6),IF(Main[[#This Row],[Class]]="A",WORKDAY(Main[[#This Row],[Tech Start Date]],2),""))))</f>
        <v/>
      </c>
      <c r="N1122" s="69" t="str">
        <f>IF(Main[[#This Row],[Tech Start Date]]&lt;1/1/1990,"",IF(Main[[#This Row],[Class]]="C",WORKDAY(Main[[#This Row],[Tech Start Date]],19),IF(Main[[#This Row],[Class]]="B", WORKDAY(Main[[#This Row],[Tech Start Date]],12),IF(Main[[#This Row],[Class]]="A",WORKDAY(Main[[#This Row],[Tech Start Date]],4),""))))</f>
        <v/>
      </c>
      <c r="O1122" s="69" t="str">
        <f>IF(Main[[#This Row],[Tech Start Date]]&lt;1/1/1990,"",IF(Main[[#This Row],[Class]]="C",WORKDAY(Main[[#This Row],[Tech Start Date]],23),IF(Main[[#This Row],[Class]]="B", WORKDAY(Main[[#This Row],[Tech Start Date]],15),IF(Main[[#This Row],[Class]]="A",WORKDAY(Main[[#This Row],[Tech Start Date]],5),""))))</f>
        <v/>
      </c>
      <c r="P1122" s="69" t="str">
        <f>IF(Main[[#This Row],[Tech Start Date]]&lt;1/1/1990,"",IF(Main[[#This Row],[Class]]="C",WORKDAY(Main[[#This Row],[Tech Start Date]],28),IF(Main[[#This Row],[Class]]="B", WORKDAY(Main[[#This Row],[Tech Start Date]],19),IF(Main[[#This Row],[Class]]="A",WORKDAY(Main[[#This Row],[Tech Start Date]],9),""))))</f>
        <v/>
      </c>
      <c r="Q1122" s="67"/>
      <c r="R1122" s="67"/>
      <c r="S1122" s="65" t="s">
        <v>6</v>
      </c>
      <c r="T1122" s="70" t="s">
        <v>4</v>
      </c>
      <c r="U1122" s="65" t="s">
        <v>29</v>
      </c>
      <c r="V1122" s="65" t="s">
        <v>1917</v>
      </c>
      <c r="W1122" s="65" t="s">
        <v>1921</v>
      </c>
      <c r="X1122" s="65" t="s">
        <v>102</v>
      </c>
      <c r="Y1122" s="65" t="s">
        <v>3086</v>
      </c>
      <c r="Z1122" s="65" t="s">
        <v>4</v>
      </c>
      <c r="AA1122" s="65" t="s">
        <v>3435</v>
      </c>
    </row>
    <row r="1123" spans="1:27" ht="17.45" customHeight="1">
      <c r="A1123" s="131" t="str">
        <f>IF(priority(Main[[#This Row],[Comments]])&lt;&gt;0, priority(Main[[#This Row],[Comments]]),"")</f>
        <v/>
      </c>
      <c r="B1123" s="99" t="s">
        <v>3295</v>
      </c>
      <c r="C1123" s="65" t="s">
        <v>4</v>
      </c>
      <c r="D1123" s="66" t="s">
        <v>3296</v>
      </c>
      <c r="E1123" s="67">
        <v>40933.367569444446</v>
      </c>
      <c r="F1123" s="67"/>
      <c r="G1123" s="64" t="str">
        <f>IF(stdProdLT(Main[[#This Row],[Comments]])=0.1,"N/A",IF(stdProdLT(Main[[#This Row],[Comments]])=0,"",stdProdLT(Main[[#This Row],[Comments]])))</f>
        <v/>
      </c>
      <c r="H1123" s="68" t="str">
        <f>IF(AND(Main[[#This Row],[In Stock Date]]&lt;&gt;"",Main[[#This Row],[Revised Due Date]]&lt;&gt;""),Main[[#This Row],[In Stock Date]]-Main[[#This Row],[Revised Due Date]],"")</f>
        <v/>
      </c>
      <c r="I1123" s="65" t="s">
        <v>530</v>
      </c>
      <c r="J1123" s="65" t="s">
        <v>52</v>
      </c>
      <c r="K1123" s="65" t="s">
        <v>1926</v>
      </c>
      <c r="L1123" s="67"/>
      <c r="M1123" s="69" t="str">
        <f>IF(Main[[#This Row],[Tech Start Date]]&lt;1/1/1990,"",IF(Main[[#This Row],[Class]]="C",WORKDAY(Main[[#This Row],[Tech Start Date]],9),IF(Main[[#This Row],[Class]]="B", WORKDAY(Main[[#This Row],[Tech Start Date]],6),IF(Main[[#This Row],[Class]]="A",WORKDAY(Main[[#This Row],[Tech Start Date]],2),""))))</f>
        <v/>
      </c>
      <c r="N1123" s="69" t="str">
        <f>IF(Main[[#This Row],[Tech Start Date]]&lt;1/1/1990,"",IF(Main[[#This Row],[Class]]="C",WORKDAY(Main[[#This Row],[Tech Start Date]],19),IF(Main[[#This Row],[Class]]="B", WORKDAY(Main[[#This Row],[Tech Start Date]],12),IF(Main[[#This Row],[Class]]="A",WORKDAY(Main[[#This Row],[Tech Start Date]],4),""))))</f>
        <v/>
      </c>
      <c r="O1123" s="69" t="str">
        <f>IF(Main[[#This Row],[Tech Start Date]]&lt;1/1/1990,"",IF(Main[[#This Row],[Class]]="C",WORKDAY(Main[[#This Row],[Tech Start Date]],23),IF(Main[[#This Row],[Class]]="B", WORKDAY(Main[[#This Row],[Tech Start Date]],15),IF(Main[[#This Row],[Class]]="A",WORKDAY(Main[[#This Row],[Tech Start Date]],5),""))))</f>
        <v/>
      </c>
      <c r="P1123" s="69" t="str">
        <f>IF(Main[[#This Row],[Tech Start Date]]&lt;1/1/1990,"",IF(Main[[#This Row],[Class]]="C",WORKDAY(Main[[#This Row],[Tech Start Date]],28),IF(Main[[#This Row],[Class]]="B", WORKDAY(Main[[#This Row],[Tech Start Date]],19),IF(Main[[#This Row],[Class]]="A",WORKDAY(Main[[#This Row],[Tech Start Date]],9),""))))</f>
        <v/>
      </c>
      <c r="Q1123" s="67"/>
      <c r="R1123" s="67"/>
      <c r="S1123" s="65" t="s">
        <v>6</v>
      </c>
      <c r="T1123" s="70" t="s">
        <v>4</v>
      </c>
      <c r="U1123" s="65" t="s">
        <v>29</v>
      </c>
      <c r="V1123" s="65" t="s">
        <v>1920</v>
      </c>
      <c r="W1123" s="65" t="s">
        <v>1921</v>
      </c>
      <c r="X1123" s="65" t="s">
        <v>2872</v>
      </c>
      <c r="Y1123" s="65" t="s">
        <v>3006</v>
      </c>
      <c r="Z1123" s="65" t="s">
        <v>30</v>
      </c>
      <c r="AA1123" s="65" t="s">
        <v>2872</v>
      </c>
    </row>
    <row r="1124" spans="1:27" ht="17.45" customHeight="1">
      <c r="A1124" s="131" t="str">
        <f>IF(priority(Main[[#This Row],[Comments]])&lt;&gt;0, priority(Main[[#This Row],[Comments]]),"")</f>
        <v/>
      </c>
      <c r="B1124" s="99" t="s">
        <v>2730</v>
      </c>
      <c r="C1124" s="65" t="s">
        <v>4</v>
      </c>
      <c r="D1124" s="66" t="s">
        <v>3220</v>
      </c>
      <c r="E1124" s="67">
        <v>40899.185671296298</v>
      </c>
      <c r="F1124" s="67"/>
      <c r="G1124" s="64" t="str">
        <f>IF(stdProdLT(Main[[#This Row],[Comments]])=0.1,"N/A",IF(stdProdLT(Main[[#This Row],[Comments]])=0,"",stdProdLT(Main[[#This Row],[Comments]])))</f>
        <v/>
      </c>
      <c r="H1124" s="68" t="str">
        <f>IF(AND(Main[[#This Row],[In Stock Date]]&lt;&gt;"",Main[[#This Row],[Revised Due Date]]&lt;&gt;""),Main[[#This Row],[In Stock Date]]-Main[[#This Row],[Revised Due Date]],"")</f>
        <v/>
      </c>
      <c r="I1124" s="65" t="s">
        <v>69</v>
      </c>
      <c r="J1124" s="65" t="s">
        <v>28</v>
      </c>
      <c r="K1124" s="65" t="s">
        <v>1926</v>
      </c>
      <c r="L1124" s="67"/>
      <c r="M1124" s="69" t="str">
        <f>IF(Main[[#This Row],[Tech Start Date]]&lt;1/1/1990,"",IF(Main[[#This Row],[Class]]="C",WORKDAY(Main[[#This Row],[Tech Start Date]],9),IF(Main[[#This Row],[Class]]="B", WORKDAY(Main[[#This Row],[Tech Start Date]],6),IF(Main[[#This Row],[Class]]="A",WORKDAY(Main[[#This Row],[Tech Start Date]],2),""))))</f>
        <v/>
      </c>
      <c r="N1124" s="69" t="str">
        <f>IF(Main[[#This Row],[Tech Start Date]]&lt;1/1/1990,"",IF(Main[[#This Row],[Class]]="C",WORKDAY(Main[[#This Row],[Tech Start Date]],19),IF(Main[[#This Row],[Class]]="B", WORKDAY(Main[[#This Row],[Tech Start Date]],12),IF(Main[[#This Row],[Class]]="A",WORKDAY(Main[[#This Row],[Tech Start Date]],4),""))))</f>
        <v/>
      </c>
      <c r="O1124" s="69" t="str">
        <f>IF(Main[[#This Row],[Tech Start Date]]&lt;1/1/1990,"",IF(Main[[#This Row],[Class]]="C",WORKDAY(Main[[#This Row],[Tech Start Date]],23),IF(Main[[#This Row],[Class]]="B", WORKDAY(Main[[#This Row],[Tech Start Date]],15),IF(Main[[#This Row],[Class]]="A",WORKDAY(Main[[#This Row],[Tech Start Date]],5),""))))</f>
        <v/>
      </c>
      <c r="P1124" s="69" t="str">
        <f>IF(Main[[#This Row],[Tech Start Date]]&lt;1/1/1990,"",IF(Main[[#This Row],[Class]]="C",WORKDAY(Main[[#This Row],[Tech Start Date]],28),IF(Main[[#This Row],[Class]]="B", WORKDAY(Main[[#This Row],[Tech Start Date]],19),IF(Main[[#This Row],[Class]]="A",WORKDAY(Main[[#This Row],[Tech Start Date]],9),""))))</f>
        <v/>
      </c>
      <c r="Q1124" s="67">
        <v>40931</v>
      </c>
      <c r="R1124" s="67"/>
      <c r="S1124" s="65" t="s">
        <v>6</v>
      </c>
      <c r="T1124" s="70" t="s">
        <v>4</v>
      </c>
      <c r="U1124" s="65" t="s">
        <v>29</v>
      </c>
      <c r="V1124" s="65" t="s">
        <v>1920</v>
      </c>
      <c r="W1124" s="65" t="s">
        <v>1921</v>
      </c>
      <c r="X1124" s="65" t="s">
        <v>2828</v>
      </c>
      <c r="Y1124" s="65" t="s">
        <v>2944</v>
      </c>
      <c r="Z1124" s="65" t="s">
        <v>30</v>
      </c>
      <c r="AA1124" s="65" t="s">
        <v>2828</v>
      </c>
    </row>
    <row r="1125" spans="1:27" ht="17.45" customHeight="1">
      <c r="A1125" s="131" t="str">
        <f>IF(priority(Main[[#This Row],[Comments]])&lt;&gt;0, priority(Main[[#This Row],[Comments]]),"")</f>
        <v/>
      </c>
      <c r="B1125" s="99" t="s">
        <v>2691</v>
      </c>
      <c r="C1125" s="65" t="s">
        <v>4</v>
      </c>
      <c r="D1125" s="66" t="s">
        <v>2692</v>
      </c>
      <c r="E1125" s="67">
        <v>40890.683576388888</v>
      </c>
      <c r="F1125" s="67"/>
      <c r="G1125" s="64" t="str">
        <f>IF(stdProdLT(Main[[#This Row],[Comments]])=0.1,"N/A",IF(stdProdLT(Main[[#This Row],[Comments]])=0,"",stdProdLT(Main[[#This Row],[Comments]])))</f>
        <v/>
      </c>
      <c r="H1125" s="68" t="str">
        <f>IF(AND(Main[[#This Row],[In Stock Date]]&lt;&gt;"",Main[[#This Row],[Revised Due Date]]&lt;&gt;""),Main[[#This Row],[In Stock Date]]-Main[[#This Row],[Revised Due Date]],"")</f>
        <v/>
      </c>
      <c r="I1125" s="65" t="s">
        <v>239</v>
      </c>
      <c r="J1125" s="65" t="s">
        <v>21</v>
      </c>
      <c r="K1125" s="65" t="s">
        <v>1926</v>
      </c>
      <c r="L1125" s="67"/>
      <c r="M1125" s="69" t="str">
        <f>IF(Main[[#This Row],[Tech Start Date]]&lt;1/1/1990,"",IF(Main[[#This Row],[Class]]="C",WORKDAY(Main[[#This Row],[Tech Start Date]],9),IF(Main[[#This Row],[Class]]="B", WORKDAY(Main[[#This Row],[Tech Start Date]],6),IF(Main[[#This Row],[Class]]="A",WORKDAY(Main[[#This Row],[Tech Start Date]],2),""))))</f>
        <v/>
      </c>
      <c r="N1125" s="69" t="str">
        <f>IF(Main[[#This Row],[Tech Start Date]]&lt;1/1/1990,"",IF(Main[[#This Row],[Class]]="C",WORKDAY(Main[[#This Row],[Tech Start Date]],19),IF(Main[[#This Row],[Class]]="B", WORKDAY(Main[[#This Row],[Tech Start Date]],12),IF(Main[[#This Row],[Class]]="A",WORKDAY(Main[[#This Row],[Tech Start Date]],4),""))))</f>
        <v/>
      </c>
      <c r="O1125" s="69" t="str">
        <f>IF(Main[[#This Row],[Tech Start Date]]&lt;1/1/1990,"",IF(Main[[#This Row],[Class]]="C",WORKDAY(Main[[#This Row],[Tech Start Date]],23),IF(Main[[#This Row],[Class]]="B", WORKDAY(Main[[#This Row],[Tech Start Date]],15),IF(Main[[#This Row],[Class]]="A",WORKDAY(Main[[#This Row],[Tech Start Date]],5),""))))</f>
        <v/>
      </c>
      <c r="P1125" s="69" t="str">
        <f>IF(Main[[#This Row],[Tech Start Date]]&lt;1/1/1990,"",IF(Main[[#This Row],[Class]]="C",WORKDAY(Main[[#This Row],[Tech Start Date]],28),IF(Main[[#This Row],[Class]]="B", WORKDAY(Main[[#This Row],[Tech Start Date]],19),IF(Main[[#This Row],[Class]]="A",WORKDAY(Main[[#This Row],[Tech Start Date]],9),""))))</f>
        <v/>
      </c>
      <c r="Q1125" s="67">
        <v>40939</v>
      </c>
      <c r="R1125" s="67"/>
      <c r="S1125" s="65" t="s">
        <v>6</v>
      </c>
      <c r="T1125" s="70" t="s">
        <v>4</v>
      </c>
      <c r="U1125" s="65" t="s">
        <v>29</v>
      </c>
      <c r="V1125" s="65" t="s">
        <v>1920</v>
      </c>
      <c r="W1125" s="65" t="s">
        <v>1921</v>
      </c>
      <c r="X1125" s="65" t="s">
        <v>767</v>
      </c>
      <c r="Y1125" s="65" t="s">
        <v>2941</v>
      </c>
      <c r="Z1125" s="65" t="s">
        <v>30</v>
      </c>
      <c r="AA1125" s="65" t="s">
        <v>767</v>
      </c>
    </row>
    <row r="1126" spans="1:27" ht="17.45" customHeight="1">
      <c r="A1126" s="131" t="str">
        <f>IF(priority(Main[[#This Row],[Comments]])&lt;&gt;0, priority(Main[[#This Row],[Comments]]),"")</f>
        <v/>
      </c>
      <c r="B1126" s="99" t="s">
        <v>2102</v>
      </c>
      <c r="C1126" s="65" t="s">
        <v>4</v>
      </c>
      <c r="D1126" s="66" t="s">
        <v>3280</v>
      </c>
      <c r="E1126" s="67">
        <v>40763.171296296299</v>
      </c>
      <c r="F1126" s="67"/>
      <c r="G1126" s="64" t="str">
        <f>IF(stdProdLT(Main[[#This Row],[Comments]])=0.1,"N/A",IF(stdProdLT(Main[[#This Row],[Comments]])=0,"",stdProdLT(Main[[#This Row],[Comments]])))</f>
        <v/>
      </c>
      <c r="H1126" s="68" t="str">
        <f>IF(AND(Main[[#This Row],[In Stock Date]]&lt;&gt;"",Main[[#This Row],[Revised Due Date]]&lt;&gt;""),Main[[#This Row],[In Stock Date]]-Main[[#This Row],[Revised Due Date]],"")</f>
        <v/>
      </c>
      <c r="I1126" s="65" t="s">
        <v>530</v>
      </c>
      <c r="J1126" s="65" t="s">
        <v>3281</v>
      </c>
      <c r="K1126" s="65" t="s">
        <v>1926</v>
      </c>
      <c r="L1126" s="67"/>
      <c r="M1126" s="69" t="str">
        <f>IF(Main[[#This Row],[Tech Start Date]]&lt;1/1/1990,"",IF(Main[[#This Row],[Class]]="C",WORKDAY(Main[[#This Row],[Tech Start Date]],9),IF(Main[[#This Row],[Class]]="B", WORKDAY(Main[[#This Row],[Tech Start Date]],6),IF(Main[[#This Row],[Class]]="A",WORKDAY(Main[[#This Row],[Tech Start Date]],2),""))))</f>
        <v/>
      </c>
      <c r="N1126" s="69" t="str">
        <f>IF(Main[[#This Row],[Tech Start Date]]&lt;1/1/1990,"",IF(Main[[#This Row],[Class]]="C",WORKDAY(Main[[#This Row],[Tech Start Date]],19),IF(Main[[#This Row],[Class]]="B", WORKDAY(Main[[#This Row],[Tech Start Date]],12),IF(Main[[#This Row],[Class]]="A",WORKDAY(Main[[#This Row],[Tech Start Date]],4),""))))</f>
        <v/>
      </c>
      <c r="O1126" s="69" t="str">
        <f>IF(Main[[#This Row],[Tech Start Date]]&lt;1/1/1990,"",IF(Main[[#This Row],[Class]]="C",WORKDAY(Main[[#This Row],[Tech Start Date]],23),IF(Main[[#This Row],[Class]]="B", WORKDAY(Main[[#This Row],[Tech Start Date]],15),IF(Main[[#This Row],[Class]]="A",WORKDAY(Main[[#This Row],[Tech Start Date]],5),""))))</f>
        <v/>
      </c>
      <c r="P1126" s="69" t="str">
        <f>IF(Main[[#This Row],[Tech Start Date]]&lt;1/1/1990,"",IF(Main[[#This Row],[Class]]="C",WORKDAY(Main[[#This Row],[Tech Start Date]],28),IF(Main[[#This Row],[Class]]="B", WORKDAY(Main[[#This Row],[Tech Start Date]],19),IF(Main[[#This Row],[Class]]="A",WORKDAY(Main[[#This Row],[Tech Start Date]],9),""))))</f>
        <v/>
      </c>
      <c r="Q1126" s="67">
        <v>40784</v>
      </c>
      <c r="R1126" s="67"/>
      <c r="S1126" s="65" t="s">
        <v>6</v>
      </c>
      <c r="T1126" s="70" t="s">
        <v>4</v>
      </c>
      <c r="U1126" s="65" t="s">
        <v>29</v>
      </c>
      <c r="V1126" s="65" t="s">
        <v>1920</v>
      </c>
      <c r="W1126" s="65" t="s">
        <v>1921</v>
      </c>
      <c r="X1126" s="65" t="s">
        <v>2857</v>
      </c>
      <c r="Y1126" s="65" t="s">
        <v>2992</v>
      </c>
      <c r="Z1126" s="65" t="s">
        <v>30</v>
      </c>
      <c r="AA1126" s="65" t="s">
        <v>2857</v>
      </c>
    </row>
    <row r="1127" spans="1:27" ht="17.45" customHeight="1">
      <c r="A1127" s="131" t="str">
        <f>IF(priority(Main[[#This Row],[Comments]])&lt;&gt;0, priority(Main[[#This Row],[Comments]]),"")</f>
        <v/>
      </c>
      <c r="B1127" s="99" t="s">
        <v>2459</v>
      </c>
      <c r="C1127" s="65" t="s">
        <v>4</v>
      </c>
      <c r="D1127" s="66" t="s">
        <v>2460</v>
      </c>
      <c r="E1127" s="67"/>
      <c r="F1127" s="67"/>
      <c r="G1127" s="64" t="str">
        <f>IF(stdProdLT(Main[[#This Row],[Comments]])=0.1,"N/A",IF(stdProdLT(Main[[#This Row],[Comments]])=0,"",stdProdLT(Main[[#This Row],[Comments]])))</f>
        <v/>
      </c>
      <c r="H1127" s="68" t="str">
        <f>IF(AND(Main[[#This Row],[In Stock Date]]&lt;&gt;"",Main[[#This Row],[Revised Due Date]]&lt;&gt;""),Main[[#This Row],[In Stock Date]]-Main[[#This Row],[Revised Due Date]],"")</f>
        <v/>
      </c>
      <c r="I1127" s="65" t="s">
        <v>530</v>
      </c>
      <c r="J1127" s="65" t="s">
        <v>28</v>
      </c>
      <c r="K1127" s="65" t="s">
        <v>1926</v>
      </c>
      <c r="L1127" s="67"/>
      <c r="M1127" s="69" t="str">
        <f>IF(Main[[#This Row],[Tech Start Date]]&lt;1/1/1990,"",IF(Main[[#This Row],[Class]]="C",WORKDAY(Main[[#This Row],[Tech Start Date]],9),IF(Main[[#This Row],[Class]]="B", WORKDAY(Main[[#This Row],[Tech Start Date]],6),IF(Main[[#This Row],[Class]]="A",WORKDAY(Main[[#This Row],[Tech Start Date]],2),""))))</f>
        <v/>
      </c>
      <c r="N1127" s="69" t="str">
        <f>IF(Main[[#This Row],[Tech Start Date]]&lt;1/1/1990,"",IF(Main[[#This Row],[Class]]="C",WORKDAY(Main[[#This Row],[Tech Start Date]],19),IF(Main[[#This Row],[Class]]="B", WORKDAY(Main[[#This Row],[Tech Start Date]],12),IF(Main[[#This Row],[Class]]="A",WORKDAY(Main[[#This Row],[Tech Start Date]],4),""))))</f>
        <v/>
      </c>
      <c r="O1127" s="69" t="str">
        <f>IF(Main[[#This Row],[Tech Start Date]]&lt;1/1/1990,"",IF(Main[[#This Row],[Class]]="C",WORKDAY(Main[[#This Row],[Tech Start Date]],23),IF(Main[[#This Row],[Class]]="B", WORKDAY(Main[[#This Row],[Tech Start Date]],15),IF(Main[[#This Row],[Class]]="A",WORKDAY(Main[[#This Row],[Tech Start Date]],5),""))))</f>
        <v/>
      </c>
      <c r="P1127" s="69" t="str">
        <f>IF(Main[[#This Row],[Tech Start Date]]&lt;1/1/1990,"",IF(Main[[#This Row],[Class]]="C",WORKDAY(Main[[#This Row],[Tech Start Date]],28),IF(Main[[#This Row],[Class]]="B", WORKDAY(Main[[#This Row],[Tech Start Date]],19),IF(Main[[#This Row],[Class]]="A",WORKDAY(Main[[#This Row],[Tech Start Date]],9),""))))</f>
        <v/>
      </c>
      <c r="Q1127" s="67">
        <v>40954</v>
      </c>
      <c r="R1127" s="67"/>
      <c r="S1127" s="65" t="s">
        <v>6</v>
      </c>
      <c r="T1127" s="70" t="s">
        <v>4</v>
      </c>
      <c r="U1127" s="65" t="s">
        <v>14</v>
      </c>
      <c r="V1127" s="65" t="s">
        <v>1920</v>
      </c>
      <c r="W1127" s="65" t="s">
        <v>1921</v>
      </c>
      <c r="X1127" s="65" t="s">
        <v>554</v>
      </c>
      <c r="Y1127" s="65" t="s">
        <v>2958</v>
      </c>
      <c r="Z1127" s="65" t="s">
        <v>30</v>
      </c>
      <c r="AA1127" s="65" t="s">
        <v>554</v>
      </c>
    </row>
    <row r="1128" spans="1:27" ht="17.45" customHeight="1">
      <c r="A1128" s="131" t="str">
        <f>IF(priority(Main[[#This Row],[Comments]])&lt;&gt;0, priority(Main[[#This Row],[Comments]]),"")</f>
        <v/>
      </c>
      <c r="B1128" s="99" t="s">
        <v>2461</v>
      </c>
      <c r="C1128" s="65" t="s">
        <v>113</v>
      </c>
      <c r="D1128" s="66" t="s">
        <v>2462</v>
      </c>
      <c r="E1128" s="67"/>
      <c r="F1128" s="67">
        <v>40841</v>
      </c>
      <c r="G1128" s="64" t="str">
        <f>IF(stdProdLT(Main[[#This Row],[Comments]])=0.1,"N/A",IF(stdProdLT(Main[[#This Row],[Comments]])=0,"",stdProdLT(Main[[#This Row],[Comments]])))</f>
        <v/>
      </c>
      <c r="H1128" s="68" t="str">
        <f>IF(AND(Main[[#This Row],[In Stock Date]]&lt;&gt;"",Main[[#This Row],[Revised Due Date]]&lt;&gt;""),Main[[#This Row],[In Stock Date]]-Main[[#This Row],[Revised Due Date]],"")</f>
        <v/>
      </c>
      <c r="I1128" s="65" t="s">
        <v>4</v>
      </c>
      <c r="J1128" s="65" t="s">
        <v>4</v>
      </c>
      <c r="K1128" s="65" t="s">
        <v>4</v>
      </c>
      <c r="L1128" s="67"/>
      <c r="M1128" s="69" t="str">
        <f>IF(Main[[#This Row],[Tech Start Date]]&lt;1/1/1990,"",IF(Main[[#This Row],[Class]]="C",WORKDAY(Main[[#This Row],[Tech Start Date]],9),IF(Main[[#This Row],[Class]]="B", WORKDAY(Main[[#This Row],[Tech Start Date]],6),IF(Main[[#This Row],[Class]]="A",WORKDAY(Main[[#This Row],[Tech Start Date]],2),""))))</f>
        <v/>
      </c>
      <c r="N1128" s="69" t="str">
        <f>IF(Main[[#This Row],[Tech Start Date]]&lt;1/1/1990,"",IF(Main[[#This Row],[Class]]="C",WORKDAY(Main[[#This Row],[Tech Start Date]],19),IF(Main[[#This Row],[Class]]="B", WORKDAY(Main[[#This Row],[Tech Start Date]],12),IF(Main[[#This Row],[Class]]="A",WORKDAY(Main[[#This Row],[Tech Start Date]],4),""))))</f>
        <v/>
      </c>
      <c r="O1128" s="69" t="str">
        <f>IF(Main[[#This Row],[Tech Start Date]]&lt;1/1/1990,"",IF(Main[[#This Row],[Class]]="C",WORKDAY(Main[[#This Row],[Tech Start Date]],23),IF(Main[[#This Row],[Class]]="B", WORKDAY(Main[[#This Row],[Tech Start Date]],15),IF(Main[[#This Row],[Class]]="A",WORKDAY(Main[[#This Row],[Tech Start Date]],5),""))))</f>
        <v/>
      </c>
      <c r="P1128" s="69" t="str">
        <f>IF(Main[[#This Row],[Tech Start Date]]&lt;1/1/1990,"",IF(Main[[#This Row],[Class]]="C",WORKDAY(Main[[#This Row],[Tech Start Date]],28),IF(Main[[#This Row],[Class]]="B", WORKDAY(Main[[#This Row],[Tech Start Date]],19),IF(Main[[#This Row],[Class]]="A",WORKDAY(Main[[#This Row],[Tech Start Date]],9),""))))</f>
        <v/>
      </c>
      <c r="Q1128" s="67"/>
      <c r="R1128" s="67"/>
      <c r="S1128" s="65" t="s">
        <v>11</v>
      </c>
      <c r="T1128" s="70" t="s">
        <v>4</v>
      </c>
      <c r="U1128" s="65" t="s">
        <v>12</v>
      </c>
      <c r="V1128" s="65" t="s">
        <v>1917</v>
      </c>
      <c r="W1128" s="65" t="s">
        <v>1919</v>
      </c>
      <c r="X1128" s="65" t="s">
        <v>2839</v>
      </c>
      <c r="Y1128" s="65" t="s">
        <v>2945</v>
      </c>
      <c r="Z1128" s="65" t="s">
        <v>4</v>
      </c>
      <c r="AA1128" s="65" t="s">
        <v>2839</v>
      </c>
    </row>
    <row r="1129" spans="1:27" ht="17.45" customHeight="1">
      <c r="A1129" s="131" t="str">
        <f>IF(priority(Main[[#This Row],[Comments]])&lt;&gt;0, priority(Main[[#This Row],[Comments]]),"")</f>
        <v/>
      </c>
      <c r="B1129" s="99" t="s">
        <v>3561</v>
      </c>
      <c r="C1129" s="65" t="s">
        <v>4</v>
      </c>
      <c r="D1129" s="66" t="s">
        <v>3562</v>
      </c>
      <c r="E1129" s="67">
        <v>40946.701331018521</v>
      </c>
      <c r="F1129" s="67"/>
      <c r="G1129" s="64" t="str">
        <f>IF(stdProdLT(Main[[#This Row],[Comments]])=0.1,"N/A",IF(stdProdLT(Main[[#This Row],[Comments]])=0,"",stdProdLT(Main[[#This Row],[Comments]])))</f>
        <v/>
      </c>
      <c r="H1129" s="68" t="str">
        <f>IF(AND(Main[[#This Row],[In Stock Date]]&lt;&gt;"",Main[[#This Row],[Revised Due Date]]&lt;&gt;""),Main[[#This Row],[In Stock Date]]-Main[[#This Row],[Revised Due Date]],"")</f>
        <v/>
      </c>
      <c r="I1129" s="65" t="s">
        <v>4</v>
      </c>
      <c r="J1129" s="65" t="s">
        <v>4</v>
      </c>
      <c r="K1129" s="71" t="s">
        <v>4</v>
      </c>
      <c r="L1129" s="67"/>
      <c r="M1129" s="69" t="str">
        <f>IF(Main[[#This Row],[Tech Start Date]]&lt;1/1/1990,"",IF(Main[[#This Row],[Class]]="C",WORKDAY(Main[[#This Row],[Tech Start Date]],9),IF(Main[[#This Row],[Class]]="B", WORKDAY(Main[[#This Row],[Tech Start Date]],6),IF(Main[[#This Row],[Class]]="A",WORKDAY(Main[[#This Row],[Tech Start Date]],2),""))))</f>
        <v/>
      </c>
      <c r="N1129" s="69" t="str">
        <f>IF(Main[[#This Row],[Tech Start Date]]&lt;1/1/1990,"",IF(Main[[#This Row],[Class]]="C",WORKDAY(Main[[#This Row],[Tech Start Date]],19),IF(Main[[#This Row],[Class]]="B", WORKDAY(Main[[#This Row],[Tech Start Date]],12),IF(Main[[#This Row],[Class]]="A",WORKDAY(Main[[#This Row],[Tech Start Date]],4),""))))</f>
        <v/>
      </c>
      <c r="O1129" s="69" t="str">
        <f>IF(Main[[#This Row],[Tech Start Date]]&lt;1/1/1990,"",IF(Main[[#This Row],[Class]]="C",WORKDAY(Main[[#This Row],[Tech Start Date]],23),IF(Main[[#This Row],[Class]]="B", WORKDAY(Main[[#This Row],[Tech Start Date]],15),IF(Main[[#This Row],[Class]]="A",WORKDAY(Main[[#This Row],[Tech Start Date]],5),""))))</f>
        <v/>
      </c>
      <c r="P1129" s="69" t="str">
        <f>IF(Main[[#This Row],[Tech Start Date]]&lt;1/1/1990,"",IF(Main[[#This Row],[Class]]="C",WORKDAY(Main[[#This Row],[Tech Start Date]],28),IF(Main[[#This Row],[Class]]="B", WORKDAY(Main[[#This Row],[Tech Start Date]],19),IF(Main[[#This Row],[Class]]="A",WORKDAY(Main[[#This Row],[Tech Start Date]],9),""))))</f>
        <v/>
      </c>
      <c r="Q1129" s="67">
        <v>40953</v>
      </c>
      <c r="R1129" s="67"/>
      <c r="S1129" s="65" t="s">
        <v>6</v>
      </c>
      <c r="T1129" s="70" t="s">
        <v>4</v>
      </c>
      <c r="U1129" s="65" t="s">
        <v>7</v>
      </c>
      <c r="V1129" s="65" t="s">
        <v>1917</v>
      </c>
      <c r="W1129" s="65" t="s">
        <v>1925</v>
      </c>
      <c r="X1129" s="65" t="s">
        <v>2827</v>
      </c>
      <c r="Y1129" s="65" t="s">
        <v>2942</v>
      </c>
      <c r="Z1129" s="65" t="s">
        <v>4</v>
      </c>
      <c r="AA1129" s="65" t="s">
        <v>2827</v>
      </c>
    </row>
    <row r="1130" spans="1:27" ht="17.45" customHeight="1">
      <c r="A1130" s="12" t="str">
        <f>IF(priority(Main[[#This Row],[Comments]])&lt;&gt;0, priority(Main[[#This Row],[Comments]]),"")</f>
        <v/>
      </c>
      <c r="B1130" s="99" t="s">
        <v>1849</v>
      </c>
      <c r="C1130" s="63" t="s">
        <v>67</v>
      </c>
      <c r="D1130" s="72" t="s">
        <v>904</v>
      </c>
      <c r="E1130" s="73">
        <v>39937.597453703704</v>
      </c>
      <c r="F1130" s="73">
        <v>40533</v>
      </c>
      <c r="G1130" s="63" t="str">
        <f>IF(stdProdLT(Main[[#This Row],[Comments]])=0.1,"N/A",IF(stdProdLT(Main[[#This Row],[Comments]])=0,"",stdProdLT(Main[[#This Row],[Comments]])))</f>
        <v/>
      </c>
      <c r="H1130" s="74">
        <f>IF(AND(Main[[#This Row],[In Stock Date]]&lt;&gt;"",Main[[#This Row],[Revised Due Date]]&lt;&gt;""),Main[[#This Row],[In Stock Date]]-Main[[#This Row],[Revised Due Date]],"")</f>
        <v>-342</v>
      </c>
      <c r="I1130" s="63" t="s">
        <v>74</v>
      </c>
      <c r="J1130" s="63" t="s">
        <v>28</v>
      </c>
      <c r="K1130" s="63" t="s">
        <v>1929</v>
      </c>
      <c r="L1130" s="73"/>
      <c r="M1130" s="69" t="str">
        <f>IF(Main[[#This Row],[Tech Start Date]]&lt;1/1/1990,"",IF(Main[[#This Row],[Class]]="C",WORKDAY(Main[[#This Row],[Tech Start Date]],9),IF(Main[[#This Row],[Class]]="B", WORKDAY(Main[[#This Row],[Tech Start Date]],6),IF(Main[[#This Row],[Class]]="A",WORKDAY(Main[[#This Row],[Tech Start Date]],2),""))))</f>
        <v/>
      </c>
      <c r="N1130" s="69" t="str">
        <f>IF(Main[[#This Row],[Tech Start Date]]&lt;1/1/1990,"",IF(Main[[#This Row],[Class]]="C",WORKDAY(Main[[#This Row],[Tech Start Date]],19),IF(Main[[#This Row],[Class]]="B", WORKDAY(Main[[#This Row],[Tech Start Date]],12),IF(Main[[#This Row],[Class]]="A",WORKDAY(Main[[#This Row],[Tech Start Date]],4),""))))</f>
        <v/>
      </c>
      <c r="O1130" s="69" t="str">
        <f>IF(Main[[#This Row],[Tech Start Date]]&lt;1/1/1990,"",IF(Main[[#This Row],[Class]]="C",WORKDAY(Main[[#This Row],[Tech Start Date]],23),IF(Main[[#This Row],[Class]]="B", WORKDAY(Main[[#This Row],[Tech Start Date]],15),IF(Main[[#This Row],[Class]]="A",WORKDAY(Main[[#This Row],[Tech Start Date]],5),""))))</f>
        <v/>
      </c>
      <c r="P1130" s="69" t="str">
        <f>IF(Main[[#This Row],[Tech Start Date]]&lt;1/1/1990,"",IF(Main[[#This Row],[Class]]="C",WORKDAY(Main[[#This Row],[Tech Start Date]],28),IF(Main[[#This Row],[Class]]="B", WORKDAY(Main[[#This Row],[Tech Start Date]],19),IF(Main[[#This Row],[Class]]="A",WORKDAY(Main[[#This Row],[Tech Start Date]],9),""))))</f>
        <v/>
      </c>
      <c r="Q1130" s="73"/>
      <c r="R1130" s="73">
        <v>40875</v>
      </c>
      <c r="S1130" s="63" t="s">
        <v>17</v>
      </c>
      <c r="T1130" s="75" t="s">
        <v>4</v>
      </c>
      <c r="U1130" s="63" t="s">
        <v>29</v>
      </c>
      <c r="V1130" s="63" t="s">
        <v>1920</v>
      </c>
      <c r="W1130" s="63" t="s">
        <v>1925</v>
      </c>
      <c r="X1130" s="63" t="s">
        <v>399</v>
      </c>
      <c r="Y1130" s="63" t="s">
        <v>4</v>
      </c>
      <c r="Z1130" s="63" t="s">
        <v>415</v>
      </c>
      <c r="AA1130" s="65" t="s">
        <v>3470</v>
      </c>
    </row>
    <row r="1131" spans="1:27" ht="17.45" customHeight="1">
      <c r="A1131" s="12" t="str">
        <f>IF(priority(Main[[#This Row],[Comments]])&lt;&gt;0, priority(Main[[#This Row],[Comments]]),"")</f>
        <v/>
      </c>
      <c r="B1131" s="99" t="s">
        <v>2496</v>
      </c>
      <c r="C1131" s="63" t="s">
        <v>4</v>
      </c>
      <c r="D1131" s="72" t="s">
        <v>2497</v>
      </c>
      <c r="E1131" s="73"/>
      <c r="F1131" s="73"/>
      <c r="G1131" s="63" t="str">
        <f>IF(stdProdLT(Main[[#This Row],[Comments]])=0.1,"N/A",IF(stdProdLT(Main[[#This Row],[Comments]])=0,"",stdProdLT(Main[[#This Row],[Comments]])))</f>
        <v/>
      </c>
      <c r="H1131" s="74" t="str">
        <f>IF(AND(Main[[#This Row],[In Stock Date]]&lt;&gt;"",Main[[#This Row],[Revised Due Date]]&lt;&gt;""),Main[[#This Row],[In Stock Date]]-Main[[#This Row],[Revised Due Date]],"")</f>
        <v/>
      </c>
      <c r="I1131" s="63" t="s">
        <v>530</v>
      </c>
      <c r="J1131" s="63" t="s">
        <v>21</v>
      </c>
      <c r="K1131" s="63" t="s">
        <v>1926</v>
      </c>
      <c r="L1131" s="73"/>
      <c r="M1131" s="69" t="str">
        <f>IF(Main[[#This Row],[Tech Start Date]]&lt;1/1/1990,"",IF(Main[[#This Row],[Class]]="C",WORKDAY(Main[[#This Row],[Tech Start Date]],9),IF(Main[[#This Row],[Class]]="B", WORKDAY(Main[[#This Row],[Tech Start Date]],6),IF(Main[[#This Row],[Class]]="A",WORKDAY(Main[[#This Row],[Tech Start Date]],2),""))))</f>
        <v/>
      </c>
      <c r="N1131" s="69" t="str">
        <f>IF(Main[[#This Row],[Tech Start Date]]&lt;1/1/1990,"",IF(Main[[#This Row],[Class]]="C",WORKDAY(Main[[#This Row],[Tech Start Date]],19),IF(Main[[#This Row],[Class]]="B", WORKDAY(Main[[#This Row],[Tech Start Date]],12),IF(Main[[#This Row],[Class]]="A",WORKDAY(Main[[#This Row],[Tech Start Date]],4),""))))</f>
        <v/>
      </c>
      <c r="O1131" s="69" t="str">
        <f>IF(Main[[#This Row],[Tech Start Date]]&lt;1/1/1990,"",IF(Main[[#This Row],[Class]]="C",WORKDAY(Main[[#This Row],[Tech Start Date]],23),IF(Main[[#This Row],[Class]]="B", WORKDAY(Main[[#This Row],[Tech Start Date]],15),IF(Main[[#This Row],[Class]]="A",WORKDAY(Main[[#This Row],[Tech Start Date]],5),""))))</f>
        <v/>
      </c>
      <c r="P1131" s="69" t="str">
        <f>IF(Main[[#This Row],[Tech Start Date]]&lt;1/1/1990,"",IF(Main[[#This Row],[Class]]="C",WORKDAY(Main[[#This Row],[Tech Start Date]],28),IF(Main[[#This Row],[Class]]="B", WORKDAY(Main[[#This Row],[Tech Start Date]],19),IF(Main[[#This Row],[Class]]="A",WORKDAY(Main[[#This Row],[Tech Start Date]],9),""))))</f>
        <v/>
      </c>
      <c r="Q1131" s="73">
        <v>40939</v>
      </c>
      <c r="R1131" s="73"/>
      <c r="S1131" s="63" t="s">
        <v>6</v>
      </c>
      <c r="T1131" s="75" t="s">
        <v>4</v>
      </c>
      <c r="U1131" s="63" t="s">
        <v>14</v>
      </c>
      <c r="V1131" s="63" t="s">
        <v>1920</v>
      </c>
      <c r="W1131" s="63" t="s">
        <v>1921</v>
      </c>
      <c r="X1131" s="63" t="s">
        <v>554</v>
      </c>
      <c r="Y1131" s="63" t="s">
        <v>2958</v>
      </c>
      <c r="Z1131" s="63" t="s">
        <v>30</v>
      </c>
      <c r="AA1131" s="65" t="s">
        <v>554</v>
      </c>
    </row>
    <row r="1132" spans="1:27" ht="17.45" customHeight="1">
      <c r="A1132" s="12" t="str">
        <f>IF(priority(Main[[#This Row],[Comments]])&lt;&gt;0, priority(Main[[#This Row],[Comments]]),"")</f>
        <v/>
      </c>
      <c r="B1132" s="99" t="s">
        <v>2465</v>
      </c>
      <c r="C1132" s="63" t="s">
        <v>4</v>
      </c>
      <c r="D1132" s="72" t="s">
        <v>2679</v>
      </c>
      <c r="E1132" s="73">
        <v>40865.334965277776</v>
      </c>
      <c r="F1132" s="73"/>
      <c r="G1132" s="63" t="str">
        <f>IF(stdProdLT(Main[[#This Row],[Comments]])=0.1,"N/A",IF(stdProdLT(Main[[#This Row],[Comments]])=0,"",stdProdLT(Main[[#This Row],[Comments]])))</f>
        <v/>
      </c>
      <c r="H1132" s="74" t="str">
        <f>IF(AND(Main[[#This Row],[In Stock Date]]&lt;&gt;"",Main[[#This Row],[Revised Due Date]]&lt;&gt;""),Main[[#This Row],[In Stock Date]]-Main[[#This Row],[Revised Due Date]],"")</f>
        <v/>
      </c>
      <c r="I1132" s="63" t="s">
        <v>4</v>
      </c>
      <c r="J1132" s="63" t="s">
        <v>4</v>
      </c>
      <c r="K1132" s="63" t="s">
        <v>4</v>
      </c>
      <c r="L1132" s="73"/>
      <c r="M1132" s="69" t="str">
        <f>IF(Main[[#This Row],[Tech Start Date]]&lt;1/1/1990,"",IF(Main[[#This Row],[Class]]="C",WORKDAY(Main[[#This Row],[Tech Start Date]],9),IF(Main[[#This Row],[Class]]="B", WORKDAY(Main[[#This Row],[Tech Start Date]],6),IF(Main[[#This Row],[Class]]="A",WORKDAY(Main[[#This Row],[Tech Start Date]],2),""))))</f>
        <v/>
      </c>
      <c r="N1132" s="69" t="str">
        <f>IF(Main[[#This Row],[Tech Start Date]]&lt;1/1/1990,"",IF(Main[[#This Row],[Class]]="C",WORKDAY(Main[[#This Row],[Tech Start Date]],19),IF(Main[[#This Row],[Class]]="B", WORKDAY(Main[[#This Row],[Tech Start Date]],12),IF(Main[[#This Row],[Class]]="A",WORKDAY(Main[[#This Row],[Tech Start Date]],4),""))))</f>
        <v/>
      </c>
      <c r="O1132" s="69" t="str">
        <f>IF(Main[[#This Row],[Tech Start Date]]&lt;1/1/1990,"",IF(Main[[#This Row],[Class]]="C",WORKDAY(Main[[#This Row],[Tech Start Date]],23),IF(Main[[#This Row],[Class]]="B", WORKDAY(Main[[#This Row],[Tech Start Date]],15),IF(Main[[#This Row],[Class]]="A",WORKDAY(Main[[#This Row],[Tech Start Date]],5),""))))</f>
        <v/>
      </c>
      <c r="P1132" s="69" t="str">
        <f>IF(Main[[#This Row],[Tech Start Date]]&lt;1/1/1990,"",IF(Main[[#This Row],[Class]]="C",WORKDAY(Main[[#This Row],[Tech Start Date]],28),IF(Main[[#This Row],[Class]]="B", WORKDAY(Main[[#This Row],[Tech Start Date]],19),IF(Main[[#This Row],[Class]]="A",WORKDAY(Main[[#This Row],[Tech Start Date]],9),""))))</f>
        <v/>
      </c>
      <c r="Q1132" s="73"/>
      <c r="R1132" s="73"/>
      <c r="S1132" s="63" t="s">
        <v>6</v>
      </c>
      <c r="T1132" s="75" t="s">
        <v>4</v>
      </c>
      <c r="U1132" s="63" t="s">
        <v>7</v>
      </c>
      <c r="V1132" s="63" t="s">
        <v>1917</v>
      </c>
      <c r="W1132" s="63" t="s">
        <v>1921</v>
      </c>
      <c r="X1132" s="63" t="s">
        <v>102</v>
      </c>
      <c r="Y1132" s="63" t="s">
        <v>3086</v>
      </c>
      <c r="Z1132" s="63" t="s">
        <v>4</v>
      </c>
      <c r="AA1132" s="65" t="s">
        <v>3397</v>
      </c>
    </row>
    <row r="1133" spans="1:27" ht="17.45" customHeight="1">
      <c r="A1133" s="12" t="str">
        <f>IF(priority(Main[[#This Row],[Comments]])&lt;&gt;0, priority(Main[[#This Row],[Comments]]),"")</f>
        <v/>
      </c>
      <c r="B1133" s="99" t="s">
        <v>2720</v>
      </c>
      <c r="C1133" s="63" t="s">
        <v>4</v>
      </c>
      <c r="D1133" s="72" t="s">
        <v>3677</v>
      </c>
      <c r="E1133" s="73">
        <v>40917.685127314813</v>
      </c>
      <c r="F1133" s="73"/>
      <c r="G1133" s="63" t="str">
        <f>IF(stdProdLT(Main[[#This Row],[Comments]])=0.1,"N/A",IF(stdProdLT(Main[[#This Row],[Comments]])=0,"",stdProdLT(Main[[#This Row],[Comments]])))</f>
        <v/>
      </c>
      <c r="H1133" s="74" t="str">
        <f>IF(AND(Main[[#This Row],[In Stock Date]]&lt;&gt;"",Main[[#This Row],[Revised Due Date]]&lt;&gt;""),Main[[#This Row],[In Stock Date]]-Main[[#This Row],[Revised Due Date]],"")</f>
        <v/>
      </c>
      <c r="I1133" s="63" t="s">
        <v>69</v>
      </c>
      <c r="J1133" s="63" t="s">
        <v>70</v>
      </c>
      <c r="K1133" s="63" t="s">
        <v>1926</v>
      </c>
      <c r="L1133" s="73"/>
      <c r="M1133" s="69" t="str">
        <f>IF(Main[[#This Row],[Tech Start Date]]&lt;1/1/1990,"",IF(Main[[#This Row],[Class]]="C",WORKDAY(Main[[#This Row],[Tech Start Date]],9),IF(Main[[#This Row],[Class]]="B", WORKDAY(Main[[#This Row],[Tech Start Date]],6),IF(Main[[#This Row],[Class]]="A",WORKDAY(Main[[#This Row],[Tech Start Date]],2),""))))</f>
        <v/>
      </c>
      <c r="N1133" s="69" t="str">
        <f>IF(Main[[#This Row],[Tech Start Date]]&lt;1/1/1990,"",IF(Main[[#This Row],[Class]]="C",WORKDAY(Main[[#This Row],[Tech Start Date]],19),IF(Main[[#This Row],[Class]]="B", WORKDAY(Main[[#This Row],[Tech Start Date]],12),IF(Main[[#This Row],[Class]]="A",WORKDAY(Main[[#This Row],[Tech Start Date]],4),""))))</f>
        <v/>
      </c>
      <c r="O1133" s="69" t="str">
        <f>IF(Main[[#This Row],[Tech Start Date]]&lt;1/1/1990,"",IF(Main[[#This Row],[Class]]="C",WORKDAY(Main[[#This Row],[Tech Start Date]],23),IF(Main[[#This Row],[Class]]="B", WORKDAY(Main[[#This Row],[Tech Start Date]],15),IF(Main[[#This Row],[Class]]="A",WORKDAY(Main[[#This Row],[Tech Start Date]],5),""))))</f>
        <v/>
      </c>
      <c r="P1133" s="69" t="str">
        <f>IF(Main[[#This Row],[Tech Start Date]]&lt;1/1/1990,"",IF(Main[[#This Row],[Class]]="C",WORKDAY(Main[[#This Row],[Tech Start Date]],28),IF(Main[[#This Row],[Class]]="B", WORKDAY(Main[[#This Row],[Tech Start Date]],19),IF(Main[[#This Row],[Class]]="A",WORKDAY(Main[[#This Row],[Tech Start Date]],9),""))))</f>
        <v/>
      </c>
      <c r="Q1133" s="73"/>
      <c r="R1133" s="73"/>
      <c r="S1133" s="63" t="s">
        <v>6</v>
      </c>
      <c r="T1133" s="75" t="s">
        <v>4</v>
      </c>
      <c r="U1133" s="63" t="s">
        <v>29</v>
      </c>
      <c r="V1133" s="63" t="s">
        <v>1920</v>
      </c>
      <c r="W1133" s="63" t="s">
        <v>1921</v>
      </c>
      <c r="X1133" s="63" t="s">
        <v>2871</v>
      </c>
      <c r="Y1133" s="63" t="s">
        <v>3016</v>
      </c>
      <c r="Z1133" s="63" t="s">
        <v>81</v>
      </c>
      <c r="AA1133" s="65" t="s">
        <v>2871</v>
      </c>
    </row>
    <row r="1134" spans="1:27" ht="17.45" customHeight="1">
      <c r="A1134" s="12" t="str">
        <f>IF(priority(Main[[#This Row],[Comments]])&lt;&gt;0, priority(Main[[#This Row],[Comments]]),"")</f>
        <v/>
      </c>
      <c r="B1134" s="99" t="s">
        <v>3222</v>
      </c>
      <c r="C1134" s="63" t="s">
        <v>4</v>
      </c>
      <c r="D1134" s="72" t="s">
        <v>3673</v>
      </c>
      <c r="E1134" s="73">
        <v>40921.629143518519</v>
      </c>
      <c r="F1134" s="73"/>
      <c r="G1134" s="63" t="str">
        <f>IF(stdProdLT(Main[[#This Row],[Comments]])=0.1,"N/A",IF(stdProdLT(Main[[#This Row],[Comments]])=0,"",stdProdLT(Main[[#This Row],[Comments]])))</f>
        <v/>
      </c>
      <c r="H1134" s="74" t="str">
        <f>IF(AND(Main[[#This Row],[In Stock Date]]&lt;&gt;"",Main[[#This Row],[Revised Due Date]]&lt;&gt;""),Main[[#This Row],[In Stock Date]]-Main[[#This Row],[Revised Due Date]],"")</f>
        <v/>
      </c>
      <c r="I1134" s="63" t="s">
        <v>2054</v>
      </c>
      <c r="J1134" s="63" t="s">
        <v>28</v>
      </c>
      <c r="K1134" s="63" t="s">
        <v>1926</v>
      </c>
      <c r="L1134" s="73"/>
      <c r="M1134" s="69" t="str">
        <f>IF(Main[[#This Row],[Tech Start Date]]&lt;1/1/1990,"",IF(Main[[#This Row],[Class]]="C",WORKDAY(Main[[#This Row],[Tech Start Date]],9),IF(Main[[#This Row],[Class]]="B", WORKDAY(Main[[#This Row],[Tech Start Date]],6),IF(Main[[#This Row],[Class]]="A",WORKDAY(Main[[#This Row],[Tech Start Date]],2),""))))</f>
        <v/>
      </c>
      <c r="N1134" s="69" t="str">
        <f>IF(Main[[#This Row],[Tech Start Date]]&lt;1/1/1990,"",IF(Main[[#This Row],[Class]]="C",WORKDAY(Main[[#This Row],[Tech Start Date]],19),IF(Main[[#This Row],[Class]]="B", WORKDAY(Main[[#This Row],[Tech Start Date]],12),IF(Main[[#This Row],[Class]]="A",WORKDAY(Main[[#This Row],[Tech Start Date]],4),""))))</f>
        <v/>
      </c>
      <c r="O1134" s="69" t="str">
        <f>IF(Main[[#This Row],[Tech Start Date]]&lt;1/1/1990,"",IF(Main[[#This Row],[Class]]="C",WORKDAY(Main[[#This Row],[Tech Start Date]],23),IF(Main[[#This Row],[Class]]="B", WORKDAY(Main[[#This Row],[Tech Start Date]],15),IF(Main[[#This Row],[Class]]="A",WORKDAY(Main[[#This Row],[Tech Start Date]],5),""))))</f>
        <v/>
      </c>
      <c r="P1134" s="69" t="str">
        <f>IF(Main[[#This Row],[Tech Start Date]]&lt;1/1/1990,"",IF(Main[[#This Row],[Class]]="C",WORKDAY(Main[[#This Row],[Tech Start Date]],28),IF(Main[[#This Row],[Class]]="B", WORKDAY(Main[[#This Row],[Tech Start Date]],19),IF(Main[[#This Row],[Class]]="A",WORKDAY(Main[[#This Row],[Tech Start Date]],9),""))))</f>
        <v/>
      </c>
      <c r="Q1134" s="73"/>
      <c r="R1134" s="73"/>
      <c r="S1134" s="63" t="s">
        <v>6</v>
      </c>
      <c r="T1134" s="75" t="s">
        <v>4</v>
      </c>
      <c r="U1134" s="63" t="s">
        <v>29</v>
      </c>
      <c r="V1134" s="63" t="s">
        <v>1927</v>
      </c>
      <c r="W1134" s="63" t="s">
        <v>1921</v>
      </c>
      <c r="X1134" s="63" t="s">
        <v>306</v>
      </c>
      <c r="Y1134" s="63" t="s">
        <v>4</v>
      </c>
      <c r="Z1134" s="63" t="s">
        <v>30</v>
      </c>
      <c r="AA1134" s="65" t="s">
        <v>4</v>
      </c>
    </row>
    <row r="1135" spans="1:27" ht="17.45" customHeight="1">
      <c r="A1135" s="131" t="str">
        <f>IF(priority(Main[[#This Row],[Comments]])&lt;&gt;0, priority(Main[[#This Row],[Comments]]),"")</f>
        <v/>
      </c>
      <c r="B1135" s="99" t="s">
        <v>3674</v>
      </c>
      <c r="C1135" s="65" t="s">
        <v>4</v>
      </c>
      <c r="D1135" s="66" t="s">
        <v>3675</v>
      </c>
      <c r="E1135" s="67">
        <v>40962.575243055559</v>
      </c>
      <c r="F1135" s="67"/>
      <c r="G1135" s="64" t="str">
        <f>IF(stdProdLT(Main[[#This Row],[Comments]])=0.1,"N/A",IF(stdProdLT(Main[[#This Row],[Comments]])=0,"",stdProdLT(Main[[#This Row],[Comments]])))</f>
        <v/>
      </c>
      <c r="H1135" s="68" t="str">
        <f>IF(AND(Main[[#This Row],[In Stock Date]]&lt;&gt;"",Main[[#This Row],[Revised Due Date]]&lt;&gt;""),Main[[#This Row],[In Stock Date]]-Main[[#This Row],[Revised Due Date]],"")</f>
        <v/>
      </c>
      <c r="I1135" s="65" t="s">
        <v>2054</v>
      </c>
      <c r="J1135" s="65" t="s">
        <v>28</v>
      </c>
      <c r="K1135" s="65" t="s">
        <v>4</v>
      </c>
      <c r="L1135" s="67"/>
      <c r="M1135" s="69" t="str">
        <f>IF(Main[[#This Row],[Tech Start Date]]&lt;1/1/1990,"",IF(Main[[#This Row],[Class]]="C",WORKDAY(Main[[#This Row],[Tech Start Date]],9),IF(Main[[#This Row],[Class]]="B", WORKDAY(Main[[#This Row],[Tech Start Date]],6),IF(Main[[#This Row],[Class]]="A",WORKDAY(Main[[#This Row],[Tech Start Date]],2),""))))</f>
        <v/>
      </c>
      <c r="N1135" s="69" t="str">
        <f>IF(Main[[#This Row],[Tech Start Date]]&lt;1/1/1990,"",IF(Main[[#This Row],[Class]]="C",WORKDAY(Main[[#This Row],[Tech Start Date]],19),IF(Main[[#This Row],[Class]]="B", WORKDAY(Main[[#This Row],[Tech Start Date]],12),IF(Main[[#This Row],[Class]]="A",WORKDAY(Main[[#This Row],[Tech Start Date]],4),""))))</f>
        <v/>
      </c>
      <c r="O1135" s="69" t="str">
        <f>IF(Main[[#This Row],[Tech Start Date]]&lt;1/1/1990,"",IF(Main[[#This Row],[Class]]="C",WORKDAY(Main[[#This Row],[Tech Start Date]],23),IF(Main[[#This Row],[Class]]="B", WORKDAY(Main[[#This Row],[Tech Start Date]],15),IF(Main[[#This Row],[Class]]="A",WORKDAY(Main[[#This Row],[Tech Start Date]],5),""))))</f>
        <v/>
      </c>
      <c r="P1135" s="69" t="str">
        <f>IF(Main[[#This Row],[Tech Start Date]]&lt;1/1/1990,"",IF(Main[[#This Row],[Class]]="C",WORKDAY(Main[[#This Row],[Tech Start Date]],28),IF(Main[[#This Row],[Class]]="B", WORKDAY(Main[[#This Row],[Tech Start Date]],19),IF(Main[[#This Row],[Class]]="A",WORKDAY(Main[[#This Row],[Tech Start Date]],9),""))))</f>
        <v/>
      </c>
      <c r="Q1135" s="67">
        <v>40998</v>
      </c>
      <c r="R1135" s="67"/>
      <c r="S1135" s="65" t="s">
        <v>6</v>
      </c>
      <c r="T1135" s="70" t="s">
        <v>4</v>
      </c>
      <c r="U1135" s="65" t="s">
        <v>29</v>
      </c>
      <c r="V1135" s="65" t="s">
        <v>1927</v>
      </c>
      <c r="W1135" s="65" t="s">
        <v>1921</v>
      </c>
      <c r="X1135" s="65" t="s">
        <v>2824</v>
      </c>
      <c r="Y1135" s="65" t="s">
        <v>2935</v>
      </c>
      <c r="Z1135" s="65" t="s">
        <v>30</v>
      </c>
      <c r="AA1135" s="65" t="s">
        <v>2824</v>
      </c>
    </row>
    <row r="1136" spans="1:27" ht="17.45" customHeight="1">
      <c r="A1136" s="131" t="str">
        <f>IF(priority(Main[[#This Row],[Comments]])&lt;&gt;0, priority(Main[[#This Row],[Comments]]),"")</f>
        <v/>
      </c>
      <c r="B1136" s="99" t="s">
        <v>2408</v>
      </c>
      <c r="C1136" s="65" t="s">
        <v>4</v>
      </c>
      <c r="D1136" s="66" t="s">
        <v>2409</v>
      </c>
      <c r="E1136" s="67">
        <v>40820.81591435185</v>
      </c>
      <c r="F1136" s="67"/>
      <c r="G1136" s="64" t="str">
        <f>IF(stdProdLT(Main[[#This Row],[Comments]])=0.1,"N/A",IF(stdProdLT(Main[[#This Row],[Comments]])=0,"",stdProdLT(Main[[#This Row],[Comments]])))</f>
        <v/>
      </c>
      <c r="H1136" s="68" t="str">
        <f>IF(AND(Main[[#This Row],[In Stock Date]]&lt;&gt;"",Main[[#This Row],[Revised Due Date]]&lt;&gt;""),Main[[#This Row],[In Stock Date]]-Main[[#This Row],[Revised Due Date]],"")</f>
        <v/>
      </c>
      <c r="I1136" s="65" t="s">
        <v>239</v>
      </c>
      <c r="J1136" s="65" t="s">
        <v>28</v>
      </c>
      <c r="K1136" s="65" t="s">
        <v>1926</v>
      </c>
      <c r="L1136" s="67"/>
      <c r="M1136" s="69" t="str">
        <f>IF(Main[[#This Row],[Tech Start Date]]&lt;1/1/1990,"",IF(Main[[#This Row],[Class]]="C",WORKDAY(Main[[#This Row],[Tech Start Date]],9),IF(Main[[#This Row],[Class]]="B", WORKDAY(Main[[#This Row],[Tech Start Date]],6),IF(Main[[#This Row],[Class]]="A",WORKDAY(Main[[#This Row],[Tech Start Date]],2),""))))</f>
        <v/>
      </c>
      <c r="N1136" s="69" t="str">
        <f>IF(Main[[#This Row],[Tech Start Date]]&lt;1/1/1990,"",IF(Main[[#This Row],[Class]]="C",WORKDAY(Main[[#This Row],[Tech Start Date]],19),IF(Main[[#This Row],[Class]]="B", WORKDAY(Main[[#This Row],[Tech Start Date]],12),IF(Main[[#This Row],[Class]]="A",WORKDAY(Main[[#This Row],[Tech Start Date]],4),""))))</f>
        <v/>
      </c>
      <c r="O1136" s="69" t="str">
        <f>IF(Main[[#This Row],[Tech Start Date]]&lt;1/1/1990,"",IF(Main[[#This Row],[Class]]="C",WORKDAY(Main[[#This Row],[Tech Start Date]],23),IF(Main[[#This Row],[Class]]="B", WORKDAY(Main[[#This Row],[Tech Start Date]],15),IF(Main[[#This Row],[Class]]="A",WORKDAY(Main[[#This Row],[Tech Start Date]],5),""))))</f>
        <v/>
      </c>
      <c r="P1136" s="69" t="str">
        <f>IF(Main[[#This Row],[Tech Start Date]]&lt;1/1/1990,"",IF(Main[[#This Row],[Class]]="C",WORKDAY(Main[[#This Row],[Tech Start Date]],28),IF(Main[[#This Row],[Class]]="B", WORKDAY(Main[[#This Row],[Tech Start Date]],19),IF(Main[[#This Row],[Class]]="A",WORKDAY(Main[[#This Row],[Tech Start Date]],9),""))))</f>
        <v/>
      </c>
      <c r="Q1136" s="67">
        <v>40847</v>
      </c>
      <c r="R1136" s="67"/>
      <c r="S1136" s="65" t="s">
        <v>6</v>
      </c>
      <c r="T1136" s="70" t="s">
        <v>4</v>
      </c>
      <c r="U1136" s="65" t="s">
        <v>29</v>
      </c>
      <c r="V1136" s="65" t="s">
        <v>1920</v>
      </c>
      <c r="W1136" s="65" t="s">
        <v>1921</v>
      </c>
      <c r="X1136" s="65" t="s">
        <v>30</v>
      </c>
      <c r="Y1136" s="65" t="s">
        <v>2946</v>
      </c>
      <c r="Z1136" s="65" t="s">
        <v>30</v>
      </c>
      <c r="AA1136" s="65" t="s">
        <v>30</v>
      </c>
    </row>
    <row r="1137" spans="1:27" ht="17.45" customHeight="1">
      <c r="A1137" s="131" t="str">
        <f>IF(priority(Main[[#This Row],[Comments]])&lt;&gt;0, priority(Main[[#This Row],[Comments]]),"")</f>
        <v/>
      </c>
      <c r="B1137" s="99" t="s">
        <v>3676</v>
      </c>
      <c r="C1137" s="65" t="s">
        <v>3611</v>
      </c>
      <c r="D1137" s="66" t="s">
        <v>3612</v>
      </c>
      <c r="E1137" s="67"/>
      <c r="F1137" s="67">
        <v>40982</v>
      </c>
      <c r="G1137" s="64" t="str">
        <f>IF(stdProdLT(Main[[#This Row],[Comments]])=0.1,"N/A",IF(stdProdLT(Main[[#This Row],[Comments]])=0,"",stdProdLT(Main[[#This Row],[Comments]])))</f>
        <v/>
      </c>
      <c r="H1137" s="68" t="str">
        <f>IF(AND(Main[[#This Row],[In Stock Date]]&lt;&gt;"",Main[[#This Row],[Revised Due Date]]&lt;&gt;""),Main[[#This Row],[In Stock Date]]-Main[[#This Row],[Revised Due Date]],"")</f>
        <v/>
      </c>
      <c r="I1137" s="65" t="s">
        <v>4</v>
      </c>
      <c r="J1137" s="65" t="s">
        <v>4</v>
      </c>
      <c r="K1137" s="65" t="s">
        <v>4</v>
      </c>
      <c r="L1137" s="67"/>
      <c r="M1137" s="69" t="str">
        <f>IF(Main[[#This Row],[Tech Start Date]]&lt;1/1/1990,"",IF(Main[[#This Row],[Class]]="C",WORKDAY(Main[[#This Row],[Tech Start Date]],9),IF(Main[[#This Row],[Class]]="B", WORKDAY(Main[[#This Row],[Tech Start Date]],6),IF(Main[[#This Row],[Class]]="A",WORKDAY(Main[[#This Row],[Tech Start Date]],2),""))))</f>
        <v/>
      </c>
      <c r="N1137" s="69" t="str">
        <f>IF(Main[[#This Row],[Tech Start Date]]&lt;1/1/1990,"",IF(Main[[#This Row],[Class]]="C",WORKDAY(Main[[#This Row],[Tech Start Date]],19),IF(Main[[#This Row],[Class]]="B", WORKDAY(Main[[#This Row],[Tech Start Date]],12),IF(Main[[#This Row],[Class]]="A",WORKDAY(Main[[#This Row],[Tech Start Date]],4),""))))</f>
        <v/>
      </c>
      <c r="O1137" s="69" t="str">
        <f>IF(Main[[#This Row],[Tech Start Date]]&lt;1/1/1990,"",IF(Main[[#This Row],[Class]]="C",WORKDAY(Main[[#This Row],[Tech Start Date]],23),IF(Main[[#This Row],[Class]]="B", WORKDAY(Main[[#This Row],[Tech Start Date]],15),IF(Main[[#This Row],[Class]]="A",WORKDAY(Main[[#This Row],[Tech Start Date]],5),""))))</f>
        <v/>
      </c>
      <c r="P1137" s="69" t="str">
        <f>IF(Main[[#This Row],[Tech Start Date]]&lt;1/1/1990,"",IF(Main[[#This Row],[Class]]="C",WORKDAY(Main[[#This Row],[Tech Start Date]],28),IF(Main[[#This Row],[Class]]="B", WORKDAY(Main[[#This Row],[Tech Start Date]],19),IF(Main[[#This Row],[Class]]="A",WORKDAY(Main[[#This Row],[Tech Start Date]],9),""))))</f>
        <v/>
      </c>
      <c r="Q1137" s="67"/>
      <c r="R1137" s="67"/>
      <c r="S1137" s="65" t="s">
        <v>11</v>
      </c>
      <c r="T1137" s="70" t="s">
        <v>4</v>
      </c>
      <c r="U1137" s="65" t="s">
        <v>12</v>
      </c>
      <c r="V1137" s="65" t="s">
        <v>1920</v>
      </c>
      <c r="W1137" s="65" t="s">
        <v>1922</v>
      </c>
      <c r="X1137" s="65" t="s">
        <v>2840</v>
      </c>
      <c r="Y1137" s="65" t="s">
        <v>3603</v>
      </c>
      <c r="Z1137" s="65" t="s">
        <v>4</v>
      </c>
      <c r="AA1137" s="65" t="s">
        <v>2840</v>
      </c>
    </row>
    <row r="1138" spans="1:27" ht="17.45" customHeight="1">
      <c r="A1138" s="131" t="str">
        <f>IF(priority(Main[[#This Row],[Comments]])&lt;&gt;0, priority(Main[[#This Row],[Comments]]),"")</f>
        <v/>
      </c>
      <c r="B1138" s="99" t="s">
        <v>1870</v>
      </c>
      <c r="C1138" s="65" t="s">
        <v>4</v>
      </c>
      <c r="D1138" s="66" t="s">
        <v>926</v>
      </c>
      <c r="E1138" s="67">
        <v>39968.4141087963</v>
      </c>
      <c r="F1138" s="67">
        <v>40298</v>
      </c>
      <c r="G1138" s="64" t="str">
        <f>IF(stdProdLT(Main[[#This Row],[Comments]])=0.1,"N/A",IF(stdProdLT(Main[[#This Row],[Comments]])=0,"",stdProdLT(Main[[#This Row],[Comments]])))</f>
        <v/>
      </c>
      <c r="H1138" s="68">
        <f>IF(AND(Main[[#This Row],[In Stock Date]]&lt;&gt;"",Main[[#This Row],[Revised Due Date]]&lt;&gt;""),Main[[#This Row],[In Stock Date]]-Main[[#This Row],[Revised Due Date]],"")</f>
        <v>-697</v>
      </c>
      <c r="I1138" s="65" t="s">
        <v>976</v>
      </c>
      <c r="J1138" s="65" t="s">
        <v>4</v>
      </c>
      <c r="K1138" s="71" t="s">
        <v>1929</v>
      </c>
      <c r="L1138" s="67"/>
      <c r="M1138" s="69" t="str">
        <f>IF(Main[[#This Row],[Tech Start Date]]&lt;1/1/1990,"",IF(Main[[#This Row],[Class]]="C",WORKDAY(Main[[#This Row],[Tech Start Date]],9),IF(Main[[#This Row],[Class]]="B", WORKDAY(Main[[#This Row],[Tech Start Date]],6),IF(Main[[#This Row],[Class]]="A",WORKDAY(Main[[#This Row],[Tech Start Date]],2),""))))</f>
        <v/>
      </c>
      <c r="N1138" s="69" t="str">
        <f>IF(Main[[#This Row],[Tech Start Date]]&lt;1/1/1990,"",IF(Main[[#This Row],[Class]]="C",WORKDAY(Main[[#This Row],[Tech Start Date]],19),IF(Main[[#This Row],[Class]]="B", WORKDAY(Main[[#This Row],[Tech Start Date]],12),IF(Main[[#This Row],[Class]]="A",WORKDAY(Main[[#This Row],[Tech Start Date]],4),""))))</f>
        <v/>
      </c>
      <c r="O1138" s="69" t="str">
        <f>IF(Main[[#This Row],[Tech Start Date]]&lt;1/1/1990,"",IF(Main[[#This Row],[Class]]="C",WORKDAY(Main[[#This Row],[Tech Start Date]],23),IF(Main[[#This Row],[Class]]="B", WORKDAY(Main[[#This Row],[Tech Start Date]],15),IF(Main[[#This Row],[Class]]="A",WORKDAY(Main[[#This Row],[Tech Start Date]],5),""))))</f>
        <v/>
      </c>
      <c r="P1138" s="69" t="str">
        <f>IF(Main[[#This Row],[Tech Start Date]]&lt;1/1/1990,"",IF(Main[[#This Row],[Class]]="C",WORKDAY(Main[[#This Row],[Tech Start Date]],28),IF(Main[[#This Row],[Class]]="B", WORKDAY(Main[[#This Row],[Tech Start Date]],19),IF(Main[[#This Row],[Class]]="A",WORKDAY(Main[[#This Row],[Tech Start Date]],9),""))))</f>
        <v/>
      </c>
      <c r="Q1138" s="67">
        <v>40165</v>
      </c>
      <c r="R1138" s="67">
        <v>40995</v>
      </c>
      <c r="S1138" s="65" t="s">
        <v>17</v>
      </c>
      <c r="T1138" s="70" t="s">
        <v>4</v>
      </c>
      <c r="U1138" s="65" t="s">
        <v>29</v>
      </c>
      <c r="V1138" s="65" t="s">
        <v>1920</v>
      </c>
      <c r="W1138" s="65" t="s">
        <v>1925</v>
      </c>
      <c r="X1138" s="65" t="s">
        <v>970</v>
      </c>
      <c r="Y1138" s="65" t="s">
        <v>3121</v>
      </c>
      <c r="Z1138" s="65" t="s">
        <v>415</v>
      </c>
      <c r="AA1138" s="65" t="s">
        <v>970</v>
      </c>
    </row>
    <row r="1139" spans="1:27" ht="17.45" customHeight="1">
      <c r="A1139" s="131" t="str">
        <f>IF(priority(Main[[#This Row],[Comments]])&lt;&gt;0, priority(Main[[#This Row],[Comments]]),"")</f>
        <v/>
      </c>
      <c r="B1139" s="99" t="s">
        <v>2387</v>
      </c>
      <c r="C1139" s="65" t="s">
        <v>72</v>
      </c>
      <c r="D1139" s="66" t="s">
        <v>2388</v>
      </c>
      <c r="E1139" s="67">
        <v>40856.064849537041</v>
      </c>
      <c r="F1139" s="67"/>
      <c r="G1139" s="64" t="str">
        <f>IF(stdProdLT(Main[[#This Row],[Comments]])=0.1,"N/A",IF(stdProdLT(Main[[#This Row],[Comments]])=0,"",stdProdLT(Main[[#This Row],[Comments]])))</f>
        <v/>
      </c>
      <c r="H1139" s="68" t="str">
        <f>IF(AND(Main[[#This Row],[In Stock Date]]&lt;&gt;"",Main[[#This Row],[Revised Due Date]]&lt;&gt;""),Main[[#This Row],[In Stock Date]]-Main[[#This Row],[Revised Due Date]],"")</f>
        <v/>
      </c>
      <c r="I1139" s="65" t="s">
        <v>4</v>
      </c>
      <c r="J1139" s="65" t="s">
        <v>4</v>
      </c>
      <c r="K1139" s="65" t="s">
        <v>4</v>
      </c>
      <c r="L1139" s="67"/>
      <c r="M1139" s="69" t="str">
        <f>IF(Main[[#This Row],[Tech Start Date]]&lt;1/1/1990,"",IF(Main[[#This Row],[Class]]="C",WORKDAY(Main[[#This Row],[Tech Start Date]],9),IF(Main[[#This Row],[Class]]="B", WORKDAY(Main[[#This Row],[Tech Start Date]],6),IF(Main[[#This Row],[Class]]="A",WORKDAY(Main[[#This Row],[Tech Start Date]],2),""))))</f>
        <v/>
      </c>
      <c r="N1139" s="69" t="str">
        <f>IF(Main[[#This Row],[Tech Start Date]]&lt;1/1/1990,"",IF(Main[[#This Row],[Class]]="C",WORKDAY(Main[[#This Row],[Tech Start Date]],19),IF(Main[[#This Row],[Class]]="B", WORKDAY(Main[[#This Row],[Tech Start Date]],12),IF(Main[[#This Row],[Class]]="A",WORKDAY(Main[[#This Row],[Tech Start Date]],4),""))))</f>
        <v/>
      </c>
      <c r="O1139" s="69" t="str">
        <f>IF(Main[[#This Row],[Tech Start Date]]&lt;1/1/1990,"",IF(Main[[#This Row],[Class]]="C",WORKDAY(Main[[#This Row],[Tech Start Date]],23),IF(Main[[#This Row],[Class]]="B", WORKDAY(Main[[#This Row],[Tech Start Date]],15),IF(Main[[#This Row],[Class]]="A",WORKDAY(Main[[#This Row],[Tech Start Date]],5),""))))</f>
        <v/>
      </c>
      <c r="P1139" s="69" t="str">
        <f>IF(Main[[#This Row],[Tech Start Date]]&lt;1/1/1990,"",IF(Main[[#This Row],[Class]]="C",WORKDAY(Main[[#This Row],[Tech Start Date]],28),IF(Main[[#This Row],[Class]]="B", WORKDAY(Main[[#This Row],[Tech Start Date]],19),IF(Main[[#This Row],[Class]]="A",WORKDAY(Main[[#This Row],[Tech Start Date]],9),""))))</f>
        <v/>
      </c>
      <c r="Q1139" s="67"/>
      <c r="R1139" s="67"/>
      <c r="S1139" s="65" t="s">
        <v>17</v>
      </c>
      <c r="T1139" s="70" t="s">
        <v>4</v>
      </c>
      <c r="U1139" s="65" t="s">
        <v>7</v>
      </c>
      <c r="V1139" s="65" t="s">
        <v>1918</v>
      </c>
      <c r="W1139" s="65" t="s">
        <v>1919</v>
      </c>
      <c r="X1139" s="65" t="s">
        <v>2896</v>
      </c>
      <c r="Y1139" s="65" t="s">
        <v>3053</v>
      </c>
      <c r="Z1139" s="65" t="s">
        <v>4</v>
      </c>
      <c r="AA1139" s="65" t="s">
        <v>2896</v>
      </c>
    </row>
    <row r="1140" spans="1:27" ht="17.45" customHeight="1">
      <c r="A1140" s="131" t="str">
        <f>IF(priority(Main[[#This Row],[Comments]])&lt;&gt;0, priority(Main[[#This Row],[Comments]]),"")</f>
        <v/>
      </c>
      <c r="B1140" s="99" t="s">
        <v>2472</v>
      </c>
      <c r="C1140" s="65" t="s">
        <v>47</v>
      </c>
      <c r="D1140" s="66" t="s">
        <v>2473</v>
      </c>
      <c r="E1140" s="67">
        <v>40847.703182870369</v>
      </c>
      <c r="F1140" s="67"/>
      <c r="G1140" s="64" t="str">
        <f>IF(stdProdLT(Main[[#This Row],[Comments]])=0.1,"N/A",IF(stdProdLT(Main[[#This Row],[Comments]])=0,"",stdProdLT(Main[[#This Row],[Comments]])))</f>
        <v/>
      </c>
      <c r="H1140" s="68" t="str">
        <f>IF(AND(Main[[#This Row],[In Stock Date]]&lt;&gt;"",Main[[#This Row],[Revised Due Date]]&lt;&gt;""),Main[[#This Row],[In Stock Date]]-Main[[#This Row],[Revised Due Date]],"")</f>
        <v/>
      </c>
      <c r="I1140" s="65" t="s">
        <v>69</v>
      </c>
      <c r="J1140" s="65" t="s">
        <v>28</v>
      </c>
      <c r="K1140" s="65" t="s">
        <v>1926</v>
      </c>
      <c r="L1140" s="67"/>
      <c r="M1140" s="69" t="str">
        <f>IF(Main[[#This Row],[Tech Start Date]]&lt;1/1/1990,"",IF(Main[[#This Row],[Class]]="C",WORKDAY(Main[[#This Row],[Tech Start Date]],9),IF(Main[[#This Row],[Class]]="B", WORKDAY(Main[[#This Row],[Tech Start Date]],6),IF(Main[[#This Row],[Class]]="A",WORKDAY(Main[[#This Row],[Tech Start Date]],2),""))))</f>
        <v/>
      </c>
      <c r="N1140" s="69" t="str">
        <f>IF(Main[[#This Row],[Tech Start Date]]&lt;1/1/1990,"",IF(Main[[#This Row],[Class]]="C",WORKDAY(Main[[#This Row],[Tech Start Date]],19),IF(Main[[#This Row],[Class]]="B", WORKDAY(Main[[#This Row],[Tech Start Date]],12),IF(Main[[#This Row],[Class]]="A",WORKDAY(Main[[#This Row],[Tech Start Date]],4),""))))</f>
        <v/>
      </c>
      <c r="O1140" s="69" t="str">
        <f>IF(Main[[#This Row],[Tech Start Date]]&lt;1/1/1990,"",IF(Main[[#This Row],[Class]]="C",WORKDAY(Main[[#This Row],[Tech Start Date]],23),IF(Main[[#This Row],[Class]]="B", WORKDAY(Main[[#This Row],[Tech Start Date]],15),IF(Main[[#This Row],[Class]]="A",WORKDAY(Main[[#This Row],[Tech Start Date]],5),""))))</f>
        <v/>
      </c>
      <c r="P1140" s="69" t="str">
        <f>IF(Main[[#This Row],[Tech Start Date]]&lt;1/1/1990,"",IF(Main[[#This Row],[Class]]="C",WORKDAY(Main[[#This Row],[Tech Start Date]],28),IF(Main[[#This Row],[Class]]="B", WORKDAY(Main[[#This Row],[Tech Start Date]],19),IF(Main[[#This Row],[Class]]="A",WORKDAY(Main[[#This Row],[Tech Start Date]],9),""))))</f>
        <v/>
      </c>
      <c r="Q1140" s="67">
        <v>40862</v>
      </c>
      <c r="R1140" s="67"/>
      <c r="S1140" s="65" t="s">
        <v>6</v>
      </c>
      <c r="T1140" s="70" t="s">
        <v>4</v>
      </c>
      <c r="U1140" s="65" t="s">
        <v>29</v>
      </c>
      <c r="V1140" s="65" t="s">
        <v>1920</v>
      </c>
      <c r="W1140" s="65" t="s">
        <v>1921</v>
      </c>
      <c r="X1140" s="65" t="s">
        <v>2871</v>
      </c>
      <c r="Y1140" s="65" t="s">
        <v>3016</v>
      </c>
      <c r="Z1140" s="65" t="s">
        <v>30</v>
      </c>
      <c r="AA1140" s="65" t="s">
        <v>2871</v>
      </c>
    </row>
    <row r="1141" spans="1:27" ht="17.45" customHeight="1">
      <c r="A1141" s="131" t="str">
        <f>IF(priority(Main[[#This Row],[Comments]])&lt;&gt;0, priority(Main[[#This Row],[Comments]]),"")</f>
        <v/>
      </c>
      <c r="B1141" s="99" t="s">
        <v>3680</v>
      </c>
      <c r="C1141" s="65" t="s">
        <v>3681</v>
      </c>
      <c r="D1141" s="66" t="s">
        <v>3682</v>
      </c>
      <c r="E1141" s="67">
        <v>40954.604432870372</v>
      </c>
      <c r="F1141" s="67"/>
      <c r="G1141" s="64" t="str">
        <f>IF(stdProdLT(Main[[#This Row],[Comments]])=0.1,"N/A",IF(stdProdLT(Main[[#This Row],[Comments]])=0,"",stdProdLT(Main[[#This Row],[Comments]])))</f>
        <v/>
      </c>
      <c r="H1141" s="68" t="str">
        <f>IF(AND(Main[[#This Row],[In Stock Date]]&lt;&gt;"",Main[[#This Row],[Revised Due Date]]&lt;&gt;""),Main[[#This Row],[In Stock Date]]-Main[[#This Row],[Revised Due Date]],"")</f>
        <v/>
      </c>
      <c r="I1141" s="65" t="s">
        <v>942</v>
      </c>
      <c r="J1141" s="65" t="s">
        <v>28</v>
      </c>
      <c r="K1141" s="65" t="s">
        <v>1930</v>
      </c>
      <c r="L1141" s="67"/>
      <c r="M1141" s="69" t="str">
        <f>IF(Main[[#This Row],[Tech Start Date]]&lt;1/1/1990,"",IF(Main[[#This Row],[Class]]="C",WORKDAY(Main[[#This Row],[Tech Start Date]],9),IF(Main[[#This Row],[Class]]="B", WORKDAY(Main[[#This Row],[Tech Start Date]],6),IF(Main[[#This Row],[Class]]="A",WORKDAY(Main[[#This Row],[Tech Start Date]],2),""))))</f>
        <v/>
      </c>
      <c r="N1141" s="69" t="str">
        <f>IF(Main[[#This Row],[Tech Start Date]]&lt;1/1/1990,"",IF(Main[[#This Row],[Class]]="C",WORKDAY(Main[[#This Row],[Tech Start Date]],19),IF(Main[[#This Row],[Class]]="B", WORKDAY(Main[[#This Row],[Tech Start Date]],12),IF(Main[[#This Row],[Class]]="A",WORKDAY(Main[[#This Row],[Tech Start Date]],4),""))))</f>
        <v/>
      </c>
      <c r="O1141" s="69" t="str">
        <f>IF(Main[[#This Row],[Tech Start Date]]&lt;1/1/1990,"",IF(Main[[#This Row],[Class]]="C",WORKDAY(Main[[#This Row],[Tech Start Date]],23),IF(Main[[#This Row],[Class]]="B", WORKDAY(Main[[#This Row],[Tech Start Date]],15),IF(Main[[#This Row],[Class]]="A",WORKDAY(Main[[#This Row],[Tech Start Date]],5),""))))</f>
        <v/>
      </c>
      <c r="P1141" s="69" t="str">
        <f>IF(Main[[#This Row],[Tech Start Date]]&lt;1/1/1990,"",IF(Main[[#This Row],[Class]]="C",WORKDAY(Main[[#This Row],[Tech Start Date]],28),IF(Main[[#This Row],[Class]]="B", WORKDAY(Main[[#This Row],[Tech Start Date]],19),IF(Main[[#This Row],[Class]]="A",WORKDAY(Main[[#This Row],[Tech Start Date]],9),""))))</f>
        <v/>
      </c>
      <c r="Q1141" s="67">
        <v>40968</v>
      </c>
      <c r="R1141" s="67"/>
      <c r="S1141" s="65" t="s">
        <v>11</v>
      </c>
      <c r="T1141" s="70" t="s">
        <v>4</v>
      </c>
      <c r="U1141" s="65" t="s">
        <v>7</v>
      </c>
      <c r="V1141" s="65" t="s">
        <v>1918</v>
      </c>
      <c r="W1141" s="65" t="s">
        <v>1919</v>
      </c>
      <c r="X1141" s="65" t="s">
        <v>2868</v>
      </c>
      <c r="Y1141" s="65" t="s">
        <v>4</v>
      </c>
      <c r="Z1141" s="65" t="s">
        <v>2056</v>
      </c>
      <c r="AA1141" s="65" t="s">
        <v>4</v>
      </c>
    </row>
    <row r="1142" spans="1:27" ht="17.45" customHeight="1">
      <c r="A1142" s="131" t="str">
        <f>IF(priority(Main[[#This Row],[Comments]])&lt;&gt;0, priority(Main[[#This Row],[Comments]]),"")</f>
        <v/>
      </c>
      <c r="B1142" s="99" t="s">
        <v>1878</v>
      </c>
      <c r="C1142" s="65" t="s">
        <v>99</v>
      </c>
      <c r="D1142" s="66" t="s">
        <v>930</v>
      </c>
      <c r="E1142" s="67"/>
      <c r="F1142" s="67">
        <v>40644</v>
      </c>
      <c r="G1142" s="64" t="str">
        <f>IF(stdProdLT(Main[[#This Row],[Comments]])=0.1,"N/A",IF(stdProdLT(Main[[#This Row],[Comments]])=0,"",stdProdLT(Main[[#This Row],[Comments]])))</f>
        <v/>
      </c>
      <c r="H1142" s="68">
        <f>IF(AND(Main[[#This Row],[In Stock Date]]&lt;&gt;"",Main[[#This Row],[Revised Due Date]]&lt;&gt;""),Main[[#This Row],[In Stock Date]]-Main[[#This Row],[Revised Due Date]],"")</f>
        <v>-19</v>
      </c>
      <c r="I1142" s="65" t="s">
        <v>4</v>
      </c>
      <c r="J1142" s="65" t="s">
        <v>21</v>
      </c>
      <c r="K1142" s="65" t="s">
        <v>1929</v>
      </c>
      <c r="L1142" s="67"/>
      <c r="M1142" s="69" t="str">
        <f>IF(Main[[#This Row],[Tech Start Date]]&lt;1/1/1990,"",IF(Main[[#This Row],[Class]]="C",WORKDAY(Main[[#This Row],[Tech Start Date]],9),IF(Main[[#This Row],[Class]]="B", WORKDAY(Main[[#This Row],[Tech Start Date]],6),IF(Main[[#This Row],[Class]]="A",WORKDAY(Main[[#This Row],[Tech Start Date]],2),""))))</f>
        <v/>
      </c>
      <c r="N1142" s="69" t="str">
        <f>IF(Main[[#This Row],[Tech Start Date]]&lt;1/1/1990,"",IF(Main[[#This Row],[Class]]="C",WORKDAY(Main[[#This Row],[Tech Start Date]],19),IF(Main[[#This Row],[Class]]="B", WORKDAY(Main[[#This Row],[Tech Start Date]],12),IF(Main[[#This Row],[Class]]="A",WORKDAY(Main[[#This Row],[Tech Start Date]],4),""))))</f>
        <v/>
      </c>
      <c r="O1142" s="69" t="str">
        <f>IF(Main[[#This Row],[Tech Start Date]]&lt;1/1/1990,"",IF(Main[[#This Row],[Class]]="C",WORKDAY(Main[[#This Row],[Tech Start Date]],23),IF(Main[[#This Row],[Class]]="B", WORKDAY(Main[[#This Row],[Tech Start Date]],15),IF(Main[[#This Row],[Class]]="A",WORKDAY(Main[[#This Row],[Tech Start Date]],5),""))))</f>
        <v/>
      </c>
      <c r="P1142" s="69" t="str">
        <f>IF(Main[[#This Row],[Tech Start Date]]&lt;1/1/1990,"",IF(Main[[#This Row],[Class]]="C",WORKDAY(Main[[#This Row],[Tech Start Date]],28),IF(Main[[#This Row],[Class]]="B", WORKDAY(Main[[#This Row],[Tech Start Date]],19),IF(Main[[#This Row],[Class]]="A",WORKDAY(Main[[#This Row],[Tech Start Date]],9),""))))</f>
        <v/>
      </c>
      <c r="Q1142" s="67">
        <v>40663</v>
      </c>
      <c r="R1142" s="67">
        <v>40663</v>
      </c>
      <c r="S1142" s="65" t="s">
        <v>11</v>
      </c>
      <c r="T1142" s="70" t="s">
        <v>4</v>
      </c>
      <c r="U1142" s="65" t="s">
        <v>14</v>
      </c>
      <c r="V1142" s="65" t="s">
        <v>1917</v>
      </c>
      <c r="W1142" s="65" t="s">
        <v>1922</v>
      </c>
      <c r="X1142" s="65" t="s">
        <v>2843</v>
      </c>
      <c r="Y1142" s="65" t="s">
        <v>2972</v>
      </c>
      <c r="Z1142" s="65" t="s">
        <v>129</v>
      </c>
      <c r="AA1142" s="65" t="s">
        <v>2840</v>
      </c>
    </row>
    <row r="1143" spans="1:27" ht="17.45" customHeight="1">
      <c r="A1143" s="131" t="str">
        <f>IF(priority(Main[[#This Row],[Comments]])&lt;&gt;0, priority(Main[[#This Row],[Comments]]),"")</f>
        <v/>
      </c>
      <c r="B1143" s="99" t="s">
        <v>1440</v>
      </c>
      <c r="C1143" s="65" t="s">
        <v>4</v>
      </c>
      <c r="D1143" s="66" t="s">
        <v>516</v>
      </c>
      <c r="E1143" s="67">
        <v>40584.460439814815</v>
      </c>
      <c r="F1143" s="67">
        <v>40599</v>
      </c>
      <c r="G1143" s="64" t="str">
        <f>IF(stdProdLT(Main[[#This Row],[Comments]])=0.1,"N/A",IF(stdProdLT(Main[[#This Row],[Comments]])=0,"",stdProdLT(Main[[#This Row],[Comments]])))</f>
        <v/>
      </c>
      <c r="H1143" s="68" t="str">
        <f>IF(AND(Main[[#This Row],[In Stock Date]]&lt;&gt;"",Main[[#This Row],[Revised Due Date]]&lt;&gt;""),Main[[#This Row],[In Stock Date]]-Main[[#This Row],[Revised Due Date]],"")</f>
        <v/>
      </c>
      <c r="I1143" s="65" t="s">
        <v>415</v>
      </c>
      <c r="J1143" s="65" t="s">
        <v>21</v>
      </c>
      <c r="K1143" s="65" t="s">
        <v>1926</v>
      </c>
      <c r="L1143" s="67"/>
      <c r="M1143" s="69" t="str">
        <f>IF(Main[[#This Row],[Tech Start Date]]&lt;1/1/1990,"",IF(Main[[#This Row],[Class]]="C",WORKDAY(Main[[#This Row],[Tech Start Date]],9),IF(Main[[#This Row],[Class]]="B", WORKDAY(Main[[#This Row],[Tech Start Date]],6),IF(Main[[#This Row],[Class]]="A",WORKDAY(Main[[#This Row],[Tech Start Date]],2),""))))</f>
        <v/>
      </c>
      <c r="N1143" s="69" t="str">
        <f>IF(Main[[#This Row],[Tech Start Date]]&lt;1/1/1990,"",IF(Main[[#This Row],[Class]]="C",WORKDAY(Main[[#This Row],[Tech Start Date]],19),IF(Main[[#This Row],[Class]]="B", WORKDAY(Main[[#This Row],[Tech Start Date]],12),IF(Main[[#This Row],[Class]]="A",WORKDAY(Main[[#This Row],[Tech Start Date]],4),""))))</f>
        <v/>
      </c>
      <c r="O1143" s="69" t="str">
        <f>IF(Main[[#This Row],[Tech Start Date]]&lt;1/1/1990,"",IF(Main[[#This Row],[Class]]="C",WORKDAY(Main[[#This Row],[Tech Start Date]],23),IF(Main[[#This Row],[Class]]="B", WORKDAY(Main[[#This Row],[Tech Start Date]],15),IF(Main[[#This Row],[Class]]="A",WORKDAY(Main[[#This Row],[Tech Start Date]],5),""))))</f>
        <v/>
      </c>
      <c r="P1143" s="69" t="str">
        <f>IF(Main[[#This Row],[Tech Start Date]]&lt;1/1/1990,"",IF(Main[[#This Row],[Class]]="C",WORKDAY(Main[[#This Row],[Tech Start Date]],28),IF(Main[[#This Row],[Class]]="B", WORKDAY(Main[[#This Row],[Tech Start Date]],19),IF(Main[[#This Row],[Class]]="A",WORKDAY(Main[[#This Row],[Tech Start Date]],9),""))))</f>
        <v/>
      </c>
      <c r="Q1143" s="67">
        <v>40599</v>
      </c>
      <c r="R1143" s="67"/>
      <c r="S1143" s="65" t="s">
        <v>6</v>
      </c>
      <c r="T1143" s="70" t="s">
        <v>4</v>
      </c>
      <c r="U1143" s="65" t="s">
        <v>29</v>
      </c>
      <c r="V1143" s="65" t="s">
        <v>1927</v>
      </c>
      <c r="W1143" s="65" t="s">
        <v>1919</v>
      </c>
      <c r="X1143" s="65" t="s">
        <v>415</v>
      </c>
      <c r="Y1143" s="65" t="s">
        <v>2981</v>
      </c>
      <c r="Z1143" s="65" t="s">
        <v>415</v>
      </c>
      <c r="AA1143" s="65" t="s">
        <v>415</v>
      </c>
    </row>
    <row r="1144" spans="1:27" ht="17.45" customHeight="1">
      <c r="A1144" s="131" t="str">
        <f>IF(priority(Main[[#This Row],[Comments]])&lt;&gt;0, priority(Main[[#This Row],[Comments]]),"")</f>
        <v/>
      </c>
      <c r="B1144" s="99" t="s">
        <v>2474</v>
      </c>
      <c r="C1144" s="65" t="s">
        <v>4</v>
      </c>
      <c r="D1144" s="66" t="s">
        <v>2475</v>
      </c>
      <c r="E1144" s="67"/>
      <c r="F1144" s="67"/>
      <c r="G1144" s="64" t="str">
        <f>IF(stdProdLT(Main[[#This Row],[Comments]])=0.1,"N/A",IF(stdProdLT(Main[[#This Row],[Comments]])=0,"",stdProdLT(Main[[#This Row],[Comments]])))</f>
        <v/>
      </c>
      <c r="H1144" s="68" t="str">
        <f>IF(AND(Main[[#This Row],[In Stock Date]]&lt;&gt;"",Main[[#This Row],[Revised Due Date]]&lt;&gt;""),Main[[#This Row],[In Stock Date]]-Main[[#This Row],[Revised Due Date]],"")</f>
        <v/>
      </c>
      <c r="I1144" s="65" t="s">
        <v>4</v>
      </c>
      <c r="J1144" s="65" t="s">
        <v>4</v>
      </c>
      <c r="K1144" s="65" t="s">
        <v>4</v>
      </c>
      <c r="L1144" s="67"/>
      <c r="M1144" s="69" t="str">
        <f>IF(Main[[#This Row],[Tech Start Date]]&lt;1/1/1990,"",IF(Main[[#This Row],[Class]]="C",WORKDAY(Main[[#This Row],[Tech Start Date]],9),IF(Main[[#This Row],[Class]]="B", WORKDAY(Main[[#This Row],[Tech Start Date]],6),IF(Main[[#This Row],[Class]]="A",WORKDAY(Main[[#This Row],[Tech Start Date]],2),""))))</f>
        <v/>
      </c>
      <c r="N1144" s="69" t="str">
        <f>IF(Main[[#This Row],[Tech Start Date]]&lt;1/1/1990,"",IF(Main[[#This Row],[Class]]="C",WORKDAY(Main[[#This Row],[Tech Start Date]],19),IF(Main[[#This Row],[Class]]="B", WORKDAY(Main[[#This Row],[Tech Start Date]],12),IF(Main[[#This Row],[Class]]="A",WORKDAY(Main[[#This Row],[Tech Start Date]],4),""))))</f>
        <v/>
      </c>
      <c r="O1144" s="69" t="str">
        <f>IF(Main[[#This Row],[Tech Start Date]]&lt;1/1/1990,"",IF(Main[[#This Row],[Class]]="C",WORKDAY(Main[[#This Row],[Tech Start Date]],23),IF(Main[[#This Row],[Class]]="B", WORKDAY(Main[[#This Row],[Tech Start Date]],15),IF(Main[[#This Row],[Class]]="A",WORKDAY(Main[[#This Row],[Tech Start Date]],5),""))))</f>
        <v/>
      </c>
      <c r="P1144" s="69" t="str">
        <f>IF(Main[[#This Row],[Tech Start Date]]&lt;1/1/1990,"",IF(Main[[#This Row],[Class]]="C",WORKDAY(Main[[#This Row],[Tech Start Date]],28),IF(Main[[#This Row],[Class]]="B", WORKDAY(Main[[#This Row],[Tech Start Date]],19),IF(Main[[#This Row],[Class]]="A",WORKDAY(Main[[#This Row],[Tech Start Date]],9),""))))</f>
        <v/>
      </c>
      <c r="Q1144" s="67"/>
      <c r="R1144" s="67"/>
      <c r="S1144" s="65" t="s">
        <v>11</v>
      </c>
      <c r="T1144" s="70" t="s">
        <v>4</v>
      </c>
      <c r="U1144" s="65" t="s">
        <v>14</v>
      </c>
      <c r="V1144" s="65" t="s">
        <v>1918</v>
      </c>
      <c r="W1144" s="65" t="s">
        <v>4</v>
      </c>
      <c r="X1144" s="65" t="s">
        <v>2254</v>
      </c>
      <c r="Y1144" s="65" t="s">
        <v>4</v>
      </c>
      <c r="Z1144" s="65" t="s">
        <v>4</v>
      </c>
      <c r="AA1144" s="65" t="s">
        <v>4</v>
      </c>
    </row>
    <row r="1145" spans="1:27" ht="17.45" customHeight="1">
      <c r="A1145" s="131" t="str">
        <f>IF(priority(Main[[#This Row],[Comments]])&lt;&gt;0, priority(Main[[#This Row],[Comments]]),"")</f>
        <v/>
      </c>
      <c r="B1145" s="99" t="s">
        <v>2476</v>
      </c>
      <c r="C1145" s="65" t="s">
        <v>2424</v>
      </c>
      <c r="D1145" s="66" t="s">
        <v>2477</v>
      </c>
      <c r="E1145" s="67"/>
      <c r="F1145" s="67">
        <v>40969</v>
      </c>
      <c r="G1145" s="64" t="str">
        <f>IF(stdProdLT(Main[[#This Row],[Comments]])=0.1,"N/A",IF(stdProdLT(Main[[#This Row],[Comments]])=0,"",stdProdLT(Main[[#This Row],[Comments]])))</f>
        <v/>
      </c>
      <c r="H1145" s="68" t="str">
        <f>IF(AND(Main[[#This Row],[In Stock Date]]&lt;&gt;"",Main[[#This Row],[Revised Due Date]]&lt;&gt;""),Main[[#This Row],[In Stock Date]]-Main[[#This Row],[Revised Due Date]],"")</f>
        <v/>
      </c>
      <c r="I1145" s="65" t="s">
        <v>4</v>
      </c>
      <c r="J1145" s="65" t="s">
        <v>4</v>
      </c>
      <c r="K1145" s="65" t="s">
        <v>4</v>
      </c>
      <c r="L1145" s="67"/>
      <c r="M1145" s="69" t="str">
        <f>IF(Main[[#This Row],[Tech Start Date]]&lt;1/1/1990,"",IF(Main[[#This Row],[Class]]="C",WORKDAY(Main[[#This Row],[Tech Start Date]],9),IF(Main[[#This Row],[Class]]="B", WORKDAY(Main[[#This Row],[Tech Start Date]],6),IF(Main[[#This Row],[Class]]="A",WORKDAY(Main[[#This Row],[Tech Start Date]],2),""))))</f>
        <v/>
      </c>
      <c r="N1145" s="69" t="str">
        <f>IF(Main[[#This Row],[Tech Start Date]]&lt;1/1/1990,"",IF(Main[[#This Row],[Class]]="C",WORKDAY(Main[[#This Row],[Tech Start Date]],19),IF(Main[[#This Row],[Class]]="B", WORKDAY(Main[[#This Row],[Tech Start Date]],12),IF(Main[[#This Row],[Class]]="A",WORKDAY(Main[[#This Row],[Tech Start Date]],4),""))))</f>
        <v/>
      </c>
      <c r="O1145" s="69" t="str">
        <f>IF(Main[[#This Row],[Tech Start Date]]&lt;1/1/1990,"",IF(Main[[#This Row],[Class]]="C",WORKDAY(Main[[#This Row],[Tech Start Date]],23),IF(Main[[#This Row],[Class]]="B", WORKDAY(Main[[#This Row],[Tech Start Date]],15),IF(Main[[#This Row],[Class]]="A",WORKDAY(Main[[#This Row],[Tech Start Date]],5),""))))</f>
        <v/>
      </c>
      <c r="P1145" s="69" t="str">
        <f>IF(Main[[#This Row],[Tech Start Date]]&lt;1/1/1990,"",IF(Main[[#This Row],[Class]]="C",WORKDAY(Main[[#This Row],[Tech Start Date]],28),IF(Main[[#This Row],[Class]]="B", WORKDAY(Main[[#This Row],[Tech Start Date]],19),IF(Main[[#This Row],[Class]]="A",WORKDAY(Main[[#This Row],[Tech Start Date]],9),""))))</f>
        <v/>
      </c>
      <c r="Q1145" s="67"/>
      <c r="R1145" s="67"/>
      <c r="S1145" s="65" t="s">
        <v>4</v>
      </c>
      <c r="T1145" s="70" t="s">
        <v>2478</v>
      </c>
      <c r="U1145" s="65" t="s">
        <v>14</v>
      </c>
      <c r="V1145" s="65" t="s">
        <v>1920</v>
      </c>
      <c r="W1145" s="65" t="s">
        <v>4</v>
      </c>
      <c r="X1145" s="65" t="s">
        <v>2862</v>
      </c>
      <c r="Y1145" s="65" t="s">
        <v>4</v>
      </c>
      <c r="Z1145" s="65" t="s">
        <v>4</v>
      </c>
      <c r="AA1145" s="65" t="s">
        <v>4</v>
      </c>
    </row>
    <row r="1146" spans="1:27" ht="17.45" customHeight="1">
      <c r="A1146" s="131" t="str">
        <f>IF(priority(Main[[#This Row],[Comments]])&lt;&gt;0, priority(Main[[#This Row],[Comments]]),"")</f>
        <v/>
      </c>
      <c r="B1146" s="99" t="s">
        <v>2481</v>
      </c>
      <c r="C1146" s="65" t="s">
        <v>4</v>
      </c>
      <c r="D1146" s="66" t="s">
        <v>2482</v>
      </c>
      <c r="E1146" s="67">
        <v>40834.323900462965</v>
      </c>
      <c r="F1146" s="67"/>
      <c r="G1146" s="64" t="str">
        <f>IF(stdProdLT(Main[[#This Row],[Comments]])=0.1,"N/A",IF(stdProdLT(Main[[#This Row],[Comments]])=0,"",stdProdLT(Main[[#This Row],[Comments]])))</f>
        <v/>
      </c>
      <c r="H1146" s="68" t="str">
        <f>IF(AND(Main[[#This Row],[In Stock Date]]&lt;&gt;"",Main[[#This Row],[Revised Due Date]]&lt;&gt;""),Main[[#This Row],[In Stock Date]]-Main[[#This Row],[Revised Due Date]],"")</f>
        <v/>
      </c>
      <c r="I1146" s="65" t="s">
        <v>4</v>
      </c>
      <c r="J1146" s="65" t="s">
        <v>4</v>
      </c>
      <c r="K1146" s="71" t="s">
        <v>4</v>
      </c>
      <c r="L1146" s="67"/>
      <c r="M1146" s="69" t="str">
        <f>IF(Main[[#This Row],[Tech Start Date]]&lt;1/1/1990,"",IF(Main[[#This Row],[Class]]="C",WORKDAY(Main[[#This Row],[Tech Start Date]],9),IF(Main[[#This Row],[Class]]="B", WORKDAY(Main[[#This Row],[Tech Start Date]],6),IF(Main[[#This Row],[Class]]="A",WORKDAY(Main[[#This Row],[Tech Start Date]],2),""))))</f>
        <v/>
      </c>
      <c r="N1146" s="69" t="str">
        <f>IF(Main[[#This Row],[Tech Start Date]]&lt;1/1/1990,"",IF(Main[[#This Row],[Class]]="C",WORKDAY(Main[[#This Row],[Tech Start Date]],19),IF(Main[[#This Row],[Class]]="B", WORKDAY(Main[[#This Row],[Tech Start Date]],12),IF(Main[[#This Row],[Class]]="A",WORKDAY(Main[[#This Row],[Tech Start Date]],4),""))))</f>
        <v/>
      </c>
      <c r="O1146" s="69" t="str">
        <f>IF(Main[[#This Row],[Tech Start Date]]&lt;1/1/1990,"",IF(Main[[#This Row],[Class]]="C",WORKDAY(Main[[#This Row],[Tech Start Date]],23),IF(Main[[#This Row],[Class]]="B", WORKDAY(Main[[#This Row],[Tech Start Date]],15),IF(Main[[#This Row],[Class]]="A",WORKDAY(Main[[#This Row],[Tech Start Date]],5),""))))</f>
        <v/>
      </c>
      <c r="P1146" s="69" t="str">
        <f>IF(Main[[#This Row],[Tech Start Date]]&lt;1/1/1990,"",IF(Main[[#This Row],[Class]]="C",WORKDAY(Main[[#This Row],[Tech Start Date]],28),IF(Main[[#This Row],[Class]]="B", WORKDAY(Main[[#This Row],[Tech Start Date]],19),IF(Main[[#This Row],[Class]]="A",WORKDAY(Main[[#This Row],[Tech Start Date]],9),""))))</f>
        <v/>
      </c>
      <c r="Q1146" s="67"/>
      <c r="R1146" s="67"/>
      <c r="S1146" s="65" t="s">
        <v>6</v>
      </c>
      <c r="T1146" s="70" t="s">
        <v>4</v>
      </c>
      <c r="U1146" s="65" t="s">
        <v>7</v>
      </c>
      <c r="V1146" s="65" t="s">
        <v>1917</v>
      </c>
      <c r="W1146" s="65" t="s">
        <v>1921</v>
      </c>
      <c r="X1146" s="65" t="s">
        <v>399</v>
      </c>
      <c r="Y1146" s="65" t="s">
        <v>4</v>
      </c>
      <c r="Z1146" s="65" t="s">
        <v>4</v>
      </c>
      <c r="AA1146" s="65" t="s">
        <v>3397</v>
      </c>
    </row>
    <row r="1147" spans="1:27" ht="17.45" customHeight="1">
      <c r="A1147" s="131" t="str">
        <f>IF(priority(Main[[#This Row],[Comments]])&lt;&gt;0, priority(Main[[#This Row],[Comments]]),"")</f>
        <v/>
      </c>
      <c r="B1147" s="99" t="s">
        <v>2483</v>
      </c>
      <c r="C1147" s="65" t="s">
        <v>347</v>
      </c>
      <c r="D1147" s="66" t="s">
        <v>2341</v>
      </c>
      <c r="E1147" s="67">
        <v>40827.600601851853</v>
      </c>
      <c r="F1147" s="67"/>
      <c r="G1147" s="64" t="str">
        <f>IF(stdProdLT(Main[[#This Row],[Comments]])=0.1,"N/A",IF(stdProdLT(Main[[#This Row],[Comments]])=0,"",stdProdLT(Main[[#This Row],[Comments]])))</f>
        <v/>
      </c>
      <c r="H1147" s="68" t="str">
        <f>IF(AND(Main[[#This Row],[In Stock Date]]&lt;&gt;"",Main[[#This Row],[Revised Due Date]]&lt;&gt;""),Main[[#This Row],[In Stock Date]]-Main[[#This Row],[Revised Due Date]],"")</f>
        <v/>
      </c>
      <c r="I1147" s="65" t="s">
        <v>4</v>
      </c>
      <c r="J1147" s="65" t="s">
        <v>4</v>
      </c>
      <c r="K1147" s="65" t="s">
        <v>4</v>
      </c>
      <c r="L1147" s="67"/>
      <c r="M1147" s="69" t="str">
        <f>IF(Main[[#This Row],[Tech Start Date]]&lt;1/1/1990,"",IF(Main[[#This Row],[Class]]="C",WORKDAY(Main[[#This Row],[Tech Start Date]],9),IF(Main[[#This Row],[Class]]="B", WORKDAY(Main[[#This Row],[Tech Start Date]],6),IF(Main[[#This Row],[Class]]="A",WORKDAY(Main[[#This Row],[Tech Start Date]],2),""))))</f>
        <v/>
      </c>
      <c r="N1147" s="69" t="str">
        <f>IF(Main[[#This Row],[Tech Start Date]]&lt;1/1/1990,"",IF(Main[[#This Row],[Class]]="C",WORKDAY(Main[[#This Row],[Tech Start Date]],19),IF(Main[[#This Row],[Class]]="B", WORKDAY(Main[[#This Row],[Tech Start Date]],12),IF(Main[[#This Row],[Class]]="A",WORKDAY(Main[[#This Row],[Tech Start Date]],4),""))))</f>
        <v/>
      </c>
      <c r="O1147" s="69" t="str">
        <f>IF(Main[[#This Row],[Tech Start Date]]&lt;1/1/1990,"",IF(Main[[#This Row],[Class]]="C",WORKDAY(Main[[#This Row],[Tech Start Date]],23),IF(Main[[#This Row],[Class]]="B", WORKDAY(Main[[#This Row],[Tech Start Date]],15),IF(Main[[#This Row],[Class]]="A",WORKDAY(Main[[#This Row],[Tech Start Date]],5),""))))</f>
        <v/>
      </c>
      <c r="P1147" s="69" t="str">
        <f>IF(Main[[#This Row],[Tech Start Date]]&lt;1/1/1990,"",IF(Main[[#This Row],[Class]]="C",WORKDAY(Main[[#This Row],[Tech Start Date]],28),IF(Main[[#This Row],[Class]]="B", WORKDAY(Main[[#This Row],[Tech Start Date]],19),IF(Main[[#This Row],[Class]]="A",WORKDAY(Main[[#This Row],[Tech Start Date]],9),""))))</f>
        <v/>
      </c>
      <c r="Q1147" s="67">
        <v>40847</v>
      </c>
      <c r="R1147" s="67"/>
      <c r="S1147" s="65" t="s">
        <v>4</v>
      </c>
      <c r="T1147" s="70" t="s">
        <v>4</v>
      </c>
      <c r="U1147" s="65" t="s">
        <v>7</v>
      </c>
      <c r="V1147" s="65" t="s">
        <v>1917</v>
      </c>
      <c r="W1147" s="65" t="s">
        <v>4</v>
      </c>
      <c r="X1147" s="65" t="s">
        <v>2855</v>
      </c>
      <c r="Y1147" s="65" t="s">
        <v>2989</v>
      </c>
      <c r="Z1147" s="65" t="s">
        <v>4</v>
      </c>
      <c r="AA1147" s="65" t="s">
        <v>2855</v>
      </c>
    </row>
    <row r="1148" spans="1:27" ht="17.45" customHeight="1">
      <c r="A1148" s="131" t="str">
        <f>IF(priority(Main[[#This Row],[Comments]])&lt;&gt;0, priority(Main[[#This Row],[Comments]]),"")</f>
        <v/>
      </c>
      <c r="B1148" s="99" t="s">
        <v>2484</v>
      </c>
      <c r="C1148" s="65" t="s">
        <v>347</v>
      </c>
      <c r="D1148" s="66" t="s">
        <v>2485</v>
      </c>
      <c r="E1148" s="67">
        <v>40827.603530092594</v>
      </c>
      <c r="F1148" s="67"/>
      <c r="G1148" s="64" t="str">
        <f>IF(stdProdLT(Main[[#This Row],[Comments]])=0.1,"N/A",IF(stdProdLT(Main[[#This Row],[Comments]])=0,"",stdProdLT(Main[[#This Row],[Comments]])))</f>
        <v/>
      </c>
      <c r="H1148" s="68" t="str">
        <f>IF(AND(Main[[#This Row],[In Stock Date]]&lt;&gt;"",Main[[#This Row],[Revised Due Date]]&lt;&gt;""),Main[[#This Row],[In Stock Date]]-Main[[#This Row],[Revised Due Date]],"")</f>
        <v/>
      </c>
      <c r="I1148" s="65" t="s">
        <v>4</v>
      </c>
      <c r="J1148" s="65" t="s">
        <v>4</v>
      </c>
      <c r="K1148" s="65" t="s">
        <v>4</v>
      </c>
      <c r="L1148" s="67"/>
      <c r="M1148" s="69" t="str">
        <f>IF(Main[[#This Row],[Tech Start Date]]&lt;1/1/1990,"",IF(Main[[#This Row],[Class]]="C",WORKDAY(Main[[#This Row],[Tech Start Date]],9),IF(Main[[#This Row],[Class]]="B", WORKDAY(Main[[#This Row],[Tech Start Date]],6),IF(Main[[#This Row],[Class]]="A",WORKDAY(Main[[#This Row],[Tech Start Date]],2),""))))</f>
        <v/>
      </c>
      <c r="N1148" s="69" t="str">
        <f>IF(Main[[#This Row],[Tech Start Date]]&lt;1/1/1990,"",IF(Main[[#This Row],[Class]]="C",WORKDAY(Main[[#This Row],[Tech Start Date]],19),IF(Main[[#This Row],[Class]]="B", WORKDAY(Main[[#This Row],[Tech Start Date]],12),IF(Main[[#This Row],[Class]]="A",WORKDAY(Main[[#This Row],[Tech Start Date]],4),""))))</f>
        <v/>
      </c>
      <c r="O1148" s="69" t="str">
        <f>IF(Main[[#This Row],[Tech Start Date]]&lt;1/1/1990,"",IF(Main[[#This Row],[Class]]="C",WORKDAY(Main[[#This Row],[Tech Start Date]],23),IF(Main[[#This Row],[Class]]="B", WORKDAY(Main[[#This Row],[Tech Start Date]],15),IF(Main[[#This Row],[Class]]="A",WORKDAY(Main[[#This Row],[Tech Start Date]],5),""))))</f>
        <v/>
      </c>
      <c r="P1148" s="69" t="str">
        <f>IF(Main[[#This Row],[Tech Start Date]]&lt;1/1/1990,"",IF(Main[[#This Row],[Class]]="C",WORKDAY(Main[[#This Row],[Tech Start Date]],28),IF(Main[[#This Row],[Class]]="B", WORKDAY(Main[[#This Row],[Tech Start Date]],19),IF(Main[[#This Row],[Class]]="A",WORKDAY(Main[[#This Row],[Tech Start Date]],9),""))))</f>
        <v/>
      </c>
      <c r="Q1148" s="67">
        <v>40847</v>
      </c>
      <c r="R1148" s="67"/>
      <c r="S1148" s="65" t="s">
        <v>11</v>
      </c>
      <c r="T1148" s="70" t="s">
        <v>4</v>
      </c>
      <c r="U1148" s="65" t="s">
        <v>7</v>
      </c>
      <c r="V1148" s="65" t="s">
        <v>1917</v>
      </c>
      <c r="W1148" s="65" t="s">
        <v>4</v>
      </c>
      <c r="X1148" s="65" t="s">
        <v>2855</v>
      </c>
      <c r="Y1148" s="65" t="s">
        <v>2989</v>
      </c>
      <c r="Z1148" s="65" t="s">
        <v>4</v>
      </c>
      <c r="AA1148" s="65" t="s">
        <v>2855</v>
      </c>
    </row>
    <row r="1149" spans="1:27" ht="17.45" customHeight="1">
      <c r="A1149" s="131" t="str">
        <f>IF(priority(Main[[#This Row],[Comments]])&lt;&gt;0, priority(Main[[#This Row],[Comments]]),"")</f>
        <v/>
      </c>
      <c r="B1149" s="99" t="s">
        <v>2486</v>
      </c>
      <c r="C1149" s="65" t="s">
        <v>4</v>
      </c>
      <c r="D1149" s="66" t="s">
        <v>2487</v>
      </c>
      <c r="E1149" s="67"/>
      <c r="F1149" s="67"/>
      <c r="G1149" s="64" t="str">
        <f>IF(stdProdLT(Main[[#This Row],[Comments]])=0.1,"N/A",IF(stdProdLT(Main[[#This Row],[Comments]])=0,"",stdProdLT(Main[[#This Row],[Comments]])))</f>
        <v/>
      </c>
      <c r="H1149" s="68" t="str">
        <f>IF(AND(Main[[#This Row],[In Stock Date]]&lt;&gt;"",Main[[#This Row],[Revised Due Date]]&lt;&gt;""),Main[[#This Row],[In Stock Date]]-Main[[#This Row],[Revised Due Date]],"")</f>
        <v/>
      </c>
      <c r="I1149" s="65" t="s">
        <v>4</v>
      </c>
      <c r="J1149" s="65" t="s">
        <v>4</v>
      </c>
      <c r="K1149" s="65" t="s">
        <v>4</v>
      </c>
      <c r="L1149" s="67"/>
      <c r="M1149" s="69" t="str">
        <f>IF(Main[[#This Row],[Tech Start Date]]&lt;1/1/1990,"",IF(Main[[#This Row],[Class]]="C",WORKDAY(Main[[#This Row],[Tech Start Date]],9),IF(Main[[#This Row],[Class]]="B", WORKDAY(Main[[#This Row],[Tech Start Date]],6),IF(Main[[#This Row],[Class]]="A",WORKDAY(Main[[#This Row],[Tech Start Date]],2),""))))</f>
        <v/>
      </c>
      <c r="N1149" s="69" t="str">
        <f>IF(Main[[#This Row],[Tech Start Date]]&lt;1/1/1990,"",IF(Main[[#This Row],[Class]]="C",WORKDAY(Main[[#This Row],[Tech Start Date]],19),IF(Main[[#This Row],[Class]]="B", WORKDAY(Main[[#This Row],[Tech Start Date]],12),IF(Main[[#This Row],[Class]]="A",WORKDAY(Main[[#This Row],[Tech Start Date]],4),""))))</f>
        <v/>
      </c>
      <c r="O1149" s="69" t="str">
        <f>IF(Main[[#This Row],[Tech Start Date]]&lt;1/1/1990,"",IF(Main[[#This Row],[Class]]="C",WORKDAY(Main[[#This Row],[Tech Start Date]],23),IF(Main[[#This Row],[Class]]="B", WORKDAY(Main[[#This Row],[Tech Start Date]],15),IF(Main[[#This Row],[Class]]="A",WORKDAY(Main[[#This Row],[Tech Start Date]],5),""))))</f>
        <v/>
      </c>
      <c r="P1149" s="69" t="str">
        <f>IF(Main[[#This Row],[Tech Start Date]]&lt;1/1/1990,"",IF(Main[[#This Row],[Class]]="C",WORKDAY(Main[[#This Row],[Tech Start Date]],28),IF(Main[[#This Row],[Class]]="B", WORKDAY(Main[[#This Row],[Tech Start Date]],19),IF(Main[[#This Row],[Class]]="A",WORKDAY(Main[[#This Row],[Tech Start Date]],9),""))))</f>
        <v/>
      </c>
      <c r="Q1149" s="67"/>
      <c r="R1149" s="67"/>
      <c r="S1149" s="65" t="s">
        <v>11</v>
      </c>
      <c r="T1149" s="70" t="s">
        <v>4</v>
      </c>
      <c r="U1149" s="65" t="s">
        <v>14</v>
      </c>
      <c r="V1149" s="65" t="s">
        <v>1918</v>
      </c>
      <c r="W1149" s="65" t="s">
        <v>4</v>
      </c>
      <c r="X1149" s="65" t="s">
        <v>2254</v>
      </c>
      <c r="Y1149" s="65" t="s">
        <v>4</v>
      </c>
      <c r="Z1149" s="65" t="s">
        <v>4</v>
      </c>
      <c r="AA1149" s="65" t="s">
        <v>4</v>
      </c>
    </row>
    <row r="1150" spans="1:27" ht="17.45" customHeight="1">
      <c r="A1150" s="131" t="str">
        <f>IF(priority(Main[[#This Row],[Comments]])&lt;&gt;0, priority(Main[[#This Row],[Comments]]),"")</f>
        <v/>
      </c>
      <c r="B1150" s="99" t="s">
        <v>1285</v>
      </c>
      <c r="C1150" s="65" t="s">
        <v>37</v>
      </c>
      <c r="D1150" s="66" t="s">
        <v>2488</v>
      </c>
      <c r="E1150" s="67">
        <v>40767.457106481481</v>
      </c>
      <c r="F1150" s="67"/>
      <c r="G1150" s="64" t="str">
        <f>IF(stdProdLT(Main[[#This Row],[Comments]])=0.1,"N/A",IF(stdProdLT(Main[[#This Row],[Comments]])=0,"",stdProdLT(Main[[#This Row],[Comments]])))</f>
        <v/>
      </c>
      <c r="H1150" s="68" t="str">
        <f>IF(AND(Main[[#This Row],[In Stock Date]]&lt;&gt;"",Main[[#This Row],[Revised Due Date]]&lt;&gt;""),Main[[#This Row],[In Stock Date]]-Main[[#This Row],[Revised Due Date]],"")</f>
        <v/>
      </c>
      <c r="I1150" s="65" t="s">
        <v>4</v>
      </c>
      <c r="J1150" s="65" t="s">
        <v>4</v>
      </c>
      <c r="K1150" s="65" t="s">
        <v>4</v>
      </c>
      <c r="L1150" s="67"/>
      <c r="M1150" s="69" t="str">
        <f>IF(Main[[#This Row],[Tech Start Date]]&lt;1/1/1990,"",IF(Main[[#This Row],[Class]]="C",WORKDAY(Main[[#This Row],[Tech Start Date]],9),IF(Main[[#This Row],[Class]]="B", WORKDAY(Main[[#This Row],[Tech Start Date]],6),IF(Main[[#This Row],[Class]]="A",WORKDAY(Main[[#This Row],[Tech Start Date]],2),""))))</f>
        <v/>
      </c>
      <c r="N1150" s="69" t="str">
        <f>IF(Main[[#This Row],[Tech Start Date]]&lt;1/1/1990,"",IF(Main[[#This Row],[Class]]="C",WORKDAY(Main[[#This Row],[Tech Start Date]],19),IF(Main[[#This Row],[Class]]="B", WORKDAY(Main[[#This Row],[Tech Start Date]],12),IF(Main[[#This Row],[Class]]="A",WORKDAY(Main[[#This Row],[Tech Start Date]],4),""))))</f>
        <v/>
      </c>
      <c r="O1150" s="69" t="str">
        <f>IF(Main[[#This Row],[Tech Start Date]]&lt;1/1/1990,"",IF(Main[[#This Row],[Class]]="C",WORKDAY(Main[[#This Row],[Tech Start Date]],23),IF(Main[[#This Row],[Class]]="B", WORKDAY(Main[[#This Row],[Tech Start Date]],15),IF(Main[[#This Row],[Class]]="A",WORKDAY(Main[[#This Row],[Tech Start Date]],5),""))))</f>
        <v/>
      </c>
      <c r="P1150" s="69" t="str">
        <f>IF(Main[[#This Row],[Tech Start Date]]&lt;1/1/1990,"",IF(Main[[#This Row],[Class]]="C",WORKDAY(Main[[#This Row],[Tech Start Date]],28),IF(Main[[#This Row],[Class]]="B", WORKDAY(Main[[#This Row],[Tech Start Date]],19),IF(Main[[#This Row],[Class]]="A",WORKDAY(Main[[#This Row],[Tech Start Date]],9),""))))</f>
        <v/>
      </c>
      <c r="Q1150" s="67">
        <v>40715</v>
      </c>
      <c r="R1150" s="67"/>
      <c r="S1150" s="65" t="s">
        <v>6</v>
      </c>
      <c r="T1150" s="70" t="s">
        <v>4</v>
      </c>
      <c r="U1150" s="65" t="s">
        <v>7</v>
      </c>
      <c r="V1150" s="65" t="s">
        <v>1917</v>
      </c>
      <c r="W1150" s="65" t="s">
        <v>1928</v>
      </c>
      <c r="X1150" s="65" t="s">
        <v>972</v>
      </c>
      <c r="Y1150" s="65" t="s">
        <v>3103</v>
      </c>
      <c r="Z1150" s="65" t="s">
        <v>4</v>
      </c>
      <c r="AA1150" s="65" t="s">
        <v>972</v>
      </c>
    </row>
    <row r="1151" spans="1:27" ht="17.45" customHeight="1">
      <c r="A1151" s="131" t="str">
        <f>IF(priority(Main[[#This Row],[Comments]])&lt;&gt;0, priority(Main[[#This Row],[Comments]]),"")</f>
        <v/>
      </c>
      <c r="B1151" s="99" t="s">
        <v>1115</v>
      </c>
      <c r="C1151" s="65" t="s">
        <v>37</v>
      </c>
      <c r="D1151" s="66" t="s">
        <v>2489</v>
      </c>
      <c r="E1151" s="67">
        <v>40767.459861111114</v>
      </c>
      <c r="F1151" s="67"/>
      <c r="G1151" s="64" t="str">
        <f>IF(stdProdLT(Main[[#This Row],[Comments]])=0.1,"N/A",IF(stdProdLT(Main[[#This Row],[Comments]])=0,"",stdProdLT(Main[[#This Row],[Comments]])))</f>
        <v/>
      </c>
      <c r="H1151" s="68" t="str">
        <f>IF(AND(Main[[#This Row],[In Stock Date]]&lt;&gt;"",Main[[#This Row],[Revised Due Date]]&lt;&gt;""),Main[[#This Row],[In Stock Date]]-Main[[#This Row],[Revised Due Date]],"")</f>
        <v/>
      </c>
      <c r="I1151" s="65" t="s">
        <v>4</v>
      </c>
      <c r="J1151" s="65" t="s">
        <v>4</v>
      </c>
      <c r="K1151" s="65" t="s">
        <v>4</v>
      </c>
      <c r="L1151" s="67"/>
      <c r="M1151" s="69" t="str">
        <f>IF(Main[[#This Row],[Tech Start Date]]&lt;1/1/1990,"",IF(Main[[#This Row],[Class]]="C",WORKDAY(Main[[#This Row],[Tech Start Date]],9),IF(Main[[#This Row],[Class]]="B", WORKDAY(Main[[#This Row],[Tech Start Date]],6),IF(Main[[#This Row],[Class]]="A",WORKDAY(Main[[#This Row],[Tech Start Date]],2),""))))</f>
        <v/>
      </c>
      <c r="N1151" s="69" t="str">
        <f>IF(Main[[#This Row],[Tech Start Date]]&lt;1/1/1990,"",IF(Main[[#This Row],[Class]]="C",WORKDAY(Main[[#This Row],[Tech Start Date]],19),IF(Main[[#This Row],[Class]]="B", WORKDAY(Main[[#This Row],[Tech Start Date]],12),IF(Main[[#This Row],[Class]]="A",WORKDAY(Main[[#This Row],[Tech Start Date]],4),""))))</f>
        <v/>
      </c>
      <c r="O1151" s="69" t="str">
        <f>IF(Main[[#This Row],[Tech Start Date]]&lt;1/1/1990,"",IF(Main[[#This Row],[Class]]="C",WORKDAY(Main[[#This Row],[Tech Start Date]],23),IF(Main[[#This Row],[Class]]="B", WORKDAY(Main[[#This Row],[Tech Start Date]],15),IF(Main[[#This Row],[Class]]="A",WORKDAY(Main[[#This Row],[Tech Start Date]],5),""))))</f>
        <v/>
      </c>
      <c r="P1151" s="69" t="str">
        <f>IF(Main[[#This Row],[Tech Start Date]]&lt;1/1/1990,"",IF(Main[[#This Row],[Class]]="C",WORKDAY(Main[[#This Row],[Tech Start Date]],28),IF(Main[[#This Row],[Class]]="B", WORKDAY(Main[[#This Row],[Tech Start Date]],19),IF(Main[[#This Row],[Class]]="A",WORKDAY(Main[[#This Row],[Tech Start Date]],9),""))))</f>
        <v/>
      </c>
      <c r="Q1151" s="67">
        <v>40716</v>
      </c>
      <c r="R1151" s="67"/>
      <c r="S1151" s="65" t="s">
        <v>6</v>
      </c>
      <c r="T1151" s="70" t="s">
        <v>4</v>
      </c>
      <c r="U1151" s="65" t="s">
        <v>7</v>
      </c>
      <c r="V1151" s="65" t="s">
        <v>1917</v>
      </c>
      <c r="W1151" s="65" t="s">
        <v>1928</v>
      </c>
      <c r="X1151" s="65" t="s">
        <v>972</v>
      </c>
      <c r="Y1151" s="65" t="s">
        <v>3103</v>
      </c>
      <c r="Z1151" s="65" t="s">
        <v>4</v>
      </c>
      <c r="AA1151" s="65" t="s">
        <v>972</v>
      </c>
    </row>
    <row r="1152" spans="1:27" ht="17.45" customHeight="1">
      <c r="A1152" s="131" t="str">
        <f>IF(priority(Main[[#This Row],[Comments]])&lt;&gt;0, priority(Main[[#This Row],[Comments]]),"")</f>
        <v/>
      </c>
      <c r="B1152" s="99" t="s">
        <v>2492</v>
      </c>
      <c r="C1152" s="65" t="s">
        <v>4</v>
      </c>
      <c r="D1152" s="66" t="s">
        <v>2493</v>
      </c>
      <c r="E1152" s="67">
        <v>40857.542858796296</v>
      </c>
      <c r="F1152" s="67"/>
      <c r="G1152" s="64" t="str">
        <f>IF(stdProdLT(Main[[#This Row],[Comments]])=0.1,"N/A",IF(stdProdLT(Main[[#This Row],[Comments]])=0,"",stdProdLT(Main[[#This Row],[Comments]])))</f>
        <v/>
      </c>
      <c r="H1152" s="68" t="str">
        <f>IF(AND(Main[[#This Row],[In Stock Date]]&lt;&gt;"",Main[[#This Row],[Revised Due Date]]&lt;&gt;""),Main[[#This Row],[In Stock Date]]-Main[[#This Row],[Revised Due Date]],"")</f>
        <v/>
      </c>
      <c r="I1152" s="65" t="s">
        <v>4</v>
      </c>
      <c r="J1152" s="65" t="s">
        <v>4</v>
      </c>
      <c r="K1152" s="65" t="s">
        <v>4</v>
      </c>
      <c r="L1152" s="67"/>
      <c r="M1152" s="69" t="str">
        <f>IF(Main[[#This Row],[Tech Start Date]]&lt;1/1/1990,"",IF(Main[[#This Row],[Class]]="C",WORKDAY(Main[[#This Row],[Tech Start Date]],9),IF(Main[[#This Row],[Class]]="B", WORKDAY(Main[[#This Row],[Tech Start Date]],6),IF(Main[[#This Row],[Class]]="A",WORKDAY(Main[[#This Row],[Tech Start Date]],2),""))))</f>
        <v/>
      </c>
      <c r="N1152" s="69" t="str">
        <f>IF(Main[[#This Row],[Tech Start Date]]&lt;1/1/1990,"",IF(Main[[#This Row],[Class]]="C",WORKDAY(Main[[#This Row],[Tech Start Date]],19),IF(Main[[#This Row],[Class]]="B", WORKDAY(Main[[#This Row],[Tech Start Date]],12),IF(Main[[#This Row],[Class]]="A",WORKDAY(Main[[#This Row],[Tech Start Date]],4),""))))</f>
        <v/>
      </c>
      <c r="O1152" s="69" t="str">
        <f>IF(Main[[#This Row],[Tech Start Date]]&lt;1/1/1990,"",IF(Main[[#This Row],[Class]]="C",WORKDAY(Main[[#This Row],[Tech Start Date]],23),IF(Main[[#This Row],[Class]]="B", WORKDAY(Main[[#This Row],[Tech Start Date]],15),IF(Main[[#This Row],[Class]]="A",WORKDAY(Main[[#This Row],[Tech Start Date]],5),""))))</f>
        <v/>
      </c>
      <c r="P1152" s="69" t="str">
        <f>IF(Main[[#This Row],[Tech Start Date]]&lt;1/1/1990,"",IF(Main[[#This Row],[Class]]="C",WORKDAY(Main[[#This Row],[Tech Start Date]],28),IF(Main[[#This Row],[Class]]="B", WORKDAY(Main[[#This Row],[Tech Start Date]],19),IF(Main[[#This Row],[Class]]="A",WORKDAY(Main[[#This Row],[Tech Start Date]],9),""))))</f>
        <v/>
      </c>
      <c r="Q1152" s="67"/>
      <c r="R1152" s="67"/>
      <c r="S1152" s="65" t="s">
        <v>11</v>
      </c>
      <c r="T1152" s="70" t="s">
        <v>4</v>
      </c>
      <c r="U1152" s="65" t="s">
        <v>29</v>
      </c>
      <c r="V1152" s="65" t="s">
        <v>1918</v>
      </c>
      <c r="W1152" s="65" t="s">
        <v>4</v>
      </c>
      <c r="X1152" s="65" t="s">
        <v>2254</v>
      </c>
      <c r="Y1152" s="65" t="s">
        <v>4</v>
      </c>
      <c r="Z1152" s="65" t="s">
        <v>4</v>
      </c>
      <c r="AA1152" s="65" t="s">
        <v>4</v>
      </c>
    </row>
    <row r="1153" spans="1:27" ht="17.45" customHeight="1">
      <c r="A1153" s="131" t="str">
        <f>IF(priority(Main[[#This Row],[Comments]])&lt;&gt;0, priority(Main[[#This Row],[Comments]]),"")</f>
        <v/>
      </c>
      <c r="B1153" s="99" t="s">
        <v>2494</v>
      </c>
      <c r="C1153" s="65" t="s">
        <v>4</v>
      </c>
      <c r="D1153" s="66" t="s">
        <v>2495</v>
      </c>
      <c r="E1153" s="67">
        <v>40820.695763888885</v>
      </c>
      <c r="F1153" s="67"/>
      <c r="G1153" s="64" t="str">
        <f>IF(stdProdLT(Main[[#This Row],[Comments]])=0.1,"N/A",IF(stdProdLT(Main[[#This Row],[Comments]])=0,"",stdProdLT(Main[[#This Row],[Comments]])))</f>
        <v/>
      </c>
      <c r="H1153" s="68" t="str">
        <f>IF(AND(Main[[#This Row],[In Stock Date]]&lt;&gt;"",Main[[#This Row],[Revised Due Date]]&lt;&gt;""),Main[[#This Row],[In Stock Date]]-Main[[#This Row],[Revised Due Date]],"")</f>
        <v/>
      </c>
      <c r="I1153" s="65" t="s">
        <v>4</v>
      </c>
      <c r="J1153" s="65" t="s">
        <v>4</v>
      </c>
      <c r="K1153" s="65" t="s">
        <v>4</v>
      </c>
      <c r="L1153" s="67"/>
      <c r="M1153" s="69" t="str">
        <f>IF(Main[[#This Row],[Tech Start Date]]&lt;1/1/1990,"",IF(Main[[#This Row],[Class]]="C",WORKDAY(Main[[#This Row],[Tech Start Date]],9),IF(Main[[#This Row],[Class]]="B", WORKDAY(Main[[#This Row],[Tech Start Date]],6),IF(Main[[#This Row],[Class]]="A",WORKDAY(Main[[#This Row],[Tech Start Date]],2),""))))</f>
        <v/>
      </c>
      <c r="N1153" s="69" t="str">
        <f>IF(Main[[#This Row],[Tech Start Date]]&lt;1/1/1990,"",IF(Main[[#This Row],[Class]]="C",WORKDAY(Main[[#This Row],[Tech Start Date]],19),IF(Main[[#This Row],[Class]]="B", WORKDAY(Main[[#This Row],[Tech Start Date]],12),IF(Main[[#This Row],[Class]]="A",WORKDAY(Main[[#This Row],[Tech Start Date]],4),""))))</f>
        <v/>
      </c>
      <c r="O1153" s="69" t="str">
        <f>IF(Main[[#This Row],[Tech Start Date]]&lt;1/1/1990,"",IF(Main[[#This Row],[Class]]="C",WORKDAY(Main[[#This Row],[Tech Start Date]],23),IF(Main[[#This Row],[Class]]="B", WORKDAY(Main[[#This Row],[Tech Start Date]],15),IF(Main[[#This Row],[Class]]="A",WORKDAY(Main[[#This Row],[Tech Start Date]],5),""))))</f>
        <v/>
      </c>
      <c r="P1153" s="69" t="str">
        <f>IF(Main[[#This Row],[Tech Start Date]]&lt;1/1/1990,"",IF(Main[[#This Row],[Class]]="C",WORKDAY(Main[[#This Row],[Tech Start Date]],28),IF(Main[[#This Row],[Class]]="B", WORKDAY(Main[[#This Row],[Tech Start Date]],19),IF(Main[[#This Row],[Class]]="A",WORKDAY(Main[[#This Row],[Tech Start Date]],9),""))))</f>
        <v/>
      </c>
      <c r="Q1153" s="67"/>
      <c r="R1153" s="67"/>
      <c r="S1153" s="65" t="s">
        <v>6</v>
      </c>
      <c r="T1153" s="70" t="s">
        <v>4</v>
      </c>
      <c r="U1153" s="65" t="s">
        <v>29</v>
      </c>
      <c r="V1153" s="65" t="s">
        <v>1920</v>
      </c>
      <c r="W1153" s="65" t="s">
        <v>1921</v>
      </c>
      <c r="X1153" s="65" t="s">
        <v>102</v>
      </c>
      <c r="Y1153" s="65" t="s">
        <v>3120</v>
      </c>
      <c r="Z1153" s="65" t="s">
        <v>4</v>
      </c>
      <c r="AA1153" s="65" t="s">
        <v>885</v>
      </c>
    </row>
    <row r="1154" spans="1:27" ht="17.45" customHeight="1">
      <c r="A1154" s="131" t="str">
        <f>IF(priority(Main[[#This Row],[Comments]])&lt;&gt;0, priority(Main[[#This Row],[Comments]]),"")</f>
        <v/>
      </c>
      <c r="B1154" s="99" t="s">
        <v>3545</v>
      </c>
      <c r="C1154" s="65" t="s">
        <v>4</v>
      </c>
      <c r="D1154" s="66" t="s">
        <v>3546</v>
      </c>
      <c r="E1154" s="67">
        <v>40949.644756944443</v>
      </c>
      <c r="F1154" s="67"/>
      <c r="G1154" s="64" t="str">
        <f>IF(stdProdLT(Main[[#This Row],[Comments]])=0.1,"N/A",IF(stdProdLT(Main[[#This Row],[Comments]])=0,"",stdProdLT(Main[[#This Row],[Comments]])))</f>
        <v/>
      </c>
      <c r="H1154" s="68" t="str">
        <f>IF(AND(Main[[#This Row],[In Stock Date]]&lt;&gt;"",Main[[#This Row],[Revised Due Date]]&lt;&gt;""),Main[[#This Row],[In Stock Date]]-Main[[#This Row],[Revised Due Date]],"")</f>
        <v/>
      </c>
      <c r="I1154" s="65" t="s">
        <v>4</v>
      </c>
      <c r="J1154" s="65" t="s">
        <v>4</v>
      </c>
      <c r="K1154" s="65" t="s">
        <v>4</v>
      </c>
      <c r="L1154" s="67"/>
      <c r="M1154" s="69" t="str">
        <f>IF(Main[[#This Row],[Tech Start Date]]&lt;1/1/1990,"",IF(Main[[#This Row],[Class]]="C",WORKDAY(Main[[#This Row],[Tech Start Date]],9),IF(Main[[#This Row],[Class]]="B", WORKDAY(Main[[#This Row],[Tech Start Date]],6),IF(Main[[#This Row],[Class]]="A",WORKDAY(Main[[#This Row],[Tech Start Date]],2),""))))</f>
        <v/>
      </c>
      <c r="N1154" s="69" t="str">
        <f>IF(Main[[#This Row],[Tech Start Date]]&lt;1/1/1990,"",IF(Main[[#This Row],[Class]]="C",WORKDAY(Main[[#This Row],[Tech Start Date]],19),IF(Main[[#This Row],[Class]]="B", WORKDAY(Main[[#This Row],[Tech Start Date]],12),IF(Main[[#This Row],[Class]]="A",WORKDAY(Main[[#This Row],[Tech Start Date]],4),""))))</f>
        <v/>
      </c>
      <c r="O1154" s="69" t="str">
        <f>IF(Main[[#This Row],[Tech Start Date]]&lt;1/1/1990,"",IF(Main[[#This Row],[Class]]="C",WORKDAY(Main[[#This Row],[Tech Start Date]],23),IF(Main[[#This Row],[Class]]="B", WORKDAY(Main[[#This Row],[Tech Start Date]],15),IF(Main[[#This Row],[Class]]="A",WORKDAY(Main[[#This Row],[Tech Start Date]],5),""))))</f>
        <v/>
      </c>
      <c r="P1154" s="69" t="str">
        <f>IF(Main[[#This Row],[Tech Start Date]]&lt;1/1/1990,"",IF(Main[[#This Row],[Class]]="C",WORKDAY(Main[[#This Row],[Tech Start Date]],28),IF(Main[[#This Row],[Class]]="B", WORKDAY(Main[[#This Row],[Tech Start Date]],19),IF(Main[[#This Row],[Class]]="A",WORKDAY(Main[[#This Row],[Tech Start Date]],9),""))))</f>
        <v/>
      </c>
      <c r="Q1154" s="67">
        <v>40959</v>
      </c>
      <c r="R1154" s="67"/>
      <c r="S1154" s="65" t="s">
        <v>4</v>
      </c>
      <c r="T1154" s="70" t="s">
        <v>4</v>
      </c>
      <c r="U1154" s="65" t="s">
        <v>7</v>
      </c>
      <c r="V1154" s="65" t="s">
        <v>1917</v>
      </c>
      <c r="W1154" s="65" t="s">
        <v>4</v>
      </c>
      <c r="X1154" s="65" t="s">
        <v>958</v>
      </c>
      <c r="Y1154" s="65" t="s">
        <v>4</v>
      </c>
      <c r="Z1154" s="65" t="s">
        <v>4</v>
      </c>
      <c r="AA1154" s="65" t="s">
        <v>4</v>
      </c>
    </row>
    <row r="1155" spans="1:27" ht="17.45" customHeight="1">
      <c r="A1155" s="131" t="str">
        <f>IF(priority(Main[[#This Row],[Comments]])&lt;&gt;0, priority(Main[[#This Row],[Comments]]),"")</f>
        <v/>
      </c>
      <c r="B1155" s="99" t="s">
        <v>2498</v>
      </c>
      <c r="C1155" s="65" t="s">
        <v>4</v>
      </c>
      <c r="D1155" s="66" t="s">
        <v>2499</v>
      </c>
      <c r="E1155" s="67">
        <v>40855.647002314814</v>
      </c>
      <c r="F1155" s="67"/>
      <c r="G1155" s="64" t="str">
        <f>IF(stdProdLT(Main[[#This Row],[Comments]])=0.1,"N/A",IF(stdProdLT(Main[[#This Row],[Comments]])=0,"",stdProdLT(Main[[#This Row],[Comments]])))</f>
        <v/>
      </c>
      <c r="H1155" s="68" t="str">
        <f>IF(AND(Main[[#This Row],[In Stock Date]]&lt;&gt;"",Main[[#This Row],[Revised Due Date]]&lt;&gt;""),Main[[#This Row],[In Stock Date]]-Main[[#This Row],[Revised Due Date]],"")</f>
        <v/>
      </c>
      <c r="I1155" s="65" t="s">
        <v>4</v>
      </c>
      <c r="J1155" s="65" t="s">
        <v>4</v>
      </c>
      <c r="K1155" s="65" t="s">
        <v>4</v>
      </c>
      <c r="L1155" s="67"/>
      <c r="M1155" s="69" t="str">
        <f>IF(Main[[#This Row],[Tech Start Date]]&lt;1/1/1990,"",IF(Main[[#This Row],[Class]]="C",WORKDAY(Main[[#This Row],[Tech Start Date]],9),IF(Main[[#This Row],[Class]]="B", WORKDAY(Main[[#This Row],[Tech Start Date]],6),IF(Main[[#This Row],[Class]]="A",WORKDAY(Main[[#This Row],[Tech Start Date]],2),""))))</f>
        <v/>
      </c>
      <c r="N1155" s="69" t="str">
        <f>IF(Main[[#This Row],[Tech Start Date]]&lt;1/1/1990,"",IF(Main[[#This Row],[Class]]="C",WORKDAY(Main[[#This Row],[Tech Start Date]],19),IF(Main[[#This Row],[Class]]="B", WORKDAY(Main[[#This Row],[Tech Start Date]],12),IF(Main[[#This Row],[Class]]="A",WORKDAY(Main[[#This Row],[Tech Start Date]],4),""))))</f>
        <v/>
      </c>
      <c r="O1155" s="69" t="str">
        <f>IF(Main[[#This Row],[Tech Start Date]]&lt;1/1/1990,"",IF(Main[[#This Row],[Class]]="C",WORKDAY(Main[[#This Row],[Tech Start Date]],23),IF(Main[[#This Row],[Class]]="B", WORKDAY(Main[[#This Row],[Tech Start Date]],15),IF(Main[[#This Row],[Class]]="A",WORKDAY(Main[[#This Row],[Tech Start Date]],5),""))))</f>
        <v/>
      </c>
      <c r="P1155" s="69" t="str">
        <f>IF(Main[[#This Row],[Tech Start Date]]&lt;1/1/1990,"",IF(Main[[#This Row],[Class]]="C",WORKDAY(Main[[#This Row],[Tech Start Date]],28),IF(Main[[#This Row],[Class]]="B", WORKDAY(Main[[#This Row],[Tech Start Date]],19),IF(Main[[#This Row],[Class]]="A",WORKDAY(Main[[#This Row],[Tech Start Date]],9),""))))</f>
        <v/>
      </c>
      <c r="Q1155" s="67">
        <v>40892</v>
      </c>
      <c r="R1155" s="67"/>
      <c r="S1155" s="65" t="s">
        <v>6</v>
      </c>
      <c r="T1155" s="70" t="s">
        <v>4</v>
      </c>
      <c r="U1155" s="65" t="s">
        <v>7</v>
      </c>
      <c r="V1155" s="65" t="s">
        <v>1917</v>
      </c>
      <c r="W1155" s="65" t="s">
        <v>1925</v>
      </c>
      <c r="X1155" s="65" t="s">
        <v>2827</v>
      </c>
      <c r="Y1155" s="65" t="s">
        <v>2942</v>
      </c>
      <c r="Z1155" s="65" t="s">
        <v>4</v>
      </c>
      <c r="AA1155" s="65" t="s">
        <v>2827</v>
      </c>
    </row>
    <row r="1156" spans="1:27" ht="17.45" customHeight="1">
      <c r="A1156" s="131" t="str">
        <f>IF(priority(Main[[#This Row],[Comments]])&lt;&gt;0, priority(Main[[#This Row],[Comments]]),"")</f>
        <v/>
      </c>
      <c r="B1156" s="99" t="s">
        <v>3313</v>
      </c>
      <c r="C1156" s="65" t="s">
        <v>4</v>
      </c>
      <c r="D1156" s="66" t="s">
        <v>3678</v>
      </c>
      <c r="E1156" s="67">
        <v>40934.445497685185</v>
      </c>
      <c r="F1156" s="67"/>
      <c r="G1156" s="64" t="str">
        <f>IF(stdProdLT(Main[[#This Row],[Comments]])=0.1,"N/A",IF(stdProdLT(Main[[#This Row],[Comments]])=0,"",stdProdLT(Main[[#This Row],[Comments]])))</f>
        <v/>
      </c>
      <c r="H1156" s="68" t="str">
        <f>IF(AND(Main[[#This Row],[In Stock Date]]&lt;&gt;"",Main[[#This Row],[Revised Due Date]]&lt;&gt;""),Main[[#This Row],[In Stock Date]]-Main[[#This Row],[Revised Due Date]],"")</f>
        <v/>
      </c>
      <c r="I1156" s="65" t="s">
        <v>69</v>
      </c>
      <c r="J1156" s="65" t="s">
        <v>70</v>
      </c>
      <c r="K1156" s="71" t="s">
        <v>4</v>
      </c>
      <c r="L1156" s="67"/>
      <c r="M1156" s="69" t="str">
        <f>IF(Main[[#This Row],[Tech Start Date]]&lt;1/1/1990,"",IF(Main[[#This Row],[Class]]="C",WORKDAY(Main[[#This Row],[Tech Start Date]],9),IF(Main[[#This Row],[Class]]="B", WORKDAY(Main[[#This Row],[Tech Start Date]],6),IF(Main[[#This Row],[Class]]="A",WORKDAY(Main[[#This Row],[Tech Start Date]],2),""))))</f>
        <v/>
      </c>
      <c r="N1156" s="69" t="str">
        <f>IF(Main[[#This Row],[Tech Start Date]]&lt;1/1/1990,"",IF(Main[[#This Row],[Class]]="C",WORKDAY(Main[[#This Row],[Tech Start Date]],19),IF(Main[[#This Row],[Class]]="B", WORKDAY(Main[[#This Row],[Tech Start Date]],12),IF(Main[[#This Row],[Class]]="A",WORKDAY(Main[[#This Row],[Tech Start Date]],4),""))))</f>
        <v/>
      </c>
      <c r="O1156" s="69" t="str">
        <f>IF(Main[[#This Row],[Tech Start Date]]&lt;1/1/1990,"",IF(Main[[#This Row],[Class]]="C",WORKDAY(Main[[#This Row],[Tech Start Date]],23),IF(Main[[#This Row],[Class]]="B", WORKDAY(Main[[#This Row],[Tech Start Date]],15),IF(Main[[#This Row],[Class]]="A",WORKDAY(Main[[#This Row],[Tech Start Date]],5),""))))</f>
        <v/>
      </c>
      <c r="P1156" s="69" t="str">
        <f>IF(Main[[#This Row],[Tech Start Date]]&lt;1/1/1990,"",IF(Main[[#This Row],[Class]]="C",WORKDAY(Main[[#This Row],[Tech Start Date]],28),IF(Main[[#This Row],[Class]]="B", WORKDAY(Main[[#This Row],[Tech Start Date]],19),IF(Main[[#This Row],[Class]]="A",WORKDAY(Main[[#This Row],[Tech Start Date]],9),""))))</f>
        <v/>
      </c>
      <c r="Q1156" s="67">
        <v>40968</v>
      </c>
      <c r="R1156" s="67"/>
      <c r="S1156" s="65" t="s">
        <v>6</v>
      </c>
      <c r="T1156" s="70" t="s">
        <v>4</v>
      </c>
      <c r="U1156" s="65" t="s">
        <v>29</v>
      </c>
      <c r="V1156" s="65" t="s">
        <v>1920</v>
      </c>
      <c r="W1156" s="65" t="s">
        <v>4</v>
      </c>
      <c r="X1156" s="65" t="s">
        <v>2825</v>
      </c>
      <c r="Y1156" s="65" t="s">
        <v>2938</v>
      </c>
      <c r="Z1156" s="65" t="s">
        <v>4</v>
      </c>
      <c r="AA1156" s="65" t="s">
        <v>2825</v>
      </c>
    </row>
    <row r="1157" spans="1:27" ht="17.45" customHeight="1">
      <c r="A1157" s="131" t="str">
        <f>IF(priority(Main[[#This Row],[Comments]])&lt;&gt;0, priority(Main[[#This Row],[Comments]]),"")</f>
        <v/>
      </c>
      <c r="B1157" s="99" t="s">
        <v>2366</v>
      </c>
      <c r="C1157" s="65" t="s">
        <v>4</v>
      </c>
      <c r="D1157" s="66" t="s">
        <v>3513</v>
      </c>
      <c r="E1157" s="67">
        <v>40854.718263888892</v>
      </c>
      <c r="F1157" s="67"/>
      <c r="G1157" s="64" t="str">
        <f>IF(stdProdLT(Main[[#This Row],[Comments]])=0.1,"N/A",IF(stdProdLT(Main[[#This Row],[Comments]])=0,"",stdProdLT(Main[[#This Row],[Comments]])))</f>
        <v/>
      </c>
      <c r="H1157" s="68" t="str">
        <f>IF(AND(Main[[#This Row],[In Stock Date]]&lt;&gt;"",Main[[#This Row],[Revised Due Date]]&lt;&gt;""),Main[[#This Row],[In Stock Date]]-Main[[#This Row],[Revised Due Date]],"")</f>
        <v/>
      </c>
      <c r="I1157" s="65" t="s">
        <v>4</v>
      </c>
      <c r="J1157" s="65" t="s">
        <v>4</v>
      </c>
      <c r="K1157" s="71" t="s">
        <v>4</v>
      </c>
      <c r="L1157" s="67"/>
      <c r="M1157" s="69" t="str">
        <f>IF(Main[[#This Row],[Tech Start Date]]&lt;1/1/1990,"",IF(Main[[#This Row],[Class]]="C",WORKDAY(Main[[#This Row],[Tech Start Date]],9),IF(Main[[#This Row],[Class]]="B", WORKDAY(Main[[#This Row],[Tech Start Date]],6),IF(Main[[#This Row],[Class]]="A",WORKDAY(Main[[#This Row],[Tech Start Date]],2),""))))</f>
        <v/>
      </c>
      <c r="N1157" s="69" t="str">
        <f>IF(Main[[#This Row],[Tech Start Date]]&lt;1/1/1990,"",IF(Main[[#This Row],[Class]]="C",WORKDAY(Main[[#This Row],[Tech Start Date]],19),IF(Main[[#This Row],[Class]]="B", WORKDAY(Main[[#This Row],[Tech Start Date]],12),IF(Main[[#This Row],[Class]]="A",WORKDAY(Main[[#This Row],[Tech Start Date]],4),""))))</f>
        <v/>
      </c>
      <c r="O1157" s="69" t="str">
        <f>IF(Main[[#This Row],[Tech Start Date]]&lt;1/1/1990,"",IF(Main[[#This Row],[Class]]="C",WORKDAY(Main[[#This Row],[Tech Start Date]],23),IF(Main[[#This Row],[Class]]="B", WORKDAY(Main[[#This Row],[Tech Start Date]],15),IF(Main[[#This Row],[Class]]="A",WORKDAY(Main[[#This Row],[Tech Start Date]],5),""))))</f>
        <v/>
      </c>
      <c r="P1157" s="69" t="str">
        <f>IF(Main[[#This Row],[Tech Start Date]]&lt;1/1/1990,"",IF(Main[[#This Row],[Class]]="C",WORKDAY(Main[[#This Row],[Tech Start Date]],28),IF(Main[[#This Row],[Class]]="B", WORKDAY(Main[[#This Row],[Tech Start Date]],19),IF(Main[[#This Row],[Class]]="A",WORKDAY(Main[[#This Row],[Tech Start Date]],9),""))))</f>
        <v/>
      </c>
      <c r="Q1157" s="67">
        <v>40884</v>
      </c>
      <c r="R1157" s="67"/>
      <c r="S1157" s="65" t="s">
        <v>6</v>
      </c>
      <c r="T1157" s="70" t="s">
        <v>4</v>
      </c>
      <c r="U1157" s="65" t="s">
        <v>7</v>
      </c>
      <c r="V1157" s="65" t="s">
        <v>2288</v>
      </c>
      <c r="W1157" s="65" t="s">
        <v>4</v>
      </c>
      <c r="X1157" s="65" t="s">
        <v>2871</v>
      </c>
      <c r="Y1157" s="65" t="s">
        <v>3016</v>
      </c>
      <c r="Z1157" s="65" t="s">
        <v>4</v>
      </c>
      <c r="AA1157" s="65" t="s">
        <v>2871</v>
      </c>
    </row>
    <row r="1158" spans="1:27" ht="17.45" customHeight="1">
      <c r="A1158" s="131" t="str">
        <f>IF(priority(Main[[#This Row],[Comments]])&lt;&gt;0, priority(Main[[#This Row],[Comments]]),"")</f>
        <v/>
      </c>
      <c r="B1158" s="99" t="s">
        <v>2505</v>
      </c>
      <c r="C1158" s="65" t="s">
        <v>4</v>
      </c>
      <c r="D1158" s="66" t="s">
        <v>2506</v>
      </c>
      <c r="E1158" s="67"/>
      <c r="F1158" s="67"/>
      <c r="G1158" s="64" t="str">
        <f>IF(stdProdLT(Main[[#This Row],[Comments]])=0.1,"N/A",IF(stdProdLT(Main[[#This Row],[Comments]])=0,"",stdProdLT(Main[[#This Row],[Comments]])))</f>
        <v/>
      </c>
      <c r="H1158" s="68" t="str">
        <f>IF(AND(Main[[#This Row],[In Stock Date]]&lt;&gt;"",Main[[#This Row],[Revised Due Date]]&lt;&gt;""),Main[[#This Row],[In Stock Date]]-Main[[#This Row],[Revised Due Date]],"")</f>
        <v/>
      </c>
      <c r="I1158" s="65" t="s">
        <v>4</v>
      </c>
      <c r="J1158" s="65" t="s">
        <v>4</v>
      </c>
      <c r="K1158" s="65" t="s">
        <v>4</v>
      </c>
      <c r="L1158" s="67"/>
      <c r="M1158" s="69" t="str">
        <f>IF(Main[[#This Row],[Tech Start Date]]&lt;1/1/1990,"",IF(Main[[#This Row],[Class]]="C",WORKDAY(Main[[#This Row],[Tech Start Date]],9),IF(Main[[#This Row],[Class]]="B", WORKDAY(Main[[#This Row],[Tech Start Date]],6),IF(Main[[#This Row],[Class]]="A",WORKDAY(Main[[#This Row],[Tech Start Date]],2),""))))</f>
        <v/>
      </c>
      <c r="N1158" s="69" t="str">
        <f>IF(Main[[#This Row],[Tech Start Date]]&lt;1/1/1990,"",IF(Main[[#This Row],[Class]]="C",WORKDAY(Main[[#This Row],[Tech Start Date]],19),IF(Main[[#This Row],[Class]]="B", WORKDAY(Main[[#This Row],[Tech Start Date]],12),IF(Main[[#This Row],[Class]]="A",WORKDAY(Main[[#This Row],[Tech Start Date]],4),""))))</f>
        <v/>
      </c>
      <c r="O1158" s="69" t="str">
        <f>IF(Main[[#This Row],[Tech Start Date]]&lt;1/1/1990,"",IF(Main[[#This Row],[Class]]="C",WORKDAY(Main[[#This Row],[Tech Start Date]],23),IF(Main[[#This Row],[Class]]="B", WORKDAY(Main[[#This Row],[Tech Start Date]],15),IF(Main[[#This Row],[Class]]="A",WORKDAY(Main[[#This Row],[Tech Start Date]],5),""))))</f>
        <v/>
      </c>
      <c r="P1158" s="69" t="str">
        <f>IF(Main[[#This Row],[Tech Start Date]]&lt;1/1/1990,"",IF(Main[[#This Row],[Class]]="C",WORKDAY(Main[[#This Row],[Tech Start Date]],28),IF(Main[[#This Row],[Class]]="B", WORKDAY(Main[[#This Row],[Tech Start Date]],19),IF(Main[[#This Row],[Class]]="A",WORKDAY(Main[[#This Row],[Tech Start Date]],9),""))))</f>
        <v/>
      </c>
      <c r="Q1158" s="67"/>
      <c r="R1158" s="67"/>
      <c r="S1158" s="65" t="s">
        <v>11</v>
      </c>
      <c r="T1158" s="70" t="s">
        <v>4</v>
      </c>
      <c r="U1158" s="65" t="s">
        <v>14</v>
      </c>
      <c r="V1158" s="65" t="s">
        <v>1917</v>
      </c>
      <c r="W1158" s="65" t="s">
        <v>1925</v>
      </c>
      <c r="X1158" s="65" t="s">
        <v>2912</v>
      </c>
      <c r="Y1158" s="65" t="s">
        <v>3102</v>
      </c>
      <c r="Z1158" s="65" t="s">
        <v>879</v>
      </c>
      <c r="AA1158" s="65" t="s">
        <v>2912</v>
      </c>
    </row>
    <row r="1159" spans="1:27" ht="17.45" customHeight="1">
      <c r="A1159" s="131" t="str">
        <f>IF(priority(Main[[#This Row],[Comments]])&lt;&gt;0, priority(Main[[#This Row],[Comments]]),"")</f>
        <v/>
      </c>
      <c r="B1159" s="99" t="s">
        <v>3331</v>
      </c>
      <c r="C1159" s="65" t="s">
        <v>4</v>
      </c>
      <c r="D1159" s="66" t="s">
        <v>3679</v>
      </c>
      <c r="E1159" s="67">
        <v>40939.635509259257</v>
      </c>
      <c r="F1159" s="67"/>
      <c r="G1159" s="64" t="str">
        <f>IF(stdProdLT(Main[[#This Row],[Comments]])=0.1,"N/A",IF(stdProdLT(Main[[#This Row],[Comments]])=0,"",stdProdLT(Main[[#This Row],[Comments]])))</f>
        <v/>
      </c>
      <c r="H1159" s="68" t="str">
        <f>IF(AND(Main[[#This Row],[In Stock Date]]&lt;&gt;"",Main[[#This Row],[Revised Due Date]]&lt;&gt;""),Main[[#This Row],[In Stock Date]]-Main[[#This Row],[Revised Due Date]],"")</f>
        <v/>
      </c>
      <c r="I1159" s="65" t="s">
        <v>2214</v>
      </c>
      <c r="J1159" s="65" t="s">
        <v>28</v>
      </c>
      <c r="K1159" s="71" t="s">
        <v>1929</v>
      </c>
      <c r="L1159" s="67"/>
      <c r="M1159" s="69" t="str">
        <f>IF(Main[[#This Row],[Tech Start Date]]&lt;1/1/1990,"",IF(Main[[#This Row],[Class]]="C",WORKDAY(Main[[#This Row],[Tech Start Date]],9),IF(Main[[#This Row],[Class]]="B", WORKDAY(Main[[#This Row],[Tech Start Date]],6),IF(Main[[#This Row],[Class]]="A",WORKDAY(Main[[#This Row],[Tech Start Date]],2),""))))</f>
        <v/>
      </c>
      <c r="N1159" s="69" t="str">
        <f>IF(Main[[#This Row],[Tech Start Date]]&lt;1/1/1990,"",IF(Main[[#This Row],[Class]]="C",WORKDAY(Main[[#This Row],[Tech Start Date]],19),IF(Main[[#This Row],[Class]]="B", WORKDAY(Main[[#This Row],[Tech Start Date]],12),IF(Main[[#This Row],[Class]]="A",WORKDAY(Main[[#This Row],[Tech Start Date]],4),""))))</f>
        <v/>
      </c>
      <c r="O1159" s="69" t="str">
        <f>IF(Main[[#This Row],[Tech Start Date]]&lt;1/1/1990,"",IF(Main[[#This Row],[Class]]="C",WORKDAY(Main[[#This Row],[Tech Start Date]],23),IF(Main[[#This Row],[Class]]="B", WORKDAY(Main[[#This Row],[Tech Start Date]],15),IF(Main[[#This Row],[Class]]="A",WORKDAY(Main[[#This Row],[Tech Start Date]],5),""))))</f>
        <v/>
      </c>
      <c r="P1159" s="69" t="str">
        <f>IF(Main[[#This Row],[Tech Start Date]]&lt;1/1/1990,"",IF(Main[[#This Row],[Class]]="C",WORKDAY(Main[[#This Row],[Tech Start Date]],28),IF(Main[[#This Row],[Class]]="B", WORKDAY(Main[[#This Row],[Tech Start Date]],19),IF(Main[[#This Row],[Class]]="A",WORKDAY(Main[[#This Row],[Tech Start Date]],9),""))))</f>
        <v/>
      </c>
      <c r="Q1159" s="67"/>
      <c r="R1159" s="67"/>
      <c r="S1159" s="65" t="s">
        <v>6</v>
      </c>
      <c r="T1159" s="70" t="s">
        <v>4</v>
      </c>
      <c r="U1159" s="65" t="s">
        <v>7</v>
      </c>
      <c r="V1159" s="65" t="s">
        <v>1932</v>
      </c>
      <c r="W1159" s="65" t="s">
        <v>1921</v>
      </c>
      <c r="X1159" s="65" t="s">
        <v>306</v>
      </c>
      <c r="Y1159" s="65" t="s">
        <v>4</v>
      </c>
      <c r="Z1159" s="65" t="s">
        <v>2214</v>
      </c>
      <c r="AA1159" s="65" t="s">
        <v>4</v>
      </c>
    </row>
    <row r="1160" spans="1:27" ht="17.45" customHeight="1">
      <c r="A1160" s="131" t="str">
        <f>IF(priority(Main[[#This Row],[Comments]])&lt;&gt;0, priority(Main[[#This Row],[Comments]]),"")</f>
        <v/>
      </c>
      <c r="B1160" s="99" t="s">
        <v>2514</v>
      </c>
      <c r="C1160" s="65" t="s">
        <v>2515</v>
      </c>
      <c r="D1160" s="66" t="s">
        <v>2516</v>
      </c>
      <c r="E1160" s="67"/>
      <c r="F1160" s="67"/>
      <c r="G1160" s="64" t="str">
        <f>IF(stdProdLT(Main[[#This Row],[Comments]])=0.1,"N/A",IF(stdProdLT(Main[[#This Row],[Comments]])=0,"",stdProdLT(Main[[#This Row],[Comments]])))</f>
        <v/>
      </c>
      <c r="H1160" s="68" t="str">
        <f>IF(AND(Main[[#This Row],[In Stock Date]]&lt;&gt;"",Main[[#This Row],[Revised Due Date]]&lt;&gt;""),Main[[#This Row],[In Stock Date]]-Main[[#This Row],[Revised Due Date]],"")</f>
        <v/>
      </c>
      <c r="I1160" s="65" t="s">
        <v>4</v>
      </c>
      <c r="J1160" s="65" t="s">
        <v>4</v>
      </c>
      <c r="K1160" s="65" t="s">
        <v>4</v>
      </c>
      <c r="L1160" s="67"/>
      <c r="M1160" s="69" t="str">
        <f>IF(Main[[#This Row],[Tech Start Date]]&lt;1/1/1990,"",IF(Main[[#This Row],[Class]]="C",WORKDAY(Main[[#This Row],[Tech Start Date]],9),IF(Main[[#This Row],[Class]]="B", WORKDAY(Main[[#This Row],[Tech Start Date]],6),IF(Main[[#This Row],[Class]]="A",WORKDAY(Main[[#This Row],[Tech Start Date]],2),""))))</f>
        <v/>
      </c>
      <c r="N1160" s="69" t="str">
        <f>IF(Main[[#This Row],[Tech Start Date]]&lt;1/1/1990,"",IF(Main[[#This Row],[Class]]="C",WORKDAY(Main[[#This Row],[Tech Start Date]],19),IF(Main[[#This Row],[Class]]="B", WORKDAY(Main[[#This Row],[Tech Start Date]],12),IF(Main[[#This Row],[Class]]="A",WORKDAY(Main[[#This Row],[Tech Start Date]],4),""))))</f>
        <v/>
      </c>
      <c r="O1160" s="69" t="str">
        <f>IF(Main[[#This Row],[Tech Start Date]]&lt;1/1/1990,"",IF(Main[[#This Row],[Class]]="C",WORKDAY(Main[[#This Row],[Tech Start Date]],23),IF(Main[[#This Row],[Class]]="B", WORKDAY(Main[[#This Row],[Tech Start Date]],15),IF(Main[[#This Row],[Class]]="A",WORKDAY(Main[[#This Row],[Tech Start Date]],5),""))))</f>
        <v/>
      </c>
      <c r="P1160" s="69" t="str">
        <f>IF(Main[[#This Row],[Tech Start Date]]&lt;1/1/1990,"",IF(Main[[#This Row],[Class]]="C",WORKDAY(Main[[#This Row],[Tech Start Date]],28),IF(Main[[#This Row],[Class]]="B", WORKDAY(Main[[#This Row],[Tech Start Date]],19),IF(Main[[#This Row],[Class]]="A",WORKDAY(Main[[#This Row],[Tech Start Date]],9),""))))</f>
        <v/>
      </c>
      <c r="Q1160" s="67"/>
      <c r="R1160" s="67"/>
      <c r="S1160" s="65" t="s">
        <v>11</v>
      </c>
      <c r="T1160" s="70" t="s">
        <v>4</v>
      </c>
      <c r="U1160" s="65" t="s">
        <v>14</v>
      </c>
      <c r="V1160" s="65" t="s">
        <v>1918</v>
      </c>
      <c r="W1160" s="65" t="s">
        <v>1925</v>
      </c>
      <c r="X1160" s="65" t="s">
        <v>2254</v>
      </c>
      <c r="Y1160" s="65" t="s">
        <v>4</v>
      </c>
      <c r="Z1160" s="65" t="s">
        <v>4</v>
      </c>
      <c r="AA1160" s="65" t="s">
        <v>3471</v>
      </c>
    </row>
    <row r="1161" spans="1:27" ht="17.45" customHeight="1">
      <c r="A1161" s="131" t="str">
        <f>IF(priority(Main[[#This Row],[Comments]])&lt;&gt;0, priority(Main[[#This Row],[Comments]]),"")</f>
        <v/>
      </c>
      <c r="B1161" s="99" t="s">
        <v>2518</v>
      </c>
      <c r="C1161" s="65" t="s">
        <v>4</v>
      </c>
      <c r="D1161" s="66" t="s">
        <v>2519</v>
      </c>
      <c r="E1161" s="67"/>
      <c r="F1161" s="67"/>
      <c r="G1161" s="64" t="str">
        <f>IF(stdProdLT(Main[[#This Row],[Comments]])=0.1,"N/A",IF(stdProdLT(Main[[#This Row],[Comments]])=0,"",stdProdLT(Main[[#This Row],[Comments]])))</f>
        <v/>
      </c>
      <c r="H1161" s="68" t="str">
        <f>IF(AND(Main[[#This Row],[In Stock Date]]&lt;&gt;"",Main[[#This Row],[Revised Due Date]]&lt;&gt;""),Main[[#This Row],[In Stock Date]]-Main[[#This Row],[Revised Due Date]],"")</f>
        <v/>
      </c>
      <c r="I1161" s="65" t="s">
        <v>4</v>
      </c>
      <c r="J1161" s="65" t="s">
        <v>4</v>
      </c>
      <c r="K1161" s="65" t="s">
        <v>4</v>
      </c>
      <c r="L1161" s="67"/>
      <c r="M1161" s="69" t="str">
        <f>IF(Main[[#This Row],[Tech Start Date]]&lt;1/1/1990,"",IF(Main[[#This Row],[Class]]="C",WORKDAY(Main[[#This Row],[Tech Start Date]],9),IF(Main[[#This Row],[Class]]="B", WORKDAY(Main[[#This Row],[Tech Start Date]],6),IF(Main[[#This Row],[Class]]="A",WORKDAY(Main[[#This Row],[Tech Start Date]],2),""))))</f>
        <v/>
      </c>
      <c r="N1161" s="69" t="str">
        <f>IF(Main[[#This Row],[Tech Start Date]]&lt;1/1/1990,"",IF(Main[[#This Row],[Class]]="C",WORKDAY(Main[[#This Row],[Tech Start Date]],19),IF(Main[[#This Row],[Class]]="B", WORKDAY(Main[[#This Row],[Tech Start Date]],12),IF(Main[[#This Row],[Class]]="A",WORKDAY(Main[[#This Row],[Tech Start Date]],4),""))))</f>
        <v/>
      </c>
      <c r="O1161" s="69" t="str">
        <f>IF(Main[[#This Row],[Tech Start Date]]&lt;1/1/1990,"",IF(Main[[#This Row],[Class]]="C",WORKDAY(Main[[#This Row],[Tech Start Date]],23),IF(Main[[#This Row],[Class]]="B", WORKDAY(Main[[#This Row],[Tech Start Date]],15),IF(Main[[#This Row],[Class]]="A",WORKDAY(Main[[#This Row],[Tech Start Date]],5),""))))</f>
        <v/>
      </c>
      <c r="P1161" s="69" t="str">
        <f>IF(Main[[#This Row],[Tech Start Date]]&lt;1/1/1990,"",IF(Main[[#This Row],[Class]]="C",WORKDAY(Main[[#This Row],[Tech Start Date]],28),IF(Main[[#This Row],[Class]]="B", WORKDAY(Main[[#This Row],[Tech Start Date]],19),IF(Main[[#This Row],[Class]]="A",WORKDAY(Main[[#This Row],[Tech Start Date]],9),""))))</f>
        <v/>
      </c>
      <c r="Q1161" s="67">
        <v>40878</v>
      </c>
      <c r="R1161" s="67"/>
      <c r="S1161" s="65" t="s">
        <v>6</v>
      </c>
      <c r="T1161" s="70" t="s">
        <v>4</v>
      </c>
      <c r="U1161" s="65" t="s">
        <v>12</v>
      </c>
      <c r="V1161" s="65" t="s">
        <v>2288</v>
      </c>
      <c r="W1161" s="65" t="s">
        <v>4</v>
      </c>
      <c r="X1161" s="65" t="s">
        <v>2842</v>
      </c>
      <c r="Y1161" s="65" t="s">
        <v>2971</v>
      </c>
      <c r="Z1161" s="65" t="s">
        <v>4</v>
      </c>
      <c r="AA1161" s="65" t="s">
        <v>2842</v>
      </c>
    </row>
    <row r="1162" spans="1:27" ht="17.45" customHeight="1">
      <c r="A1162" s="131" t="str">
        <f>IF(priority(Main[[#This Row],[Comments]])&lt;&gt;0, priority(Main[[#This Row],[Comments]]),"")</f>
        <v/>
      </c>
      <c r="B1162" s="99" t="s">
        <v>3347</v>
      </c>
      <c r="C1162" s="65" t="s">
        <v>3348</v>
      </c>
      <c r="D1162" s="66" t="s">
        <v>3349</v>
      </c>
      <c r="E1162" s="67"/>
      <c r="F1162" s="67"/>
      <c r="G1162" s="64" t="str">
        <f>IF(stdProdLT(Main[[#This Row],[Comments]])=0.1,"N/A",IF(stdProdLT(Main[[#This Row],[Comments]])=0,"",stdProdLT(Main[[#This Row],[Comments]])))</f>
        <v/>
      </c>
      <c r="H1162" s="68" t="str">
        <f>IF(AND(Main[[#This Row],[In Stock Date]]&lt;&gt;"",Main[[#This Row],[Revised Due Date]]&lt;&gt;""),Main[[#This Row],[In Stock Date]]-Main[[#This Row],[Revised Due Date]],"")</f>
        <v/>
      </c>
      <c r="I1162" s="65" t="s">
        <v>2211</v>
      </c>
      <c r="J1162" s="65" t="s">
        <v>75</v>
      </c>
      <c r="K1162" s="65" t="s">
        <v>1926</v>
      </c>
      <c r="L1162" s="67"/>
      <c r="M1162" s="69" t="str">
        <f>IF(Main[[#This Row],[Tech Start Date]]&lt;1/1/1990,"",IF(Main[[#This Row],[Class]]="C",WORKDAY(Main[[#This Row],[Tech Start Date]],9),IF(Main[[#This Row],[Class]]="B", WORKDAY(Main[[#This Row],[Tech Start Date]],6),IF(Main[[#This Row],[Class]]="A",WORKDAY(Main[[#This Row],[Tech Start Date]],2),""))))</f>
        <v/>
      </c>
      <c r="N1162" s="69" t="str">
        <f>IF(Main[[#This Row],[Tech Start Date]]&lt;1/1/1990,"",IF(Main[[#This Row],[Class]]="C",WORKDAY(Main[[#This Row],[Tech Start Date]],19),IF(Main[[#This Row],[Class]]="B", WORKDAY(Main[[#This Row],[Tech Start Date]],12),IF(Main[[#This Row],[Class]]="A",WORKDAY(Main[[#This Row],[Tech Start Date]],4),""))))</f>
        <v/>
      </c>
      <c r="O1162" s="69" t="str">
        <f>IF(Main[[#This Row],[Tech Start Date]]&lt;1/1/1990,"",IF(Main[[#This Row],[Class]]="C",WORKDAY(Main[[#This Row],[Tech Start Date]],23),IF(Main[[#This Row],[Class]]="B", WORKDAY(Main[[#This Row],[Tech Start Date]],15),IF(Main[[#This Row],[Class]]="A",WORKDAY(Main[[#This Row],[Tech Start Date]],5),""))))</f>
        <v/>
      </c>
      <c r="P1162" s="69" t="str">
        <f>IF(Main[[#This Row],[Tech Start Date]]&lt;1/1/1990,"",IF(Main[[#This Row],[Class]]="C",WORKDAY(Main[[#This Row],[Tech Start Date]],28),IF(Main[[#This Row],[Class]]="B", WORKDAY(Main[[#This Row],[Tech Start Date]],19),IF(Main[[#This Row],[Class]]="A",WORKDAY(Main[[#This Row],[Tech Start Date]],9),""))))</f>
        <v/>
      </c>
      <c r="Q1162" s="67"/>
      <c r="R1162" s="67"/>
      <c r="S1162" s="65" t="s">
        <v>6</v>
      </c>
      <c r="T1162" s="70" t="s">
        <v>4</v>
      </c>
      <c r="U1162" s="65" t="s">
        <v>14</v>
      </c>
      <c r="V1162" s="65" t="s">
        <v>1917</v>
      </c>
      <c r="W1162" s="65" t="s">
        <v>1921</v>
      </c>
      <c r="X1162" s="65" t="s">
        <v>2211</v>
      </c>
      <c r="Y1162" s="65" t="s">
        <v>3350</v>
      </c>
      <c r="Z1162" s="65" t="s">
        <v>306</v>
      </c>
      <c r="AA1162" s="65" t="s">
        <v>3472</v>
      </c>
    </row>
    <row r="1163" spans="1:27" ht="17.45" customHeight="1">
      <c r="A1163" s="131" t="str">
        <f>IF(priority(Main[[#This Row],[Comments]])&lt;&gt;0, priority(Main[[#This Row],[Comments]]),"")</f>
        <v/>
      </c>
      <c r="B1163" s="99" t="s">
        <v>2766</v>
      </c>
      <c r="C1163" s="65" t="s">
        <v>4</v>
      </c>
      <c r="D1163" s="66" t="s">
        <v>2767</v>
      </c>
      <c r="E1163" s="67">
        <v>40911.566932870373</v>
      </c>
      <c r="F1163" s="67"/>
      <c r="G1163" s="64" t="str">
        <f>IF(stdProdLT(Main[[#This Row],[Comments]])=0.1,"N/A",IF(stdProdLT(Main[[#This Row],[Comments]])=0,"",stdProdLT(Main[[#This Row],[Comments]])))</f>
        <v/>
      </c>
      <c r="H1163" s="68" t="str">
        <f>IF(AND(Main[[#This Row],[In Stock Date]]&lt;&gt;"",Main[[#This Row],[Revised Due Date]]&lt;&gt;""),Main[[#This Row],[In Stock Date]]-Main[[#This Row],[Revised Due Date]],"")</f>
        <v/>
      </c>
      <c r="I1163" s="65" t="s">
        <v>530</v>
      </c>
      <c r="J1163" s="65" t="s">
        <v>28</v>
      </c>
      <c r="K1163" s="71" t="s">
        <v>1926</v>
      </c>
      <c r="L1163" s="67"/>
      <c r="M1163" s="69" t="str">
        <f>IF(Main[[#This Row],[Tech Start Date]]&lt;1/1/1990,"",IF(Main[[#This Row],[Class]]="C",WORKDAY(Main[[#This Row],[Tech Start Date]],9),IF(Main[[#This Row],[Class]]="B", WORKDAY(Main[[#This Row],[Tech Start Date]],6),IF(Main[[#This Row],[Class]]="A",WORKDAY(Main[[#This Row],[Tech Start Date]],2),""))))</f>
        <v/>
      </c>
      <c r="N1163" s="69" t="str">
        <f>IF(Main[[#This Row],[Tech Start Date]]&lt;1/1/1990,"",IF(Main[[#This Row],[Class]]="C",WORKDAY(Main[[#This Row],[Tech Start Date]],19),IF(Main[[#This Row],[Class]]="B", WORKDAY(Main[[#This Row],[Tech Start Date]],12),IF(Main[[#This Row],[Class]]="A",WORKDAY(Main[[#This Row],[Tech Start Date]],4),""))))</f>
        <v/>
      </c>
      <c r="O1163" s="69" t="str">
        <f>IF(Main[[#This Row],[Tech Start Date]]&lt;1/1/1990,"",IF(Main[[#This Row],[Class]]="C",WORKDAY(Main[[#This Row],[Tech Start Date]],23),IF(Main[[#This Row],[Class]]="B", WORKDAY(Main[[#This Row],[Tech Start Date]],15),IF(Main[[#This Row],[Class]]="A",WORKDAY(Main[[#This Row],[Tech Start Date]],5),""))))</f>
        <v/>
      </c>
      <c r="P1163" s="69" t="str">
        <f>IF(Main[[#This Row],[Tech Start Date]]&lt;1/1/1990,"",IF(Main[[#This Row],[Class]]="C",WORKDAY(Main[[#This Row],[Tech Start Date]],28),IF(Main[[#This Row],[Class]]="B", WORKDAY(Main[[#This Row],[Tech Start Date]],19),IF(Main[[#This Row],[Class]]="A",WORKDAY(Main[[#This Row],[Tech Start Date]],9),""))))</f>
        <v/>
      </c>
      <c r="Q1163" s="67">
        <v>40963</v>
      </c>
      <c r="R1163" s="67"/>
      <c r="S1163" s="65" t="s">
        <v>6</v>
      </c>
      <c r="T1163" s="70" t="s">
        <v>4</v>
      </c>
      <c r="U1163" s="65" t="s">
        <v>29</v>
      </c>
      <c r="V1163" s="65" t="s">
        <v>1920</v>
      </c>
      <c r="W1163" s="65" t="s">
        <v>1921</v>
      </c>
      <c r="X1163" s="65" t="s">
        <v>767</v>
      </c>
      <c r="Y1163" s="65" t="s">
        <v>2941</v>
      </c>
      <c r="Z1163" s="65" t="s">
        <v>30</v>
      </c>
      <c r="AA1163" s="65" t="s">
        <v>767</v>
      </c>
    </row>
    <row r="1164" spans="1:27" ht="17.45" customHeight="1">
      <c r="A1164" s="131" t="str">
        <f>IF(priority(Main[[#This Row],[Comments]])&lt;&gt;0, priority(Main[[#This Row],[Comments]]),"")</f>
        <v/>
      </c>
      <c r="B1164" s="99" t="s">
        <v>3510</v>
      </c>
      <c r="C1164" s="65" t="s">
        <v>47</v>
      </c>
      <c r="D1164" s="66" t="s">
        <v>3512</v>
      </c>
      <c r="E1164" s="67">
        <v>40941.662106481483</v>
      </c>
      <c r="F1164" s="67"/>
      <c r="G1164" s="64" t="str">
        <f>IF(stdProdLT(Main[[#This Row],[Comments]])=0.1,"N/A",IF(stdProdLT(Main[[#This Row],[Comments]])=0,"",stdProdLT(Main[[#This Row],[Comments]])))</f>
        <v/>
      </c>
      <c r="H1164" s="68" t="str">
        <f>IF(AND(Main[[#This Row],[In Stock Date]]&lt;&gt;"",Main[[#This Row],[Revised Due Date]]&lt;&gt;""),Main[[#This Row],[In Stock Date]]-Main[[#This Row],[Revised Due Date]],"")</f>
        <v/>
      </c>
      <c r="I1164" s="65" t="s">
        <v>4</v>
      </c>
      <c r="J1164" s="65" t="s">
        <v>4</v>
      </c>
      <c r="K1164" s="65" t="s">
        <v>4</v>
      </c>
      <c r="L1164" s="67"/>
      <c r="M1164" s="69" t="str">
        <f>IF(Main[[#This Row],[Tech Start Date]]&lt;1/1/1990,"",IF(Main[[#This Row],[Class]]="C",WORKDAY(Main[[#This Row],[Tech Start Date]],9),IF(Main[[#This Row],[Class]]="B", WORKDAY(Main[[#This Row],[Tech Start Date]],6),IF(Main[[#This Row],[Class]]="A",WORKDAY(Main[[#This Row],[Tech Start Date]],2),""))))</f>
        <v/>
      </c>
      <c r="N1164" s="69" t="str">
        <f>IF(Main[[#This Row],[Tech Start Date]]&lt;1/1/1990,"",IF(Main[[#This Row],[Class]]="C",WORKDAY(Main[[#This Row],[Tech Start Date]],19),IF(Main[[#This Row],[Class]]="B", WORKDAY(Main[[#This Row],[Tech Start Date]],12),IF(Main[[#This Row],[Class]]="A",WORKDAY(Main[[#This Row],[Tech Start Date]],4),""))))</f>
        <v/>
      </c>
      <c r="O1164" s="69" t="str">
        <f>IF(Main[[#This Row],[Tech Start Date]]&lt;1/1/1990,"",IF(Main[[#This Row],[Class]]="C",WORKDAY(Main[[#This Row],[Tech Start Date]],23),IF(Main[[#This Row],[Class]]="B", WORKDAY(Main[[#This Row],[Tech Start Date]],15),IF(Main[[#This Row],[Class]]="A",WORKDAY(Main[[#This Row],[Tech Start Date]],5),""))))</f>
        <v/>
      </c>
      <c r="P1164" s="69" t="str">
        <f>IF(Main[[#This Row],[Tech Start Date]]&lt;1/1/1990,"",IF(Main[[#This Row],[Class]]="C",WORKDAY(Main[[#This Row],[Tech Start Date]],28),IF(Main[[#This Row],[Class]]="B", WORKDAY(Main[[#This Row],[Tech Start Date]],19),IF(Main[[#This Row],[Class]]="A",WORKDAY(Main[[#This Row],[Tech Start Date]],9),""))))</f>
        <v/>
      </c>
      <c r="Q1164" s="67">
        <v>40968</v>
      </c>
      <c r="R1164" s="67"/>
      <c r="S1164" s="65" t="s">
        <v>6</v>
      </c>
      <c r="T1164" s="70" t="s">
        <v>4</v>
      </c>
      <c r="U1164" s="65" t="s">
        <v>29</v>
      </c>
      <c r="V1164" s="65" t="s">
        <v>2288</v>
      </c>
      <c r="W1164" s="65" t="s">
        <v>4</v>
      </c>
      <c r="X1164" s="65" t="s">
        <v>2871</v>
      </c>
      <c r="Y1164" s="65" t="s">
        <v>3016</v>
      </c>
      <c r="Z1164" s="65" t="s">
        <v>4</v>
      </c>
      <c r="AA1164" s="65" t="s">
        <v>2871</v>
      </c>
    </row>
    <row r="1165" spans="1:27" ht="17.45" customHeight="1">
      <c r="A1165" s="131" t="str">
        <f>IF(priority(Main[[#This Row],[Comments]])&lt;&gt;0, priority(Main[[#This Row],[Comments]]),"")</f>
        <v/>
      </c>
      <c r="B1165" s="99" t="s">
        <v>3304</v>
      </c>
      <c r="C1165" s="65" t="s">
        <v>4</v>
      </c>
      <c r="D1165" s="66" t="s">
        <v>3687</v>
      </c>
      <c r="E1165" s="67">
        <v>40932.426516203705</v>
      </c>
      <c r="F1165" s="67"/>
      <c r="G1165" s="64" t="str">
        <f>IF(stdProdLT(Main[[#This Row],[Comments]])=0.1,"N/A",IF(stdProdLT(Main[[#This Row],[Comments]])=0,"",stdProdLT(Main[[#This Row],[Comments]])))</f>
        <v/>
      </c>
      <c r="H1165" s="68" t="str">
        <f>IF(AND(Main[[#This Row],[In Stock Date]]&lt;&gt;"",Main[[#This Row],[Revised Due Date]]&lt;&gt;""),Main[[#This Row],[In Stock Date]]-Main[[#This Row],[Revised Due Date]],"")</f>
        <v/>
      </c>
      <c r="I1165" s="65" t="s">
        <v>530</v>
      </c>
      <c r="J1165" s="65" t="s">
        <v>28</v>
      </c>
      <c r="K1165" s="71" t="s">
        <v>1926</v>
      </c>
      <c r="L1165" s="67"/>
      <c r="M1165" s="69" t="str">
        <f>IF(Main[[#This Row],[Tech Start Date]]&lt;1/1/1990,"",IF(Main[[#This Row],[Class]]="C",WORKDAY(Main[[#This Row],[Tech Start Date]],9),IF(Main[[#This Row],[Class]]="B", WORKDAY(Main[[#This Row],[Tech Start Date]],6),IF(Main[[#This Row],[Class]]="A",WORKDAY(Main[[#This Row],[Tech Start Date]],2),""))))</f>
        <v/>
      </c>
      <c r="N1165" s="69" t="str">
        <f>IF(Main[[#This Row],[Tech Start Date]]&lt;1/1/1990,"",IF(Main[[#This Row],[Class]]="C",WORKDAY(Main[[#This Row],[Tech Start Date]],19),IF(Main[[#This Row],[Class]]="B", WORKDAY(Main[[#This Row],[Tech Start Date]],12),IF(Main[[#This Row],[Class]]="A",WORKDAY(Main[[#This Row],[Tech Start Date]],4),""))))</f>
        <v/>
      </c>
      <c r="O1165" s="69" t="str">
        <f>IF(Main[[#This Row],[Tech Start Date]]&lt;1/1/1990,"",IF(Main[[#This Row],[Class]]="C",WORKDAY(Main[[#This Row],[Tech Start Date]],23),IF(Main[[#This Row],[Class]]="B", WORKDAY(Main[[#This Row],[Tech Start Date]],15),IF(Main[[#This Row],[Class]]="A",WORKDAY(Main[[#This Row],[Tech Start Date]],5),""))))</f>
        <v/>
      </c>
      <c r="P1165" s="69" t="str">
        <f>IF(Main[[#This Row],[Tech Start Date]]&lt;1/1/1990,"",IF(Main[[#This Row],[Class]]="C",WORKDAY(Main[[#This Row],[Tech Start Date]],28),IF(Main[[#This Row],[Class]]="B", WORKDAY(Main[[#This Row],[Tech Start Date]],19),IF(Main[[#This Row],[Class]]="A",WORKDAY(Main[[#This Row],[Tech Start Date]],9),""))))</f>
        <v/>
      </c>
      <c r="Q1165" s="67">
        <v>41019</v>
      </c>
      <c r="R1165" s="67"/>
      <c r="S1165" s="65" t="s">
        <v>6</v>
      </c>
      <c r="T1165" s="70" t="s">
        <v>4</v>
      </c>
      <c r="U1165" s="65" t="s">
        <v>29</v>
      </c>
      <c r="V1165" s="65" t="s">
        <v>1920</v>
      </c>
      <c r="W1165" s="65" t="s">
        <v>1921</v>
      </c>
      <c r="X1165" s="65" t="s">
        <v>2872</v>
      </c>
      <c r="Y1165" s="65" t="s">
        <v>3006</v>
      </c>
      <c r="Z1165" s="65" t="s">
        <v>30</v>
      </c>
      <c r="AA1165" s="65" t="s">
        <v>2872</v>
      </c>
    </row>
    <row r="1166" spans="1:27" ht="17.45" customHeight="1">
      <c r="A1166" s="131" t="str">
        <f>IF(priority(Main[[#This Row],[Comments]])&lt;&gt;0, priority(Main[[#This Row],[Comments]]),"")</f>
        <v/>
      </c>
      <c r="B1166" s="99" t="s">
        <v>2521</v>
      </c>
      <c r="C1166" s="65" t="s">
        <v>4</v>
      </c>
      <c r="D1166" s="66" t="s">
        <v>2522</v>
      </c>
      <c r="E1166" s="67">
        <v>40840.652592592596</v>
      </c>
      <c r="F1166" s="67"/>
      <c r="G1166" s="64" t="str">
        <f>IF(stdProdLT(Main[[#This Row],[Comments]])=0.1,"N/A",IF(stdProdLT(Main[[#This Row],[Comments]])=0,"",stdProdLT(Main[[#This Row],[Comments]])))</f>
        <v/>
      </c>
      <c r="H1166" s="68" t="str">
        <f>IF(AND(Main[[#This Row],[In Stock Date]]&lt;&gt;"",Main[[#This Row],[Revised Due Date]]&lt;&gt;""),Main[[#This Row],[In Stock Date]]-Main[[#This Row],[Revised Due Date]],"")</f>
        <v/>
      </c>
      <c r="I1166" s="65" t="s">
        <v>4</v>
      </c>
      <c r="J1166" s="65" t="s">
        <v>4</v>
      </c>
      <c r="K1166" s="71" t="s">
        <v>4</v>
      </c>
      <c r="L1166" s="67"/>
      <c r="M1166" s="69" t="str">
        <f>IF(Main[[#This Row],[Tech Start Date]]&lt;1/1/1990,"",IF(Main[[#This Row],[Class]]="C",WORKDAY(Main[[#This Row],[Tech Start Date]],9),IF(Main[[#This Row],[Class]]="B", WORKDAY(Main[[#This Row],[Tech Start Date]],6),IF(Main[[#This Row],[Class]]="A",WORKDAY(Main[[#This Row],[Tech Start Date]],2),""))))</f>
        <v/>
      </c>
      <c r="N1166" s="69" t="str">
        <f>IF(Main[[#This Row],[Tech Start Date]]&lt;1/1/1990,"",IF(Main[[#This Row],[Class]]="C",WORKDAY(Main[[#This Row],[Tech Start Date]],19),IF(Main[[#This Row],[Class]]="B", WORKDAY(Main[[#This Row],[Tech Start Date]],12),IF(Main[[#This Row],[Class]]="A",WORKDAY(Main[[#This Row],[Tech Start Date]],4),""))))</f>
        <v/>
      </c>
      <c r="O1166" s="69" t="str">
        <f>IF(Main[[#This Row],[Tech Start Date]]&lt;1/1/1990,"",IF(Main[[#This Row],[Class]]="C",WORKDAY(Main[[#This Row],[Tech Start Date]],23),IF(Main[[#This Row],[Class]]="B", WORKDAY(Main[[#This Row],[Tech Start Date]],15),IF(Main[[#This Row],[Class]]="A",WORKDAY(Main[[#This Row],[Tech Start Date]],5),""))))</f>
        <v/>
      </c>
      <c r="P1166" s="69" t="str">
        <f>IF(Main[[#This Row],[Tech Start Date]]&lt;1/1/1990,"",IF(Main[[#This Row],[Class]]="C",WORKDAY(Main[[#This Row],[Tech Start Date]],28),IF(Main[[#This Row],[Class]]="B", WORKDAY(Main[[#This Row],[Tech Start Date]],19),IF(Main[[#This Row],[Class]]="A",WORKDAY(Main[[#This Row],[Tech Start Date]],9),""))))</f>
        <v/>
      </c>
      <c r="Q1166" s="67"/>
      <c r="R1166" s="67"/>
      <c r="S1166" s="65" t="s">
        <v>6</v>
      </c>
      <c r="T1166" s="70" t="s">
        <v>4</v>
      </c>
      <c r="U1166" s="65" t="s">
        <v>29</v>
      </c>
      <c r="V1166" s="65" t="s">
        <v>1917</v>
      </c>
      <c r="W1166" s="65" t="s">
        <v>4</v>
      </c>
      <c r="X1166" s="65" t="s">
        <v>939</v>
      </c>
      <c r="Y1166" s="65" t="s">
        <v>2990</v>
      </c>
      <c r="Z1166" s="65" t="s">
        <v>4</v>
      </c>
      <c r="AA1166" s="65" t="s">
        <v>939</v>
      </c>
    </row>
    <row r="1167" spans="1:27" ht="17.45" customHeight="1">
      <c r="A1167" s="131" t="str">
        <f>IF(priority(Main[[#This Row],[Comments]])&lt;&gt;0, priority(Main[[#This Row],[Comments]]),"")</f>
        <v/>
      </c>
      <c r="B1167" s="99" t="s">
        <v>2380</v>
      </c>
      <c r="C1167" s="65" t="s">
        <v>4</v>
      </c>
      <c r="D1167" s="66" t="s">
        <v>3180</v>
      </c>
      <c r="E1167" s="67">
        <v>40861.64230324074</v>
      </c>
      <c r="F1167" s="67"/>
      <c r="G1167" s="64" t="str">
        <f>IF(stdProdLT(Main[[#This Row],[Comments]])=0.1,"N/A",IF(stdProdLT(Main[[#This Row],[Comments]])=0,"",stdProdLT(Main[[#This Row],[Comments]])))</f>
        <v/>
      </c>
      <c r="H1167" s="68" t="str">
        <f>IF(AND(Main[[#This Row],[In Stock Date]]&lt;&gt;"",Main[[#This Row],[Revised Due Date]]&lt;&gt;""),Main[[#This Row],[In Stock Date]]-Main[[#This Row],[Revised Due Date]],"")</f>
        <v/>
      </c>
      <c r="I1167" s="65" t="s">
        <v>306</v>
      </c>
      <c r="J1167" s="65" t="s">
        <v>75</v>
      </c>
      <c r="K1167" s="65" t="s">
        <v>1926</v>
      </c>
      <c r="L1167" s="67"/>
      <c r="M1167" s="69" t="str">
        <f>IF(Main[[#This Row],[Tech Start Date]]&lt;1/1/1990,"",IF(Main[[#This Row],[Class]]="C",WORKDAY(Main[[#This Row],[Tech Start Date]],9),IF(Main[[#This Row],[Class]]="B", WORKDAY(Main[[#This Row],[Tech Start Date]],6),IF(Main[[#This Row],[Class]]="A",WORKDAY(Main[[#This Row],[Tech Start Date]],2),""))))</f>
        <v/>
      </c>
      <c r="N1167" s="69" t="str">
        <f>IF(Main[[#This Row],[Tech Start Date]]&lt;1/1/1990,"",IF(Main[[#This Row],[Class]]="C",WORKDAY(Main[[#This Row],[Tech Start Date]],19),IF(Main[[#This Row],[Class]]="B", WORKDAY(Main[[#This Row],[Tech Start Date]],12),IF(Main[[#This Row],[Class]]="A",WORKDAY(Main[[#This Row],[Tech Start Date]],4),""))))</f>
        <v/>
      </c>
      <c r="O1167" s="69" t="str">
        <f>IF(Main[[#This Row],[Tech Start Date]]&lt;1/1/1990,"",IF(Main[[#This Row],[Class]]="C",WORKDAY(Main[[#This Row],[Tech Start Date]],23),IF(Main[[#This Row],[Class]]="B", WORKDAY(Main[[#This Row],[Tech Start Date]],15),IF(Main[[#This Row],[Class]]="A",WORKDAY(Main[[#This Row],[Tech Start Date]],5),""))))</f>
        <v/>
      </c>
      <c r="P1167" s="69" t="str">
        <f>IF(Main[[#This Row],[Tech Start Date]]&lt;1/1/1990,"",IF(Main[[#This Row],[Class]]="C",WORKDAY(Main[[#This Row],[Tech Start Date]],28),IF(Main[[#This Row],[Class]]="B", WORKDAY(Main[[#This Row],[Tech Start Date]],19),IF(Main[[#This Row],[Class]]="A",WORKDAY(Main[[#This Row],[Tech Start Date]],9),""))))</f>
        <v/>
      </c>
      <c r="Q1167" s="67">
        <v>40897</v>
      </c>
      <c r="R1167" s="67"/>
      <c r="S1167" s="65" t="s">
        <v>6</v>
      </c>
      <c r="T1167" s="70" t="s">
        <v>4</v>
      </c>
      <c r="U1167" s="65" t="s">
        <v>29</v>
      </c>
      <c r="V1167" s="65" t="s">
        <v>1920</v>
      </c>
      <c r="W1167" s="65" t="s">
        <v>1921</v>
      </c>
      <c r="X1167" s="65" t="s">
        <v>30</v>
      </c>
      <c r="Y1167" s="65" t="s">
        <v>2946</v>
      </c>
      <c r="Z1167" s="65" t="s">
        <v>30</v>
      </c>
      <c r="AA1167" s="65" t="s">
        <v>30</v>
      </c>
    </row>
    <row r="1168" spans="1:27" ht="17.45" customHeight="1">
      <c r="A1168" s="131" t="str">
        <f>IF(priority(Main[[#This Row],[Comments]])&lt;&gt;0, priority(Main[[#This Row],[Comments]]),"")</f>
        <v/>
      </c>
      <c r="B1168" s="99" t="s">
        <v>2512</v>
      </c>
      <c r="C1168" s="65" t="s">
        <v>4</v>
      </c>
      <c r="D1168" s="66" t="s">
        <v>2513</v>
      </c>
      <c r="E1168" s="67"/>
      <c r="F1168" s="67"/>
      <c r="G1168" s="64" t="str">
        <f>IF(stdProdLT(Main[[#This Row],[Comments]])=0.1,"N/A",IF(stdProdLT(Main[[#This Row],[Comments]])=0,"",stdProdLT(Main[[#This Row],[Comments]])))</f>
        <v/>
      </c>
      <c r="H1168" s="68" t="str">
        <f>IF(AND(Main[[#This Row],[In Stock Date]]&lt;&gt;"",Main[[#This Row],[Revised Due Date]]&lt;&gt;""),Main[[#This Row],[In Stock Date]]-Main[[#This Row],[Revised Due Date]],"")</f>
        <v/>
      </c>
      <c r="I1168" s="65" t="s">
        <v>4</v>
      </c>
      <c r="J1168" s="65" t="s">
        <v>4</v>
      </c>
      <c r="K1168" s="71" t="s">
        <v>4</v>
      </c>
      <c r="L1168" s="67"/>
      <c r="M1168" s="69" t="str">
        <f>IF(Main[[#This Row],[Tech Start Date]]&lt;1/1/1990,"",IF(Main[[#This Row],[Class]]="C",WORKDAY(Main[[#This Row],[Tech Start Date]],9),IF(Main[[#This Row],[Class]]="B", WORKDAY(Main[[#This Row],[Tech Start Date]],6),IF(Main[[#This Row],[Class]]="A",WORKDAY(Main[[#This Row],[Tech Start Date]],2),""))))</f>
        <v/>
      </c>
      <c r="N1168" s="69" t="str">
        <f>IF(Main[[#This Row],[Tech Start Date]]&lt;1/1/1990,"",IF(Main[[#This Row],[Class]]="C",WORKDAY(Main[[#This Row],[Tech Start Date]],19),IF(Main[[#This Row],[Class]]="B", WORKDAY(Main[[#This Row],[Tech Start Date]],12),IF(Main[[#This Row],[Class]]="A",WORKDAY(Main[[#This Row],[Tech Start Date]],4),""))))</f>
        <v/>
      </c>
      <c r="O1168" s="69" t="str">
        <f>IF(Main[[#This Row],[Tech Start Date]]&lt;1/1/1990,"",IF(Main[[#This Row],[Class]]="C",WORKDAY(Main[[#This Row],[Tech Start Date]],23),IF(Main[[#This Row],[Class]]="B", WORKDAY(Main[[#This Row],[Tech Start Date]],15),IF(Main[[#This Row],[Class]]="A",WORKDAY(Main[[#This Row],[Tech Start Date]],5),""))))</f>
        <v/>
      </c>
      <c r="P1168" s="69" t="str">
        <f>IF(Main[[#This Row],[Tech Start Date]]&lt;1/1/1990,"",IF(Main[[#This Row],[Class]]="C",WORKDAY(Main[[#This Row],[Tech Start Date]],28),IF(Main[[#This Row],[Class]]="B", WORKDAY(Main[[#This Row],[Tech Start Date]],19),IF(Main[[#This Row],[Class]]="A",WORKDAY(Main[[#This Row],[Tech Start Date]],9),""))))</f>
        <v/>
      </c>
      <c r="Q1168" s="67">
        <v>40837</v>
      </c>
      <c r="R1168" s="67"/>
      <c r="S1168" s="65" t="s">
        <v>11</v>
      </c>
      <c r="T1168" s="70" t="s">
        <v>4</v>
      </c>
      <c r="U1168" s="65" t="s">
        <v>14</v>
      </c>
      <c r="V1168" s="65" t="s">
        <v>1918</v>
      </c>
      <c r="W1168" s="65" t="s">
        <v>1925</v>
      </c>
      <c r="X1168" s="65" t="s">
        <v>2912</v>
      </c>
      <c r="Y1168" s="65" t="s">
        <v>3102</v>
      </c>
      <c r="Z1168" s="65" t="s">
        <v>4</v>
      </c>
      <c r="AA1168" s="65" t="s">
        <v>2912</v>
      </c>
    </row>
    <row r="1169" spans="1:27" ht="17.45" customHeight="1">
      <c r="A1169" s="131" t="str">
        <f>IF(priority(Main[[#This Row],[Comments]])&lt;&gt;0, priority(Main[[#This Row],[Comments]]),"")</f>
        <v/>
      </c>
      <c r="B1169" s="99" t="s">
        <v>1383</v>
      </c>
      <c r="C1169" s="65" t="s">
        <v>4</v>
      </c>
      <c r="D1169" s="66" t="s">
        <v>2018</v>
      </c>
      <c r="E1169" s="67"/>
      <c r="F1169" s="67"/>
      <c r="G1169" s="64" t="str">
        <f>IF(stdProdLT(Main[[#This Row],[Comments]])=0.1,"N/A",IF(stdProdLT(Main[[#This Row],[Comments]])=0,"",stdProdLT(Main[[#This Row],[Comments]])))</f>
        <v/>
      </c>
      <c r="H1169" s="68" t="str">
        <f>IF(AND(Main[[#This Row],[In Stock Date]]&lt;&gt;"",Main[[#This Row],[Revised Due Date]]&lt;&gt;""),Main[[#This Row],[In Stock Date]]-Main[[#This Row],[Revised Due Date]],"")</f>
        <v/>
      </c>
      <c r="I1169" s="65" t="s">
        <v>4</v>
      </c>
      <c r="J1169" s="65" t="s">
        <v>4</v>
      </c>
      <c r="K1169" s="65" t="s">
        <v>4</v>
      </c>
      <c r="L1169" s="67"/>
      <c r="M1169" s="69" t="str">
        <f>IF(Main[[#This Row],[Tech Start Date]]&lt;1/1/1990,"",IF(Main[[#This Row],[Class]]="C",WORKDAY(Main[[#This Row],[Tech Start Date]],9),IF(Main[[#This Row],[Class]]="B", WORKDAY(Main[[#This Row],[Tech Start Date]],6),IF(Main[[#This Row],[Class]]="A",WORKDAY(Main[[#This Row],[Tech Start Date]],2),""))))</f>
        <v/>
      </c>
      <c r="N1169" s="69" t="str">
        <f>IF(Main[[#This Row],[Tech Start Date]]&lt;1/1/1990,"",IF(Main[[#This Row],[Class]]="C",WORKDAY(Main[[#This Row],[Tech Start Date]],19),IF(Main[[#This Row],[Class]]="B", WORKDAY(Main[[#This Row],[Tech Start Date]],12),IF(Main[[#This Row],[Class]]="A",WORKDAY(Main[[#This Row],[Tech Start Date]],4),""))))</f>
        <v/>
      </c>
      <c r="O1169" s="69" t="str">
        <f>IF(Main[[#This Row],[Tech Start Date]]&lt;1/1/1990,"",IF(Main[[#This Row],[Class]]="C",WORKDAY(Main[[#This Row],[Tech Start Date]],23),IF(Main[[#This Row],[Class]]="B", WORKDAY(Main[[#This Row],[Tech Start Date]],15),IF(Main[[#This Row],[Class]]="A",WORKDAY(Main[[#This Row],[Tech Start Date]],5),""))))</f>
        <v/>
      </c>
      <c r="P1169" s="69" t="str">
        <f>IF(Main[[#This Row],[Tech Start Date]]&lt;1/1/1990,"",IF(Main[[#This Row],[Class]]="C",WORKDAY(Main[[#This Row],[Tech Start Date]],28),IF(Main[[#This Row],[Class]]="B", WORKDAY(Main[[#This Row],[Tech Start Date]],19),IF(Main[[#This Row],[Class]]="A",WORKDAY(Main[[#This Row],[Tech Start Date]],9),""))))</f>
        <v/>
      </c>
      <c r="Q1169" s="67">
        <v>40310</v>
      </c>
      <c r="R1169" s="67"/>
      <c r="S1169" s="65" t="s">
        <v>6</v>
      </c>
      <c r="T1169" s="70" t="s">
        <v>4</v>
      </c>
      <c r="U1169" s="65" t="s">
        <v>14</v>
      </c>
      <c r="V1169" s="65" t="s">
        <v>1917</v>
      </c>
      <c r="W1169" s="65" t="s">
        <v>1922</v>
      </c>
      <c r="X1169" s="65" t="s">
        <v>885</v>
      </c>
      <c r="Y1169" s="65" t="s">
        <v>2969</v>
      </c>
      <c r="Z1169" s="65" t="s">
        <v>4</v>
      </c>
      <c r="AA1169" s="65" t="s">
        <v>885</v>
      </c>
    </row>
    <row r="1170" spans="1:27" ht="17.45" customHeight="1">
      <c r="A1170" s="131" t="str">
        <f>IF(priority(Main[[#This Row],[Comments]])&lt;&gt;0, priority(Main[[#This Row],[Comments]]),"")</f>
        <v/>
      </c>
      <c r="B1170" s="99" t="s">
        <v>2589</v>
      </c>
      <c r="C1170" s="65" t="s">
        <v>4</v>
      </c>
      <c r="D1170" s="66" t="s">
        <v>2770</v>
      </c>
      <c r="E1170" s="67"/>
      <c r="F1170" s="67"/>
      <c r="G1170" s="64" t="str">
        <f>IF(stdProdLT(Main[[#This Row],[Comments]])=0.1,"N/A",IF(stdProdLT(Main[[#This Row],[Comments]])=0,"",stdProdLT(Main[[#This Row],[Comments]])))</f>
        <v/>
      </c>
      <c r="H1170" s="68" t="str">
        <f>IF(AND(Main[[#This Row],[In Stock Date]]&lt;&gt;"",Main[[#This Row],[Revised Due Date]]&lt;&gt;""),Main[[#This Row],[In Stock Date]]-Main[[#This Row],[Revised Due Date]],"")</f>
        <v/>
      </c>
      <c r="I1170" s="65" t="s">
        <v>239</v>
      </c>
      <c r="J1170" s="65" t="s">
        <v>28</v>
      </c>
      <c r="K1170" s="71" t="s">
        <v>1926</v>
      </c>
      <c r="L1170" s="67"/>
      <c r="M1170" s="69" t="str">
        <f>IF(Main[[#This Row],[Tech Start Date]]&lt;1/1/1990,"",IF(Main[[#This Row],[Class]]="C",WORKDAY(Main[[#This Row],[Tech Start Date]],9),IF(Main[[#This Row],[Class]]="B", WORKDAY(Main[[#This Row],[Tech Start Date]],6),IF(Main[[#This Row],[Class]]="A",WORKDAY(Main[[#This Row],[Tech Start Date]],2),""))))</f>
        <v/>
      </c>
      <c r="N1170" s="69" t="str">
        <f>IF(Main[[#This Row],[Tech Start Date]]&lt;1/1/1990,"",IF(Main[[#This Row],[Class]]="C",WORKDAY(Main[[#This Row],[Tech Start Date]],19),IF(Main[[#This Row],[Class]]="B", WORKDAY(Main[[#This Row],[Tech Start Date]],12),IF(Main[[#This Row],[Class]]="A",WORKDAY(Main[[#This Row],[Tech Start Date]],4),""))))</f>
        <v/>
      </c>
      <c r="O1170" s="69" t="str">
        <f>IF(Main[[#This Row],[Tech Start Date]]&lt;1/1/1990,"",IF(Main[[#This Row],[Class]]="C",WORKDAY(Main[[#This Row],[Tech Start Date]],23),IF(Main[[#This Row],[Class]]="B", WORKDAY(Main[[#This Row],[Tech Start Date]],15),IF(Main[[#This Row],[Class]]="A",WORKDAY(Main[[#This Row],[Tech Start Date]],5),""))))</f>
        <v/>
      </c>
      <c r="P1170" s="69" t="str">
        <f>IF(Main[[#This Row],[Tech Start Date]]&lt;1/1/1990,"",IF(Main[[#This Row],[Class]]="C",WORKDAY(Main[[#This Row],[Tech Start Date]],28),IF(Main[[#This Row],[Class]]="B", WORKDAY(Main[[#This Row],[Tech Start Date]],19),IF(Main[[#This Row],[Class]]="A",WORKDAY(Main[[#This Row],[Tech Start Date]],9),""))))</f>
        <v/>
      </c>
      <c r="Q1170" s="67">
        <v>40907</v>
      </c>
      <c r="R1170" s="67"/>
      <c r="S1170" s="65" t="s">
        <v>6</v>
      </c>
      <c r="T1170" s="70" t="s">
        <v>4</v>
      </c>
      <c r="U1170" s="65" t="s">
        <v>14</v>
      </c>
      <c r="V1170" s="65" t="s">
        <v>1920</v>
      </c>
      <c r="W1170" s="65" t="s">
        <v>1921</v>
      </c>
      <c r="X1170" s="65" t="s">
        <v>2825</v>
      </c>
      <c r="Y1170" s="65" t="s">
        <v>2938</v>
      </c>
      <c r="Z1170" s="65" t="s">
        <v>30</v>
      </c>
      <c r="AA1170" s="65" t="s">
        <v>2825</v>
      </c>
    </row>
    <row r="1171" spans="1:27" ht="17.45" customHeight="1">
      <c r="A1171" s="131" t="str">
        <f>IF(priority(Main[[#This Row],[Comments]])&lt;&gt;0, priority(Main[[#This Row],[Comments]]),"")</f>
        <v/>
      </c>
      <c r="B1171" s="99" t="s">
        <v>2320</v>
      </c>
      <c r="C1171" s="65" t="s">
        <v>4</v>
      </c>
      <c r="D1171" s="66" t="s">
        <v>2321</v>
      </c>
      <c r="E1171" s="67">
        <v>40819.669872685183</v>
      </c>
      <c r="F1171" s="67"/>
      <c r="G1171" s="64" t="str">
        <f>IF(stdProdLT(Main[[#This Row],[Comments]])=0.1,"N/A",IF(stdProdLT(Main[[#This Row],[Comments]])=0,"",stdProdLT(Main[[#This Row],[Comments]])))</f>
        <v/>
      </c>
      <c r="H1171" s="68" t="str">
        <f>IF(AND(Main[[#This Row],[In Stock Date]]&lt;&gt;"",Main[[#This Row],[Revised Due Date]]&lt;&gt;""),Main[[#This Row],[In Stock Date]]-Main[[#This Row],[Revised Due Date]],"")</f>
        <v/>
      </c>
      <c r="I1171" s="65" t="s">
        <v>239</v>
      </c>
      <c r="J1171" s="65" t="s">
        <v>28</v>
      </c>
      <c r="K1171" s="71" t="s">
        <v>1926</v>
      </c>
      <c r="L1171" s="67"/>
      <c r="M1171" s="69" t="str">
        <f>IF(Main[[#This Row],[Tech Start Date]]&lt;1/1/1990,"",IF(Main[[#This Row],[Class]]="C",WORKDAY(Main[[#This Row],[Tech Start Date]],9),IF(Main[[#This Row],[Class]]="B", WORKDAY(Main[[#This Row],[Tech Start Date]],6),IF(Main[[#This Row],[Class]]="A",WORKDAY(Main[[#This Row],[Tech Start Date]],2),""))))</f>
        <v/>
      </c>
      <c r="N1171" s="69" t="str">
        <f>IF(Main[[#This Row],[Tech Start Date]]&lt;1/1/1990,"",IF(Main[[#This Row],[Class]]="C",WORKDAY(Main[[#This Row],[Tech Start Date]],19),IF(Main[[#This Row],[Class]]="B", WORKDAY(Main[[#This Row],[Tech Start Date]],12),IF(Main[[#This Row],[Class]]="A",WORKDAY(Main[[#This Row],[Tech Start Date]],4),""))))</f>
        <v/>
      </c>
      <c r="O1171" s="69" t="str">
        <f>IF(Main[[#This Row],[Tech Start Date]]&lt;1/1/1990,"",IF(Main[[#This Row],[Class]]="C",WORKDAY(Main[[#This Row],[Tech Start Date]],23),IF(Main[[#This Row],[Class]]="B", WORKDAY(Main[[#This Row],[Tech Start Date]],15),IF(Main[[#This Row],[Class]]="A",WORKDAY(Main[[#This Row],[Tech Start Date]],5),""))))</f>
        <v/>
      </c>
      <c r="P1171" s="69" t="str">
        <f>IF(Main[[#This Row],[Tech Start Date]]&lt;1/1/1990,"",IF(Main[[#This Row],[Class]]="C",WORKDAY(Main[[#This Row],[Tech Start Date]],28),IF(Main[[#This Row],[Class]]="B", WORKDAY(Main[[#This Row],[Tech Start Date]],19),IF(Main[[#This Row],[Class]]="A",WORKDAY(Main[[#This Row],[Tech Start Date]],9),""))))</f>
        <v/>
      </c>
      <c r="Q1171" s="67">
        <v>40847</v>
      </c>
      <c r="R1171" s="67"/>
      <c r="S1171" s="65" t="s">
        <v>6</v>
      </c>
      <c r="T1171" s="70" t="s">
        <v>4</v>
      </c>
      <c r="U1171" s="65" t="s">
        <v>29</v>
      </c>
      <c r="V1171" s="65" t="s">
        <v>1920</v>
      </c>
      <c r="W1171" s="65" t="s">
        <v>1921</v>
      </c>
      <c r="X1171" s="65" t="s">
        <v>30</v>
      </c>
      <c r="Y1171" s="65" t="s">
        <v>2946</v>
      </c>
      <c r="Z1171" s="65" t="s">
        <v>30</v>
      </c>
      <c r="AA1171" s="65" t="s">
        <v>30</v>
      </c>
    </row>
    <row r="1172" spans="1:27" ht="17.45" customHeight="1">
      <c r="A1172" s="131" t="str">
        <f>IF(priority(Main[[#This Row],[Comments]])&lt;&gt;0, priority(Main[[#This Row],[Comments]]),"")</f>
        <v/>
      </c>
      <c r="B1172" s="99" t="s">
        <v>2524</v>
      </c>
      <c r="C1172" s="65" t="s">
        <v>2515</v>
      </c>
      <c r="D1172" s="66" t="s">
        <v>2525</v>
      </c>
      <c r="E1172" s="67"/>
      <c r="F1172" s="67"/>
      <c r="G1172" s="64" t="str">
        <f>IF(stdProdLT(Main[[#This Row],[Comments]])=0.1,"N/A",IF(stdProdLT(Main[[#This Row],[Comments]])=0,"",stdProdLT(Main[[#This Row],[Comments]])))</f>
        <v/>
      </c>
      <c r="H1172" s="68" t="str">
        <f>IF(AND(Main[[#This Row],[In Stock Date]]&lt;&gt;"",Main[[#This Row],[Revised Due Date]]&lt;&gt;""),Main[[#This Row],[In Stock Date]]-Main[[#This Row],[Revised Due Date]],"")</f>
        <v/>
      </c>
      <c r="I1172" s="65" t="s">
        <v>4</v>
      </c>
      <c r="J1172" s="65" t="s">
        <v>4</v>
      </c>
      <c r="K1172" s="65" t="s">
        <v>4</v>
      </c>
      <c r="L1172" s="67"/>
      <c r="M1172" s="69" t="str">
        <f>IF(Main[[#This Row],[Tech Start Date]]&lt;1/1/1990,"",IF(Main[[#This Row],[Class]]="C",WORKDAY(Main[[#This Row],[Tech Start Date]],9),IF(Main[[#This Row],[Class]]="B", WORKDAY(Main[[#This Row],[Tech Start Date]],6),IF(Main[[#This Row],[Class]]="A",WORKDAY(Main[[#This Row],[Tech Start Date]],2),""))))</f>
        <v/>
      </c>
      <c r="N1172" s="69" t="str">
        <f>IF(Main[[#This Row],[Tech Start Date]]&lt;1/1/1990,"",IF(Main[[#This Row],[Class]]="C",WORKDAY(Main[[#This Row],[Tech Start Date]],19),IF(Main[[#This Row],[Class]]="B", WORKDAY(Main[[#This Row],[Tech Start Date]],12),IF(Main[[#This Row],[Class]]="A",WORKDAY(Main[[#This Row],[Tech Start Date]],4),""))))</f>
        <v/>
      </c>
      <c r="O1172" s="69" t="str">
        <f>IF(Main[[#This Row],[Tech Start Date]]&lt;1/1/1990,"",IF(Main[[#This Row],[Class]]="C",WORKDAY(Main[[#This Row],[Tech Start Date]],23),IF(Main[[#This Row],[Class]]="B", WORKDAY(Main[[#This Row],[Tech Start Date]],15),IF(Main[[#This Row],[Class]]="A",WORKDAY(Main[[#This Row],[Tech Start Date]],5),""))))</f>
        <v/>
      </c>
      <c r="P1172" s="69" t="str">
        <f>IF(Main[[#This Row],[Tech Start Date]]&lt;1/1/1990,"",IF(Main[[#This Row],[Class]]="C",WORKDAY(Main[[#This Row],[Tech Start Date]],28),IF(Main[[#This Row],[Class]]="B", WORKDAY(Main[[#This Row],[Tech Start Date]],19),IF(Main[[#This Row],[Class]]="A",WORKDAY(Main[[#This Row],[Tech Start Date]],9),""))))</f>
        <v/>
      </c>
      <c r="Q1172" s="67"/>
      <c r="R1172" s="67"/>
      <c r="S1172" s="65" t="s">
        <v>11</v>
      </c>
      <c r="T1172" s="70" t="s">
        <v>4</v>
      </c>
      <c r="U1172" s="65" t="s">
        <v>14</v>
      </c>
      <c r="V1172" s="65" t="s">
        <v>1918</v>
      </c>
      <c r="W1172" s="65" t="s">
        <v>1925</v>
      </c>
      <c r="X1172" s="65" t="s">
        <v>306</v>
      </c>
      <c r="Y1172" s="65" t="s">
        <v>4</v>
      </c>
      <c r="Z1172" s="65" t="s">
        <v>4</v>
      </c>
      <c r="AA1172" s="65" t="s">
        <v>3471</v>
      </c>
    </row>
    <row r="1173" spans="1:27" ht="17.45" customHeight="1">
      <c r="A1173" s="131" t="str">
        <f>IF(priority(Main[[#This Row],[Comments]])&lt;&gt;0, priority(Main[[#This Row],[Comments]]),"")</f>
        <v/>
      </c>
      <c r="B1173" s="99" t="s">
        <v>2526</v>
      </c>
      <c r="C1173" s="65" t="s">
        <v>2332</v>
      </c>
      <c r="D1173" s="66" t="s">
        <v>2527</v>
      </c>
      <c r="E1173" s="67">
        <v>40843.623680555553</v>
      </c>
      <c r="F1173" s="67"/>
      <c r="G1173" s="64" t="str">
        <f>IF(stdProdLT(Main[[#This Row],[Comments]])=0.1,"N/A",IF(stdProdLT(Main[[#This Row],[Comments]])=0,"",stdProdLT(Main[[#This Row],[Comments]])))</f>
        <v/>
      </c>
      <c r="H1173" s="68" t="str">
        <f>IF(AND(Main[[#This Row],[In Stock Date]]&lt;&gt;"",Main[[#This Row],[Revised Due Date]]&lt;&gt;""),Main[[#This Row],[In Stock Date]]-Main[[#This Row],[Revised Due Date]],"")</f>
        <v/>
      </c>
      <c r="I1173" s="65" t="s">
        <v>4</v>
      </c>
      <c r="J1173" s="65" t="s">
        <v>4</v>
      </c>
      <c r="K1173" s="65" t="s">
        <v>4</v>
      </c>
      <c r="L1173" s="67"/>
      <c r="M1173" s="69" t="str">
        <f>IF(Main[[#This Row],[Tech Start Date]]&lt;1/1/1990,"",IF(Main[[#This Row],[Class]]="C",WORKDAY(Main[[#This Row],[Tech Start Date]],9),IF(Main[[#This Row],[Class]]="B", WORKDAY(Main[[#This Row],[Tech Start Date]],6),IF(Main[[#This Row],[Class]]="A",WORKDAY(Main[[#This Row],[Tech Start Date]],2),""))))</f>
        <v/>
      </c>
      <c r="N1173" s="69" t="str">
        <f>IF(Main[[#This Row],[Tech Start Date]]&lt;1/1/1990,"",IF(Main[[#This Row],[Class]]="C",WORKDAY(Main[[#This Row],[Tech Start Date]],19),IF(Main[[#This Row],[Class]]="B", WORKDAY(Main[[#This Row],[Tech Start Date]],12),IF(Main[[#This Row],[Class]]="A",WORKDAY(Main[[#This Row],[Tech Start Date]],4),""))))</f>
        <v/>
      </c>
      <c r="O1173" s="69" t="str">
        <f>IF(Main[[#This Row],[Tech Start Date]]&lt;1/1/1990,"",IF(Main[[#This Row],[Class]]="C",WORKDAY(Main[[#This Row],[Tech Start Date]],23),IF(Main[[#This Row],[Class]]="B", WORKDAY(Main[[#This Row],[Tech Start Date]],15),IF(Main[[#This Row],[Class]]="A",WORKDAY(Main[[#This Row],[Tech Start Date]],5),""))))</f>
        <v/>
      </c>
      <c r="P1173" s="69" t="str">
        <f>IF(Main[[#This Row],[Tech Start Date]]&lt;1/1/1990,"",IF(Main[[#This Row],[Class]]="C",WORKDAY(Main[[#This Row],[Tech Start Date]],28),IF(Main[[#This Row],[Class]]="B", WORKDAY(Main[[#This Row],[Tech Start Date]],19),IF(Main[[#This Row],[Class]]="A",WORKDAY(Main[[#This Row],[Tech Start Date]],9),""))))</f>
        <v/>
      </c>
      <c r="Q1173" s="67"/>
      <c r="R1173" s="67"/>
      <c r="S1173" s="65" t="s">
        <v>6</v>
      </c>
      <c r="T1173" s="70" t="s">
        <v>4</v>
      </c>
      <c r="U1173" s="65" t="s">
        <v>7</v>
      </c>
      <c r="V1173" s="65" t="s">
        <v>1917</v>
      </c>
      <c r="W1173" s="65" t="s">
        <v>1921</v>
      </c>
      <c r="X1173" s="65" t="s">
        <v>2885</v>
      </c>
      <c r="Y1173" s="65" t="s">
        <v>3033</v>
      </c>
      <c r="Z1173" s="65" t="s">
        <v>4</v>
      </c>
      <c r="AA1173" s="65" t="s">
        <v>2885</v>
      </c>
    </row>
    <row r="1174" spans="1:27" ht="17.45" customHeight="1">
      <c r="A1174" s="131" t="str">
        <f>IF(priority(Main[[#This Row],[Comments]])&lt;&gt;0, priority(Main[[#This Row],[Comments]]),"")</f>
        <v/>
      </c>
      <c r="B1174" s="99" t="s">
        <v>2745</v>
      </c>
      <c r="C1174" s="65" t="s">
        <v>4</v>
      </c>
      <c r="D1174" s="66" t="s">
        <v>3246</v>
      </c>
      <c r="E1174" s="67"/>
      <c r="F1174" s="67"/>
      <c r="G1174" s="64" t="str">
        <f>IF(stdProdLT(Main[[#This Row],[Comments]])=0.1,"N/A",IF(stdProdLT(Main[[#This Row],[Comments]])=0,"",stdProdLT(Main[[#This Row],[Comments]])))</f>
        <v/>
      </c>
      <c r="H1174" s="68" t="str">
        <f>IF(AND(Main[[#This Row],[In Stock Date]]&lt;&gt;"",Main[[#This Row],[Revised Due Date]]&lt;&gt;""),Main[[#This Row],[In Stock Date]]-Main[[#This Row],[Revised Due Date]],"")</f>
        <v/>
      </c>
      <c r="I1174" s="65" t="s">
        <v>2211</v>
      </c>
      <c r="J1174" s="65" t="s">
        <v>75</v>
      </c>
      <c r="K1174" s="65" t="s">
        <v>1926</v>
      </c>
      <c r="L1174" s="67"/>
      <c r="M1174" s="69" t="str">
        <f>IF(Main[[#This Row],[Tech Start Date]]&lt;1/1/1990,"",IF(Main[[#This Row],[Class]]="C",WORKDAY(Main[[#This Row],[Tech Start Date]],9),IF(Main[[#This Row],[Class]]="B", WORKDAY(Main[[#This Row],[Tech Start Date]],6),IF(Main[[#This Row],[Class]]="A",WORKDAY(Main[[#This Row],[Tech Start Date]],2),""))))</f>
        <v/>
      </c>
      <c r="N1174" s="69" t="str">
        <f>IF(Main[[#This Row],[Tech Start Date]]&lt;1/1/1990,"",IF(Main[[#This Row],[Class]]="C",WORKDAY(Main[[#This Row],[Tech Start Date]],19),IF(Main[[#This Row],[Class]]="B", WORKDAY(Main[[#This Row],[Tech Start Date]],12),IF(Main[[#This Row],[Class]]="A",WORKDAY(Main[[#This Row],[Tech Start Date]],4),""))))</f>
        <v/>
      </c>
      <c r="O1174" s="69" t="str">
        <f>IF(Main[[#This Row],[Tech Start Date]]&lt;1/1/1990,"",IF(Main[[#This Row],[Class]]="C",WORKDAY(Main[[#This Row],[Tech Start Date]],23),IF(Main[[#This Row],[Class]]="B", WORKDAY(Main[[#This Row],[Tech Start Date]],15),IF(Main[[#This Row],[Class]]="A",WORKDAY(Main[[#This Row],[Tech Start Date]],5),""))))</f>
        <v/>
      </c>
      <c r="P1174" s="69" t="str">
        <f>IF(Main[[#This Row],[Tech Start Date]]&lt;1/1/1990,"",IF(Main[[#This Row],[Class]]="C",WORKDAY(Main[[#This Row],[Tech Start Date]],28),IF(Main[[#This Row],[Class]]="B", WORKDAY(Main[[#This Row],[Tech Start Date]],19),IF(Main[[#This Row],[Class]]="A",WORKDAY(Main[[#This Row],[Tech Start Date]],9),""))))</f>
        <v/>
      </c>
      <c r="Q1174" s="67">
        <v>40935</v>
      </c>
      <c r="R1174" s="67"/>
      <c r="S1174" s="65" t="s">
        <v>6</v>
      </c>
      <c r="T1174" s="70" t="s">
        <v>4</v>
      </c>
      <c r="U1174" s="65" t="s">
        <v>14</v>
      </c>
      <c r="V1174" s="65" t="s">
        <v>1920</v>
      </c>
      <c r="W1174" s="65" t="s">
        <v>1921</v>
      </c>
      <c r="X1174" s="65" t="s">
        <v>2825</v>
      </c>
      <c r="Y1174" s="65" t="s">
        <v>2938</v>
      </c>
      <c r="Z1174" s="65" t="s">
        <v>30</v>
      </c>
      <c r="AA1174" s="65" t="s">
        <v>2825</v>
      </c>
    </row>
    <row r="1175" spans="1:27" ht="17.45" customHeight="1">
      <c r="A1175" s="131" t="str">
        <f>IF(priority(Main[[#This Row],[Comments]])&lt;&gt;0, priority(Main[[#This Row],[Comments]]),"")</f>
        <v/>
      </c>
      <c r="B1175" s="99" t="s">
        <v>1873</v>
      </c>
      <c r="C1175" s="65" t="s">
        <v>4</v>
      </c>
      <c r="D1175" s="66" t="s">
        <v>3683</v>
      </c>
      <c r="E1175" s="67">
        <v>40352.443437499998</v>
      </c>
      <c r="F1175" s="67"/>
      <c r="G1175" s="64" t="str">
        <f>IF(stdProdLT(Main[[#This Row],[Comments]])=0.1,"N/A",IF(stdProdLT(Main[[#This Row],[Comments]])=0,"",stdProdLT(Main[[#This Row],[Comments]])))</f>
        <v/>
      </c>
      <c r="H1175" s="68" t="str">
        <f>IF(AND(Main[[#This Row],[In Stock Date]]&lt;&gt;"",Main[[#This Row],[Revised Due Date]]&lt;&gt;""),Main[[#This Row],[In Stock Date]]-Main[[#This Row],[Revised Due Date]],"")</f>
        <v/>
      </c>
      <c r="I1175" s="65" t="s">
        <v>2632</v>
      </c>
      <c r="J1175" s="65" t="s">
        <v>28</v>
      </c>
      <c r="K1175" s="65" t="s">
        <v>1929</v>
      </c>
      <c r="L1175" s="67"/>
      <c r="M1175" s="69" t="str">
        <f>IF(Main[[#This Row],[Tech Start Date]]&lt;1/1/1990,"",IF(Main[[#This Row],[Class]]="C",WORKDAY(Main[[#This Row],[Tech Start Date]],9),IF(Main[[#This Row],[Class]]="B", WORKDAY(Main[[#This Row],[Tech Start Date]],6),IF(Main[[#This Row],[Class]]="A",WORKDAY(Main[[#This Row],[Tech Start Date]],2),""))))</f>
        <v/>
      </c>
      <c r="N1175" s="69" t="str">
        <f>IF(Main[[#This Row],[Tech Start Date]]&lt;1/1/1990,"",IF(Main[[#This Row],[Class]]="C",WORKDAY(Main[[#This Row],[Tech Start Date]],19),IF(Main[[#This Row],[Class]]="B", WORKDAY(Main[[#This Row],[Tech Start Date]],12),IF(Main[[#This Row],[Class]]="A",WORKDAY(Main[[#This Row],[Tech Start Date]],4),""))))</f>
        <v/>
      </c>
      <c r="O1175" s="69" t="str">
        <f>IF(Main[[#This Row],[Tech Start Date]]&lt;1/1/1990,"",IF(Main[[#This Row],[Class]]="C",WORKDAY(Main[[#This Row],[Tech Start Date]],23),IF(Main[[#This Row],[Class]]="B", WORKDAY(Main[[#This Row],[Tech Start Date]],15),IF(Main[[#This Row],[Class]]="A",WORKDAY(Main[[#This Row],[Tech Start Date]],5),""))))</f>
        <v/>
      </c>
      <c r="P1175" s="69" t="str">
        <f>IF(Main[[#This Row],[Tech Start Date]]&lt;1/1/1990,"",IF(Main[[#This Row],[Class]]="C",WORKDAY(Main[[#This Row],[Tech Start Date]],28),IF(Main[[#This Row],[Class]]="B", WORKDAY(Main[[#This Row],[Tech Start Date]],19),IF(Main[[#This Row],[Class]]="A",WORKDAY(Main[[#This Row],[Tech Start Date]],9),""))))</f>
        <v/>
      </c>
      <c r="Q1175" s="67">
        <v>40633</v>
      </c>
      <c r="R1175" s="67">
        <v>41060</v>
      </c>
      <c r="S1175" s="65" t="s">
        <v>17</v>
      </c>
      <c r="T1175" s="70" t="s">
        <v>2471</v>
      </c>
      <c r="U1175" s="65" t="s">
        <v>29</v>
      </c>
      <c r="V1175" s="65" t="s">
        <v>1917</v>
      </c>
      <c r="W1175" s="65" t="s">
        <v>1922</v>
      </c>
      <c r="X1175" s="65" t="s">
        <v>129</v>
      </c>
      <c r="Y1175" s="65" t="s">
        <v>2939</v>
      </c>
      <c r="Z1175" s="65" t="s">
        <v>129</v>
      </c>
      <c r="AA1175" s="65" t="s">
        <v>129</v>
      </c>
    </row>
    <row r="1176" spans="1:27" ht="17.45" customHeight="1">
      <c r="A1176" s="131" t="str">
        <f>IF(priority(Main[[#This Row],[Comments]])&lt;&gt;0, priority(Main[[#This Row],[Comments]]),"")</f>
        <v/>
      </c>
      <c r="B1176" s="99" t="s">
        <v>2532</v>
      </c>
      <c r="C1176" s="65" t="s">
        <v>4</v>
      </c>
      <c r="D1176" s="66" t="s">
        <v>2533</v>
      </c>
      <c r="E1176" s="67"/>
      <c r="F1176" s="67"/>
      <c r="G1176" s="64" t="str">
        <f>IF(stdProdLT(Main[[#This Row],[Comments]])=0.1,"N/A",IF(stdProdLT(Main[[#This Row],[Comments]])=0,"",stdProdLT(Main[[#This Row],[Comments]])))</f>
        <v/>
      </c>
      <c r="H1176" s="68" t="str">
        <f>IF(AND(Main[[#This Row],[In Stock Date]]&lt;&gt;"",Main[[#This Row],[Revised Due Date]]&lt;&gt;""),Main[[#This Row],[In Stock Date]]-Main[[#This Row],[Revised Due Date]],"")</f>
        <v/>
      </c>
      <c r="I1176" s="65" t="s">
        <v>4</v>
      </c>
      <c r="J1176" s="65" t="s">
        <v>4</v>
      </c>
      <c r="K1176" s="65" t="s">
        <v>4</v>
      </c>
      <c r="L1176" s="67"/>
      <c r="M1176" s="69" t="str">
        <f>IF(Main[[#This Row],[Tech Start Date]]&lt;1/1/1990,"",IF(Main[[#This Row],[Class]]="C",WORKDAY(Main[[#This Row],[Tech Start Date]],9),IF(Main[[#This Row],[Class]]="B", WORKDAY(Main[[#This Row],[Tech Start Date]],6),IF(Main[[#This Row],[Class]]="A",WORKDAY(Main[[#This Row],[Tech Start Date]],2),""))))</f>
        <v/>
      </c>
      <c r="N1176" s="69" t="str">
        <f>IF(Main[[#This Row],[Tech Start Date]]&lt;1/1/1990,"",IF(Main[[#This Row],[Class]]="C",WORKDAY(Main[[#This Row],[Tech Start Date]],19),IF(Main[[#This Row],[Class]]="B", WORKDAY(Main[[#This Row],[Tech Start Date]],12),IF(Main[[#This Row],[Class]]="A",WORKDAY(Main[[#This Row],[Tech Start Date]],4),""))))</f>
        <v/>
      </c>
      <c r="O1176" s="69" t="str">
        <f>IF(Main[[#This Row],[Tech Start Date]]&lt;1/1/1990,"",IF(Main[[#This Row],[Class]]="C",WORKDAY(Main[[#This Row],[Tech Start Date]],23),IF(Main[[#This Row],[Class]]="B", WORKDAY(Main[[#This Row],[Tech Start Date]],15),IF(Main[[#This Row],[Class]]="A",WORKDAY(Main[[#This Row],[Tech Start Date]],5),""))))</f>
        <v/>
      </c>
      <c r="P1176" s="69" t="str">
        <f>IF(Main[[#This Row],[Tech Start Date]]&lt;1/1/1990,"",IF(Main[[#This Row],[Class]]="C",WORKDAY(Main[[#This Row],[Tech Start Date]],28),IF(Main[[#This Row],[Class]]="B", WORKDAY(Main[[#This Row],[Tech Start Date]],19),IF(Main[[#This Row],[Class]]="A",WORKDAY(Main[[#This Row],[Tech Start Date]],9),""))))</f>
        <v/>
      </c>
      <c r="Q1176" s="67"/>
      <c r="R1176" s="67"/>
      <c r="S1176" s="65" t="s">
        <v>11</v>
      </c>
      <c r="T1176" s="70" t="s">
        <v>4</v>
      </c>
      <c r="U1176" s="65" t="s">
        <v>14</v>
      </c>
      <c r="V1176" s="65" t="s">
        <v>1918</v>
      </c>
      <c r="W1176" s="65" t="s">
        <v>4</v>
      </c>
      <c r="X1176" s="65" t="s">
        <v>2254</v>
      </c>
      <c r="Y1176" s="65" t="s">
        <v>4</v>
      </c>
      <c r="Z1176" s="65" t="s">
        <v>4</v>
      </c>
      <c r="AA1176" s="65" t="s">
        <v>4</v>
      </c>
    </row>
    <row r="1177" spans="1:27" ht="17.45" customHeight="1">
      <c r="A1177" s="131" t="str">
        <f>IF(priority(Main[[#This Row],[Comments]])&lt;&gt;0, priority(Main[[#This Row],[Comments]]),"")</f>
        <v/>
      </c>
      <c r="B1177" s="99" t="s">
        <v>3554</v>
      </c>
      <c r="C1177" s="65" t="s">
        <v>3542</v>
      </c>
      <c r="D1177" s="66" t="s">
        <v>3555</v>
      </c>
      <c r="E1177" s="67"/>
      <c r="F1177" s="67">
        <v>41026</v>
      </c>
      <c r="G1177" s="64" t="str">
        <f>IF(stdProdLT(Main[[#This Row],[Comments]])=0.1,"N/A",IF(stdProdLT(Main[[#This Row],[Comments]])=0,"",stdProdLT(Main[[#This Row],[Comments]])))</f>
        <v/>
      </c>
      <c r="H1177" s="68" t="str">
        <f>IF(AND(Main[[#This Row],[In Stock Date]]&lt;&gt;"",Main[[#This Row],[Revised Due Date]]&lt;&gt;""),Main[[#This Row],[In Stock Date]]-Main[[#This Row],[Revised Due Date]],"")</f>
        <v/>
      </c>
      <c r="I1177" s="65" t="s">
        <v>4</v>
      </c>
      <c r="J1177" s="65" t="s">
        <v>75</v>
      </c>
      <c r="K1177" s="65" t="s">
        <v>4</v>
      </c>
      <c r="L1177" s="67"/>
      <c r="M1177" s="69" t="str">
        <f>IF(Main[[#This Row],[Tech Start Date]]&lt;1/1/1990,"",IF(Main[[#This Row],[Class]]="C",WORKDAY(Main[[#This Row],[Tech Start Date]],9),IF(Main[[#This Row],[Class]]="B", WORKDAY(Main[[#This Row],[Tech Start Date]],6),IF(Main[[#This Row],[Class]]="A",WORKDAY(Main[[#This Row],[Tech Start Date]],2),""))))</f>
        <v/>
      </c>
      <c r="N1177" s="69" t="str">
        <f>IF(Main[[#This Row],[Tech Start Date]]&lt;1/1/1990,"",IF(Main[[#This Row],[Class]]="C",WORKDAY(Main[[#This Row],[Tech Start Date]],19),IF(Main[[#This Row],[Class]]="B", WORKDAY(Main[[#This Row],[Tech Start Date]],12),IF(Main[[#This Row],[Class]]="A",WORKDAY(Main[[#This Row],[Tech Start Date]],4),""))))</f>
        <v/>
      </c>
      <c r="O1177" s="69" t="str">
        <f>IF(Main[[#This Row],[Tech Start Date]]&lt;1/1/1990,"",IF(Main[[#This Row],[Class]]="C",WORKDAY(Main[[#This Row],[Tech Start Date]],23),IF(Main[[#This Row],[Class]]="B", WORKDAY(Main[[#This Row],[Tech Start Date]],15),IF(Main[[#This Row],[Class]]="A",WORKDAY(Main[[#This Row],[Tech Start Date]],5),""))))</f>
        <v/>
      </c>
      <c r="P1177" s="69" t="str">
        <f>IF(Main[[#This Row],[Tech Start Date]]&lt;1/1/1990,"",IF(Main[[#This Row],[Class]]="C",WORKDAY(Main[[#This Row],[Tech Start Date]],28),IF(Main[[#This Row],[Class]]="B", WORKDAY(Main[[#This Row],[Tech Start Date]],19),IF(Main[[#This Row],[Class]]="A",WORKDAY(Main[[#This Row],[Tech Start Date]],9),""))))</f>
        <v/>
      </c>
      <c r="Q1177" s="67">
        <v>40954</v>
      </c>
      <c r="R1177" s="67"/>
      <c r="S1177" s="65" t="s">
        <v>11</v>
      </c>
      <c r="T1177" s="70" t="s">
        <v>4</v>
      </c>
      <c r="U1177" s="65" t="s">
        <v>14</v>
      </c>
      <c r="V1177" s="65" t="s">
        <v>1927</v>
      </c>
      <c r="W1177" s="65" t="s">
        <v>1925</v>
      </c>
      <c r="X1177" s="65" t="s">
        <v>2835</v>
      </c>
      <c r="Y1177" s="65" t="s">
        <v>2957</v>
      </c>
      <c r="Z1177" s="65" t="s">
        <v>530</v>
      </c>
      <c r="AA1177" s="65" t="s">
        <v>2835</v>
      </c>
    </row>
    <row r="1178" spans="1:27" ht="17.45" customHeight="1">
      <c r="A1178" s="131" t="str">
        <f>IF(priority(Main[[#This Row],[Comments]])&lt;&gt;0, priority(Main[[#This Row],[Comments]]),"")</f>
        <v/>
      </c>
      <c r="B1178" s="99" t="s">
        <v>3556</v>
      </c>
      <c r="C1178" s="65" t="s">
        <v>4</v>
      </c>
      <c r="D1178" s="66" t="s">
        <v>3557</v>
      </c>
      <c r="E1178" s="67">
        <v>40949.904050925928</v>
      </c>
      <c r="F1178" s="67"/>
      <c r="G1178" s="64" t="str">
        <f>IF(stdProdLT(Main[[#This Row],[Comments]])=0.1,"N/A",IF(stdProdLT(Main[[#This Row],[Comments]])=0,"",stdProdLT(Main[[#This Row],[Comments]])))</f>
        <v/>
      </c>
      <c r="H1178" s="68" t="str">
        <f>IF(AND(Main[[#This Row],[In Stock Date]]&lt;&gt;"",Main[[#This Row],[Revised Due Date]]&lt;&gt;""),Main[[#This Row],[In Stock Date]]-Main[[#This Row],[Revised Due Date]],"")</f>
        <v/>
      </c>
      <c r="I1178" s="65" t="s">
        <v>530</v>
      </c>
      <c r="J1178" s="65" t="s">
        <v>28</v>
      </c>
      <c r="K1178" s="65" t="s">
        <v>1926</v>
      </c>
      <c r="L1178" s="67"/>
      <c r="M1178" s="69" t="str">
        <f>IF(Main[[#This Row],[Tech Start Date]]&lt;1/1/1990,"",IF(Main[[#This Row],[Class]]="C",WORKDAY(Main[[#This Row],[Tech Start Date]],9),IF(Main[[#This Row],[Class]]="B", WORKDAY(Main[[#This Row],[Tech Start Date]],6),IF(Main[[#This Row],[Class]]="A",WORKDAY(Main[[#This Row],[Tech Start Date]],2),""))))</f>
        <v/>
      </c>
      <c r="N1178" s="69" t="str">
        <f>IF(Main[[#This Row],[Tech Start Date]]&lt;1/1/1990,"",IF(Main[[#This Row],[Class]]="C",WORKDAY(Main[[#This Row],[Tech Start Date]],19),IF(Main[[#This Row],[Class]]="B", WORKDAY(Main[[#This Row],[Tech Start Date]],12),IF(Main[[#This Row],[Class]]="A",WORKDAY(Main[[#This Row],[Tech Start Date]],4),""))))</f>
        <v/>
      </c>
      <c r="O1178" s="69" t="str">
        <f>IF(Main[[#This Row],[Tech Start Date]]&lt;1/1/1990,"",IF(Main[[#This Row],[Class]]="C",WORKDAY(Main[[#This Row],[Tech Start Date]],23),IF(Main[[#This Row],[Class]]="B", WORKDAY(Main[[#This Row],[Tech Start Date]],15),IF(Main[[#This Row],[Class]]="A",WORKDAY(Main[[#This Row],[Tech Start Date]],5),""))))</f>
        <v/>
      </c>
      <c r="P1178" s="69" t="str">
        <f>IF(Main[[#This Row],[Tech Start Date]]&lt;1/1/1990,"",IF(Main[[#This Row],[Class]]="C",WORKDAY(Main[[#This Row],[Tech Start Date]],28),IF(Main[[#This Row],[Class]]="B", WORKDAY(Main[[#This Row],[Tech Start Date]],19),IF(Main[[#This Row],[Class]]="A",WORKDAY(Main[[#This Row],[Tech Start Date]],9),""))))</f>
        <v/>
      </c>
      <c r="Q1178" s="67">
        <v>40952</v>
      </c>
      <c r="R1178" s="67"/>
      <c r="S1178" s="65" t="s">
        <v>6</v>
      </c>
      <c r="T1178" s="70" t="s">
        <v>4</v>
      </c>
      <c r="U1178" s="65" t="s">
        <v>29</v>
      </c>
      <c r="V1178" s="65" t="s">
        <v>1920</v>
      </c>
      <c r="W1178" s="65" t="s">
        <v>1921</v>
      </c>
      <c r="X1178" s="65" t="s">
        <v>2901</v>
      </c>
      <c r="Y1178" s="65" t="s">
        <v>3066</v>
      </c>
      <c r="Z1178" s="65" t="s">
        <v>30</v>
      </c>
      <c r="AA1178" s="65" t="s">
        <v>2901</v>
      </c>
    </row>
    <row r="1179" spans="1:27" ht="17.45" customHeight="1">
      <c r="A1179" s="131" t="str">
        <f>IF(priority(Main[[#This Row],[Comments]])&lt;&gt;0, priority(Main[[#This Row],[Comments]]),"")</f>
        <v/>
      </c>
      <c r="B1179" s="99" t="s">
        <v>3688</v>
      </c>
      <c r="C1179" s="65" t="s">
        <v>3689</v>
      </c>
      <c r="D1179" s="66" t="s">
        <v>3690</v>
      </c>
      <c r="E1179" s="67">
        <v>40954.685243055559</v>
      </c>
      <c r="F1179" s="67"/>
      <c r="G1179" s="64" t="str">
        <f>IF(stdProdLT(Main[[#This Row],[Comments]])=0.1,"N/A",IF(stdProdLT(Main[[#This Row],[Comments]])=0,"",stdProdLT(Main[[#This Row],[Comments]])))</f>
        <v>N/A</v>
      </c>
      <c r="H1179" s="68" t="str">
        <f>IF(AND(Main[[#This Row],[In Stock Date]]&lt;&gt;"",Main[[#This Row],[Revised Due Date]]&lt;&gt;""),Main[[#This Row],[In Stock Date]]-Main[[#This Row],[Revised Due Date]],"")</f>
        <v/>
      </c>
      <c r="I1179" s="65" t="s">
        <v>2254</v>
      </c>
      <c r="J1179" s="65" t="s">
        <v>28</v>
      </c>
      <c r="K1179" s="65" t="s">
        <v>1926</v>
      </c>
      <c r="L1179" s="67"/>
      <c r="M1179" s="69" t="str">
        <f>IF(Main[[#This Row],[Tech Start Date]]&lt;1/1/1990,"",IF(Main[[#This Row],[Class]]="C",WORKDAY(Main[[#This Row],[Tech Start Date]],9),IF(Main[[#This Row],[Class]]="B", WORKDAY(Main[[#This Row],[Tech Start Date]],6),IF(Main[[#This Row],[Class]]="A",WORKDAY(Main[[#This Row],[Tech Start Date]],2),""))))</f>
        <v/>
      </c>
      <c r="N1179" s="69" t="str">
        <f>IF(Main[[#This Row],[Tech Start Date]]&lt;1/1/1990,"",IF(Main[[#This Row],[Class]]="C",WORKDAY(Main[[#This Row],[Tech Start Date]],19),IF(Main[[#This Row],[Class]]="B", WORKDAY(Main[[#This Row],[Tech Start Date]],12),IF(Main[[#This Row],[Class]]="A",WORKDAY(Main[[#This Row],[Tech Start Date]],4),""))))</f>
        <v/>
      </c>
      <c r="O1179" s="69" t="str">
        <f>IF(Main[[#This Row],[Tech Start Date]]&lt;1/1/1990,"",IF(Main[[#This Row],[Class]]="C",WORKDAY(Main[[#This Row],[Tech Start Date]],23),IF(Main[[#This Row],[Class]]="B", WORKDAY(Main[[#This Row],[Tech Start Date]],15),IF(Main[[#This Row],[Class]]="A",WORKDAY(Main[[#This Row],[Tech Start Date]],5),""))))</f>
        <v/>
      </c>
      <c r="P1179" s="69" t="str">
        <f>IF(Main[[#This Row],[Tech Start Date]]&lt;1/1/1990,"",IF(Main[[#This Row],[Class]]="C",WORKDAY(Main[[#This Row],[Tech Start Date]],28),IF(Main[[#This Row],[Class]]="B", WORKDAY(Main[[#This Row],[Tech Start Date]],19),IF(Main[[#This Row],[Class]]="A",WORKDAY(Main[[#This Row],[Tech Start Date]],9),""))))</f>
        <v/>
      </c>
      <c r="Q1179" s="67">
        <v>40961</v>
      </c>
      <c r="R1179" s="67"/>
      <c r="S1179" s="65" t="s">
        <v>6</v>
      </c>
      <c r="T1179" s="70" t="s">
        <v>3244</v>
      </c>
      <c r="U1179" s="65" t="s">
        <v>29</v>
      </c>
      <c r="V1179" s="65" t="s">
        <v>1918</v>
      </c>
      <c r="W1179" s="65" t="s">
        <v>1919</v>
      </c>
      <c r="X1179" s="65" t="s">
        <v>2822</v>
      </c>
      <c r="Y1179" s="65" t="s">
        <v>4</v>
      </c>
      <c r="Z1179" s="65" t="s">
        <v>2056</v>
      </c>
      <c r="AA1179" s="65" t="s">
        <v>2822</v>
      </c>
    </row>
    <row r="1180" spans="1:27" ht="17.45" customHeight="1">
      <c r="A1180" s="131" t="str">
        <f>IF(priority(Main[[#This Row],[Comments]])&lt;&gt;0, priority(Main[[#This Row],[Comments]]),"")</f>
        <v/>
      </c>
      <c r="B1180" s="99" t="s">
        <v>2371</v>
      </c>
      <c r="C1180" s="65" t="s">
        <v>4</v>
      </c>
      <c r="D1180" s="66" t="s">
        <v>3353</v>
      </c>
      <c r="E1180" s="67">
        <v>40842.639374999999</v>
      </c>
      <c r="F1180" s="67"/>
      <c r="G1180" s="64" t="str">
        <f>IF(stdProdLT(Main[[#This Row],[Comments]])=0.1,"N/A",IF(stdProdLT(Main[[#This Row],[Comments]])=0,"",stdProdLT(Main[[#This Row],[Comments]])))</f>
        <v/>
      </c>
      <c r="H1180" s="68" t="str">
        <f>IF(AND(Main[[#This Row],[In Stock Date]]&lt;&gt;"",Main[[#This Row],[Revised Due Date]]&lt;&gt;""),Main[[#This Row],[In Stock Date]]-Main[[#This Row],[Revised Due Date]],"")</f>
        <v/>
      </c>
      <c r="I1180" s="65" t="s">
        <v>69</v>
      </c>
      <c r="J1180" s="65" t="s">
        <v>70</v>
      </c>
      <c r="K1180" s="65" t="s">
        <v>1926</v>
      </c>
      <c r="L1180" s="67"/>
      <c r="M1180" s="69" t="str">
        <f>IF(Main[[#This Row],[Tech Start Date]]&lt;1/1/1990,"",IF(Main[[#This Row],[Class]]="C",WORKDAY(Main[[#This Row],[Tech Start Date]],9),IF(Main[[#This Row],[Class]]="B", WORKDAY(Main[[#This Row],[Tech Start Date]],6),IF(Main[[#This Row],[Class]]="A",WORKDAY(Main[[#This Row],[Tech Start Date]],2),""))))</f>
        <v/>
      </c>
      <c r="N1180" s="69" t="str">
        <f>IF(Main[[#This Row],[Tech Start Date]]&lt;1/1/1990,"",IF(Main[[#This Row],[Class]]="C",WORKDAY(Main[[#This Row],[Tech Start Date]],19),IF(Main[[#This Row],[Class]]="B", WORKDAY(Main[[#This Row],[Tech Start Date]],12),IF(Main[[#This Row],[Class]]="A",WORKDAY(Main[[#This Row],[Tech Start Date]],4),""))))</f>
        <v/>
      </c>
      <c r="O1180" s="69" t="str">
        <f>IF(Main[[#This Row],[Tech Start Date]]&lt;1/1/1990,"",IF(Main[[#This Row],[Class]]="C",WORKDAY(Main[[#This Row],[Tech Start Date]],23),IF(Main[[#This Row],[Class]]="B", WORKDAY(Main[[#This Row],[Tech Start Date]],15),IF(Main[[#This Row],[Class]]="A",WORKDAY(Main[[#This Row],[Tech Start Date]],5),""))))</f>
        <v/>
      </c>
      <c r="P1180" s="69" t="str">
        <f>IF(Main[[#This Row],[Tech Start Date]]&lt;1/1/1990,"",IF(Main[[#This Row],[Class]]="C",WORKDAY(Main[[#This Row],[Tech Start Date]],28),IF(Main[[#This Row],[Class]]="B", WORKDAY(Main[[#This Row],[Tech Start Date]],19),IF(Main[[#This Row],[Class]]="A",WORKDAY(Main[[#This Row],[Tech Start Date]],9),""))))</f>
        <v/>
      </c>
      <c r="Q1180" s="67">
        <v>40872</v>
      </c>
      <c r="R1180" s="67"/>
      <c r="S1180" s="65" t="s">
        <v>6</v>
      </c>
      <c r="T1180" s="70" t="s">
        <v>4</v>
      </c>
      <c r="U1180" s="65" t="s">
        <v>29</v>
      </c>
      <c r="V1180" s="65" t="s">
        <v>1920</v>
      </c>
      <c r="W1180" s="65" t="s">
        <v>1921</v>
      </c>
      <c r="X1180" s="65" t="s">
        <v>2825</v>
      </c>
      <c r="Y1180" s="65" t="s">
        <v>2938</v>
      </c>
      <c r="Z1180" s="65" t="s">
        <v>30</v>
      </c>
      <c r="AA1180" s="65" t="s">
        <v>2825</v>
      </c>
    </row>
    <row r="1181" spans="1:27" ht="17.45" customHeight="1">
      <c r="A1181" s="131" t="str">
        <f>IF(priority(Main[[#This Row],[Comments]])&lt;&gt;0, priority(Main[[#This Row],[Comments]]),"")</f>
        <v/>
      </c>
      <c r="B1181" s="99" t="s">
        <v>3354</v>
      </c>
      <c r="C1181" s="65" t="s">
        <v>4</v>
      </c>
      <c r="D1181" s="66" t="s">
        <v>3355</v>
      </c>
      <c r="E1181" s="67">
        <v>40939.631828703707</v>
      </c>
      <c r="F1181" s="67"/>
      <c r="G1181" s="64" t="str">
        <f>IF(stdProdLT(Main[[#This Row],[Comments]])=0.1,"N/A",IF(stdProdLT(Main[[#This Row],[Comments]])=0,"",stdProdLT(Main[[#This Row],[Comments]])))</f>
        <v/>
      </c>
      <c r="H1181" s="68" t="str">
        <f>IF(AND(Main[[#This Row],[In Stock Date]]&lt;&gt;"",Main[[#This Row],[Revised Due Date]]&lt;&gt;""),Main[[#This Row],[In Stock Date]]-Main[[#This Row],[Revised Due Date]],"")</f>
        <v/>
      </c>
      <c r="I1181" s="65" t="s">
        <v>4</v>
      </c>
      <c r="J1181" s="65" t="s">
        <v>4</v>
      </c>
      <c r="K1181" s="65" t="s">
        <v>4</v>
      </c>
      <c r="L1181" s="67"/>
      <c r="M1181" s="69" t="str">
        <f>IF(Main[[#This Row],[Tech Start Date]]&lt;1/1/1990,"",IF(Main[[#This Row],[Class]]="C",WORKDAY(Main[[#This Row],[Tech Start Date]],9),IF(Main[[#This Row],[Class]]="B", WORKDAY(Main[[#This Row],[Tech Start Date]],6),IF(Main[[#This Row],[Class]]="A",WORKDAY(Main[[#This Row],[Tech Start Date]],2),""))))</f>
        <v/>
      </c>
      <c r="N1181" s="69" t="str">
        <f>IF(Main[[#This Row],[Tech Start Date]]&lt;1/1/1990,"",IF(Main[[#This Row],[Class]]="C",WORKDAY(Main[[#This Row],[Tech Start Date]],19),IF(Main[[#This Row],[Class]]="B", WORKDAY(Main[[#This Row],[Tech Start Date]],12),IF(Main[[#This Row],[Class]]="A",WORKDAY(Main[[#This Row],[Tech Start Date]],4),""))))</f>
        <v/>
      </c>
      <c r="O1181" s="69" t="str">
        <f>IF(Main[[#This Row],[Tech Start Date]]&lt;1/1/1990,"",IF(Main[[#This Row],[Class]]="C",WORKDAY(Main[[#This Row],[Tech Start Date]],23),IF(Main[[#This Row],[Class]]="B", WORKDAY(Main[[#This Row],[Tech Start Date]],15),IF(Main[[#This Row],[Class]]="A",WORKDAY(Main[[#This Row],[Tech Start Date]],5),""))))</f>
        <v/>
      </c>
      <c r="P1181" s="69" t="str">
        <f>IF(Main[[#This Row],[Tech Start Date]]&lt;1/1/1990,"",IF(Main[[#This Row],[Class]]="C",WORKDAY(Main[[#This Row],[Tech Start Date]],28),IF(Main[[#This Row],[Class]]="B", WORKDAY(Main[[#This Row],[Tech Start Date]],19),IF(Main[[#This Row],[Class]]="A",WORKDAY(Main[[#This Row],[Tech Start Date]],9),""))))</f>
        <v/>
      </c>
      <c r="Q1181" s="67"/>
      <c r="R1181" s="67"/>
      <c r="S1181" s="65" t="s">
        <v>6</v>
      </c>
      <c r="T1181" s="70" t="s">
        <v>4</v>
      </c>
      <c r="U1181" s="65" t="s">
        <v>7</v>
      </c>
      <c r="V1181" s="65" t="s">
        <v>1917</v>
      </c>
      <c r="W1181" s="65" t="s">
        <v>1921</v>
      </c>
      <c r="X1181" s="65" t="s">
        <v>306</v>
      </c>
      <c r="Y1181" s="65" t="s">
        <v>4</v>
      </c>
      <c r="Z1181" s="65" t="s">
        <v>4</v>
      </c>
      <c r="AA1181" s="65" t="s">
        <v>4</v>
      </c>
    </row>
    <row r="1182" spans="1:27" ht="17.45" customHeight="1">
      <c r="A1182" s="131" t="str">
        <f>IF(priority(Main[[#This Row],[Comments]])&lt;&gt;0, priority(Main[[#This Row],[Comments]]),"")</f>
        <v/>
      </c>
      <c r="B1182" s="99" t="s">
        <v>1737</v>
      </c>
      <c r="C1182" s="65" t="s">
        <v>47</v>
      </c>
      <c r="D1182" s="66" t="s">
        <v>790</v>
      </c>
      <c r="E1182" s="67">
        <v>39937.598969907405</v>
      </c>
      <c r="F1182" s="67"/>
      <c r="G1182" s="64" t="str">
        <f>IF(stdProdLT(Main[[#This Row],[Comments]])=0.1,"N/A",IF(stdProdLT(Main[[#This Row],[Comments]])=0,"",stdProdLT(Main[[#This Row],[Comments]])))</f>
        <v/>
      </c>
      <c r="H1182" s="68" t="str">
        <f>IF(AND(Main[[#This Row],[In Stock Date]]&lt;&gt;"",Main[[#This Row],[Revised Due Date]]&lt;&gt;""),Main[[#This Row],[In Stock Date]]-Main[[#This Row],[Revised Due Date]],"")</f>
        <v/>
      </c>
      <c r="I1182" s="65" t="s">
        <v>4</v>
      </c>
      <c r="J1182" s="65" t="s">
        <v>4</v>
      </c>
      <c r="K1182" s="65" t="s">
        <v>4</v>
      </c>
      <c r="L1182" s="67"/>
      <c r="M1182" s="69" t="str">
        <f>IF(Main[[#This Row],[Tech Start Date]]&lt;1/1/1990,"",IF(Main[[#This Row],[Class]]="C",WORKDAY(Main[[#This Row],[Tech Start Date]],9),IF(Main[[#This Row],[Class]]="B", WORKDAY(Main[[#This Row],[Tech Start Date]],6),IF(Main[[#This Row],[Class]]="A",WORKDAY(Main[[#This Row],[Tech Start Date]],2),""))))</f>
        <v/>
      </c>
      <c r="N1182" s="69" t="str">
        <f>IF(Main[[#This Row],[Tech Start Date]]&lt;1/1/1990,"",IF(Main[[#This Row],[Class]]="C",WORKDAY(Main[[#This Row],[Tech Start Date]],19),IF(Main[[#This Row],[Class]]="B", WORKDAY(Main[[#This Row],[Tech Start Date]],12),IF(Main[[#This Row],[Class]]="A",WORKDAY(Main[[#This Row],[Tech Start Date]],4),""))))</f>
        <v/>
      </c>
      <c r="O1182" s="69" t="str">
        <f>IF(Main[[#This Row],[Tech Start Date]]&lt;1/1/1990,"",IF(Main[[#This Row],[Class]]="C",WORKDAY(Main[[#This Row],[Tech Start Date]],23),IF(Main[[#This Row],[Class]]="B", WORKDAY(Main[[#This Row],[Tech Start Date]],15),IF(Main[[#This Row],[Class]]="A",WORKDAY(Main[[#This Row],[Tech Start Date]],5),""))))</f>
        <v/>
      </c>
      <c r="P1182" s="69" t="str">
        <f>IF(Main[[#This Row],[Tech Start Date]]&lt;1/1/1990,"",IF(Main[[#This Row],[Class]]="C",WORKDAY(Main[[#This Row],[Tech Start Date]],28),IF(Main[[#This Row],[Class]]="B", WORKDAY(Main[[#This Row],[Tech Start Date]],19),IF(Main[[#This Row],[Class]]="A",WORKDAY(Main[[#This Row],[Tech Start Date]],9),""))))</f>
        <v/>
      </c>
      <c r="Q1182" s="67"/>
      <c r="R1182" s="67">
        <v>41172</v>
      </c>
      <c r="S1182" s="65" t="s">
        <v>17</v>
      </c>
      <c r="T1182" s="70" t="s">
        <v>4</v>
      </c>
      <c r="U1182" s="65" t="s">
        <v>29</v>
      </c>
      <c r="V1182" s="65" t="s">
        <v>1920</v>
      </c>
      <c r="W1182" s="65" t="s">
        <v>4</v>
      </c>
      <c r="X1182" s="65" t="s">
        <v>2833</v>
      </c>
      <c r="Y1182" s="65" t="s">
        <v>2954</v>
      </c>
      <c r="Z1182" s="65" t="s">
        <v>4</v>
      </c>
      <c r="AA1182" s="65" t="s">
        <v>2833</v>
      </c>
    </row>
    <row r="1183" spans="1:27" ht="17.45" customHeight="1">
      <c r="A1183" s="131" t="str">
        <f>IF(priority(Main[[#This Row],[Comments]])&lt;&gt;0, priority(Main[[#This Row],[Comments]]),"")</f>
        <v/>
      </c>
      <c r="B1183" s="99" t="s">
        <v>2508</v>
      </c>
      <c r="C1183" s="65" t="s">
        <v>2509</v>
      </c>
      <c r="D1183" s="66" t="s">
        <v>2668</v>
      </c>
      <c r="E1183" s="67">
        <v>40871.220509259256</v>
      </c>
      <c r="F1183" s="67"/>
      <c r="G1183" s="64" t="str">
        <f>IF(stdProdLT(Main[[#This Row],[Comments]])=0.1,"N/A",IF(stdProdLT(Main[[#This Row],[Comments]])=0,"",stdProdLT(Main[[#This Row],[Comments]])))</f>
        <v/>
      </c>
      <c r="H1183" s="68" t="str">
        <f>IF(AND(Main[[#This Row],[In Stock Date]]&lt;&gt;"",Main[[#This Row],[Revised Due Date]]&lt;&gt;""),Main[[#This Row],[In Stock Date]]-Main[[#This Row],[Revised Due Date]],"")</f>
        <v/>
      </c>
      <c r="I1183" s="65" t="s">
        <v>4</v>
      </c>
      <c r="J1183" s="65" t="s">
        <v>4</v>
      </c>
      <c r="K1183" s="65" t="s">
        <v>4</v>
      </c>
      <c r="L1183" s="67"/>
      <c r="M1183" s="69" t="str">
        <f>IF(Main[[#This Row],[Tech Start Date]]&lt;1/1/1990,"",IF(Main[[#This Row],[Class]]="C",WORKDAY(Main[[#This Row],[Tech Start Date]],9),IF(Main[[#This Row],[Class]]="B", WORKDAY(Main[[#This Row],[Tech Start Date]],6),IF(Main[[#This Row],[Class]]="A",WORKDAY(Main[[#This Row],[Tech Start Date]],2),""))))</f>
        <v/>
      </c>
      <c r="N1183" s="69" t="str">
        <f>IF(Main[[#This Row],[Tech Start Date]]&lt;1/1/1990,"",IF(Main[[#This Row],[Class]]="C",WORKDAY(Main[[#This Row],[Tech Start Date]],19),IF(Main[[#This Row],[Class]]="B", WORKDAY(Main[[#This Row],[Tech Start Date]],12),IF(Main[[#This Row],[Class]]="A",WORKDAY(Main[[#This Row],[Tech Start Date]],4),""))))</f>
        <v/>
      </c>
      <c r="O1183" s="69" t="str">
        <f>IF(Main[[#This Row],[Tech Start Date]]&lt;1/1/1990,"",IF(Main[[#This Row],[Class]]="C",WORKDAY(Main[[#This Row],[Tech Start Date]],23),IF(Main[[#This Row],[Class]]="B", WORKDAY(Main[[#This Row],[Tech Start Date]],15),IF(Main[[#This Row],[Class]]="A",WORKDAY(Main[[#This Row],[Tech Start Date]],5),""))))</f>
        <v/>
      </c>
      <c r="P1183" s="69" t="str">
        <f>IF(Main[[#This Row],[Tech Start Date]]&lt;1/1/1990,"",IF(Main[[#This Row],[Class]]="C",WORKDAY(Main[[#This Row],[Tech Start Date]],28),IF(Main[[#This Row],[Class]]="B", WORKDAY(Main[[#This Row],[Tech Start Date]],19),IF(Main[[#This Row],[Class]]="A",WORKDAY(Main[[#This Row],[Tech Start Date]],9),""))))</f>
        <v/>
      </c>
      <c r="Q1183" s="67">
        <v>40875</v>
      </c>
      <c r="R1183" s="67"/>
      <c r="S1183" s="65" t="s">
        <v>11</v>
      </c>
      <c r="T1183" s="70" t="s">
        <v>2669</v>
      </c>
      <c r="U1183" s="65" t="s">
        <v>696</v>
      </c>
      <c r="V1183" s="65" t="s">
        <v>1920</v>
      </c>
      <c r="W1183" s="65" t="s">
        <v>1925</v>
      </c>
      <c r="X1183" s="65" t="s">
        <v>2917</v>
      </c>
      <c r="Y1183" s="65" t="s">
        <v>3134</v>
      </c>
      <c r="Z1183" s="65" t="s">
        <v>4</v>
      </c>
      <c r="AA1183" s="65" t="s">
        <v>3473</v>
      </c>
    </row>
    <row r="1184" spans="1:27" ht="17.45" customHeight="1">
      <c r="A1184" s="131" t="str">
        <f>IF(priority(Main[[#This Row],[Comments]])&lt;&gt;0, priority(Main[[#This Row],[Comments]]),"")</f>
        <v/>
      </c>
      <c r="B1184" s="99" t="s">
        <v>1402</v>
      </c>
      <c r="C1184" s="65" t="s">
        <v>483</v>
      </c>
      <c r="D1184" s="66" t="s">
        <v>2537</v>
      </c>
      <c r="E1184" s="67"/>
      <c r="F1184" s="67">
        <v>40452</v>
      </c>
      <c r="G1184" s="64" t="str">
        <f>IF(stdProdLT(Main[[#This Row],[Comments]])=0.1,"N/A",IF(stdProdLT(Main[[#This Row],[Comments]])=0,"",stdProdLT(Main[[#This Row],[Comments]])))</f>
        <v/>
      </c>
      <c r="H1184" s="68" t="str">
        <f>IF(AND(Main[[#This Row],[In Stock Date]]&lt;&gt;"",Main[[#This Row],[Revised Due Date]]&lt;&gt;""),Main[[#This Row],[In Stock Date]]-Main[[#This Row],[Revised Due Date]],"")</f>
        <v/>
      </c>
      <c r="I1184" s="65" t="s">
        <v>4</v>
      </c>
      <c r="J1184" s="65" t="s">
        <v>4</v>
      </c>
      <c r="K1184" s="65" t="s">
        <v>4</v>
      </c>
      <c r="L1184" s="67"/>
      <c r="M1184" s="69" t="str">
        <f>IF(Main[[#This Row],[Tech Start Date]]&lt;1/1/1990,"",IF(Main[[#This Row],[Class]]="C",WORKDAY(Main[[#This Row],[Tech Start Date]],9),IF(Main[[#This Row],[Class]]="B", WORKDAY(Main[[#This Row],[Tech Start Date]],6),IF(Main[[#This Row],[Class]]="A",WORKDAY(Main[[#This Row],[Tech Start Date]],2),""))))</f>
        <v/>
      </c>
      <c r="N1184" s="69" t="str">
        <f>IF(Main[[#This Row],[Tech Start Date]]&lt;1/1/1990,"",IF(Main[[#This Row],[Class]]="C",WORKDAY(Main[[#This Row],[Tech Start Date]],19),IF(Main[[#This Row],[Class]]="B", WORKDAY(Main[[#This Row],[Tech Start Date]],12),IF(Main[[#This Row],[Class]]="A",WORKDAY(Main[[#This Row],[Tech Start Date]],4),""))))</f>
        <v/>
      </c>
      <c r="O1184" s="69" t="str">
        <f>IF(Main[[#This Row],[Tech Start Date]]&lt;1/1/1990,"",IF(Main[[#This Row],[Class]]="C",WORKDAY(Main[[#This Row],[Tech Start Date]],23),IF(Main[[#This Row],[Class]]="B", WORKDAY(Main[[#This Row],[Tech Start Date]],15),IF(Main[[#This Row],[Class]]="A",WORKDAY(Main[[#This Row],[Tech Start Date]],5),""))))</f>
        <v/>
      </c>
      <c r="P1184" s="69" t="str">
        <f>IF(Main[[#This Row],[Tech Start Date]]&lt;1/1/1990,"",IF(Main[[#This Row],[Class]]="C",WORKDAY(Main[[#This Row],[Tech Start Date]],28),IF(Main[[#This Row],[Class]]="B", WORKDAY(Main[[#This Row],[Tech Start Date]],19),IF(Main[[#This Row],[Class]]="A",WORKDAY(Main[[#This Row],[Tech Start Date]],9),""))))</f>
        <v/>
      </c>
      <c r="Q1184" s="67">
        <v>40391</v>
      </c>
      <c r="R1184" s="67"/>
      <c r="S1184" s="65" t="s">
        <v>6</v>
      </c>
      <c r="T1184" s="70" t="s">
        <v>4</v>
      </c>
      <c r="U1184" s="65" t="s">
        <v>14</v>
      </c>
      <c r="V1184" s="65" t="s">
        <v>1917</v>
      </c>
      <c r="W1184" s="65" t="s">
        <v>1922</v>
      </c>
      <c r="X1184" s="65" t="s">
        <v>2830</v>
      </c>
      <c r="Y1184" s="65" t="s">
        <v>2949</v>
      </c>
      <c r="Z1184" s="65" t="s">
        <v>4</v>
      </c>
      <c r="AA1184" s="65" t="s">
        <v>2830</v>
      </c>
    </row>
    <row r="1185" spans="1:27" ht="17.45" customHeight="1">
      <c r="A1185" s="131" t="str">
        <f>IF(priority(Main[[#This Row],[Comments]])&lt;&gt;0, priority(Main[[#This Row],[Comments]]),"")</f>
        <v/>
      </c>
      <c r="B1185" s="99" t="s">
        <v>2752</v>
      </c>
      <c r="C1185" s="65" t="s">
        <v>4</v>
      </c>
      <c r="D1185" s="66" t="s">
        <v>2753</v>
      </c>
      <c r="E1185" s="67">
        <v>40911.721898148149</v>
      </c>
      <c r="F1185" s="67"/>
      <c r="G1185" s="64" t="str">
        <f>IF(stdProdLT(Main[[#This Row],[Comments]])=0.1,"N/A",IF(stdProdLT(Main[[#This Row],[Comments]])=0,"",stdProdLT(Main[[#This Row],[Comments]])))</f>
        <v/>
      </c>
      <c r="H1185" s="68" t="str">
        <f>IF(AND(Main[[#This Row],[In Stock Date]]&lt;&gt;"",Main[[#This Row],[Revised Due Date]]&lt;&gt;""),Main[[#This Row],[In Stock Date]]-Main[[#This Row],[Revised Due Date]],"")</f>
        <v/>
      </c>
      <c r="I1185" s="65" t="s">
        <v>4</v>
      </c>
      <c r="J1185" s="65" t="s">
        <v>4</v>
      </c>
      <c r="K1185" s="65" t="s">
        <v>4</v>
      </c>
      <c r="L1185" s="67"/>
      <c r="M1185" s="69" t="str">
        <f>IF(Main[[#This Row],[Tech Start Date]]&lt;1/1/1990,"",IF(Main[[#This Row],[Class]]="C",WORKDAY(Main[[#This Row],[Tech Start Date]],9),IF(Main[[#This Row],[Class]]="B", WORKDAY(Main[[#This Row],[Tech Start Date]],6),IF(Main[[#This Row],[Class]]="A",WORKDAY(Main[[#This Row],[Tech Start Date]],2),""))))</f>
        <v/>
      </c>
      <c r="N1185" s="69" t="str">
        <f>IF(Main[[#This Row],[Tech Start Date]]&lt;1/1/1990,"",IF(Main[[#This Row],[Class]]="C",WORKDAY(Main[[#This Row],[Tech Start Date]],19),IF(Main[[#This Row],[Class]]="B", WORKDAY(Main[[#This Row],[Tech Start Date]],12),IF(Main[[#This Row],[Class]]="A",WORKDAY(Main[[#This Row],[Tech Start Date]],4),""))))</f>
        <v/>
      </c>
      <c r="O1185" s="69" t="str">
        <f>IF(Main[[#This Row],[Tech Start Date]]&lt;1/1/1990,"",IF(Main[[#This Row],[Class]]="C",WORKDAY(Main[[#This Row],[Tech Start Date]],23),IF(Main[[#This Row],[Class]]="B", WORKDAY(Main[[#This Row],[Tech Start Date]],15),IF(Main[[#This Row],[Class]]="A",WORKDAY(Main[[#This Row],[Tech Start Date]],5),""))))</f>
        <v/>
      </c>
      <c r="P1185" s="69" t="str">
        <f>IF(Main[[#This Row],[Tech Start Date]]&lt;1/1/1990,"",IF(Main[[#This Row],[Class]]="C",WORKDAY(Main[[#This Row],[Tech Start Date]],28),IF(Main[[#This Row],[Class]]="B", WORKDAY(Main[[#This Row],[Tech Start Date]],19),IF(Main[[#This Row],[Class]]="A",WORKDAY(Main[[#This Row],[Tech Start Date]],9),""))))</f>
        <v/>
      </c>
      <c r="Q1185" s="67">
        <v>41015</v>
      </c>
      <c r="R1185" s="67"/>
      <c r="S1185" s="65" t="s">
        <v>6</v>
      </c>
      <c r="T1185" s="70" t="s">
        <v>3691</v>
      </c>
      <c r="U1185" s="65" t="s">
        <v>7</v>
      </c>
      <c r="V1185" s="65" t="s">
        <v>1917</v>
      </c>
      <c r="W1185" s="65" t="s">
        <v>1921</v>
      </c>
      <c r="X1185" s="65" t="s">
        <v>879</v>
      </c>
      <c r="Y1185" s="65" t="s">
        <v>3015</v>
      </c>
      <c r="Z1185" s="65" t="s">
        <v>4</v>
      </c>
      <c r="AA1185" s="65" t="s">
        <v>879</v>
      </c>
    </row>
    <row r="1186" spans="1:27" ht="17.45" customHeight="1">
      <c r="A1186" s="131" t="str">
        <f>IF(priority(Main[[#This Row],[Comments]])&lt;&gt;0, priority(Main[[#This Row],[Comments]]),"")</f>
        <v/>
      </c>
      <c r="B1186" s="99" t="s">
        <v>2530</v>
      </c>
      <c r="C1186" s="65" t="s">
        <v>4</v>
      </c>
      <c r="D1186" s="66" t="s">
        <v>2531</v>
      </c>
      <c r="E1186" s="67"/>
      <c r="F1186" s="67"/>
      <c r="G1186" s="64" t="str">
        <f>IF(stdProdLT(Main[[#This Row],[Comments]])=0.1,"N/A",IF(stdProdLT(Main[[#This Row],[Comments]])=0,"",stdProdLT(Main[[#This Row],[Comments]])))</f>
        <v/>
      </c>
      <c r="H1186" s="68" t="str">
        <f>IF(AND(Main[[#This Row],[In Stock Date]]&lt;&gt;"",Main[[#This Row],[Revised Due Date]]&lt;&gt;""),Main[[#This Row],[In Stock Date]]-Main[[#This Row],[Revised Due Date]],"")</f>
        <v/>
      </c>
      <c r="I1186" s="65" t="s">
        <v>4</v>
      </c>
      <c r="J1186" s="65" t="s">
        <v>4</v>
      </c>
      <c r="K1186" s="65" t="s">
        <v>4</v>
      </c>
      <c r="L1186" s="67"/>
      <c r="M1186" s="69" t="str">
        <f>IF(Main[[#This Row],[Tech Start Date]]&lt;1/1/1990,"",IF(Main[[#This Row],[Class]]="C",WORKDAY(Main[[#This Row],[Tech Start Date]],9),IF(Main[[#This Row],[Class]]="B", WORKDAY(Main[[#This Row],[Tech Start Date]],6),IF(Main[[#This Row],[Class]]="A",WORKDAY(Main[[#This Row],[Tech Start Date]],2),""))))</f>
        <v/>
      </c>
      <c r="N1186" s="69" t="str">
        <f>IF(Main[[#This Row],[Tech Start Date]]&lt;1/1/1990,"",IF(Main[[#This Row],[Class]]="C",WORKDAY(Main[[#This Row],[Tech Start Date]],19),IF(Main[[#This Row],[Class]]="B", WORKDAY(Main[[#This Row],[Tech Start Date]],12),IF(Main[[#This Row],[Class]]="A",WORKDAY(Main[[#This Row],[Tech Start Date]],4),""))))</f>
        <v/>
      </c>
      <c r="O1186" s="69" t="str">
        <f>IF(Main[[#This Row],[Tech Start Date]]&lt;1/1/1990,"",IF(Main[[#This Row],[Class]]="C",WORKDAY(Main[[#This Row],[Tech Start Date]],23),IF(Main[[#This Row],[Class]]="B", WORKDAY(Main[[#This Row],[Tech Start Date]],15),IF(Main[[#This Row],[Class]]="A",WORKDAY(Main[[#This Row],[Tech Start Date]],5),""))))</f>
        <v/>
      </c>
      <c r="P1186" s="69" t="str">
        <f>IF(Main[[#This Row],[Tech Start Date]]&lt;1/1/1990,"",IF(Main[[#This Row],[Class]]="C",WORKDAY(Main[[#This Row],[Tech Start Date]],28),IF(Main[[#This Row],[Class]]="B", WORKDAY(Main[[#This Row],[Tech Start Date]],19),IF(Main[[#This Row],[Class]]="A",WORKDAY(Main[[#This Row],[Tech Start Date]],9),""))))</f>
        <v/>
      </c>
      <c r="Q1186" s="67"/>
      <c r="R1186" s="67"/>
      <c r="S1186" s="65" t="s">
        <v>23</v>
      </c>
      <c r="T1186" s="70" t="s">
        <v>4</v>
      </c>
      <c r="U1186" s="65" t="s">
        <v>14</v>
      </c>
      <c r="V1186" s="65" t="s">
        <v>1917</v>
      </c>
      <c r="W1186" s="65" t="s">
        <v>1923</v>
      </c>
      <c r="X1186" s="65" t="s">
        <v>399</v>
      </c>
      <c r="Y1186" s="65" t="s">
        <v>4</v>
      </c>
      <c r="Z1186" s="65" t="s">
        <v>4</v>
      </c>
      <c r="AA1186" s="65" t="s">
        <v>3435</v>
      </c>
    </row>
    <row r="1187" spans="1:27" ht="17.45" customHeight="1">
      <c r="A1187" s="131" t="str">
        <f>IF(priority(Main[[#This Row],[Comments]])&lt;&gt;0, priority(Main[[#This Row],[Comments]]),"")</f>
        <v/>
      </c>
      <c r="B1187" s="99" t="s">
        <v>2528</v>
      </c>
      <c r="C1187" s="65" t="s">
        <v>4</v>
      </c>
      <c r="D1187" s="66" t="s">
        <v>2529</v>
      </c>
      <c r="E1187" s="67"/>
      <c r="F1187" s="67"/>
      <c r="G1187" s="64" t="str">
        <f>IF(stdProdLT(Main[[#This Row],[Comments]])=0.1,"N/A",IF(stdProdLT(Main[[#This Row],[Comments]])=0,"",stdProdLT(Main[[#This Row],[Comments]])))</f>
        <v/>
      </c>
      <c r="H1187" s="68" t="str">
        <f>IF(AND(Main[[#This Row],[In Stock Date]]&lt;&gt;"",Main[[#This Row],[Revised Due Date]]&lt;&gt;""),Main[[#This Row],[In Stock Date]]-Main[[#This Row],[Revised Due Date]],"")</f>
        <v/>
      </c>
      <c r="I1187" s="65" t="s">
        <v>4</v>
      </c>
      <c r="J1187" s="65" t="s">
        <v>4</v>
      </c>
      <c r="K1187" s="65" t="s">
        <v>4</v>
      </c>
      <c r="L1187" s="67"/>
      <c r="M1187" s="69" t="str">
        <f>IF(Main[[#This Row],[Tech Start Date]]&lt;1/1/1990,"",IF(Main[[#This Row],[Class]]="C",WORKDAY(Main[[#This Row],[Tech Start Date]],9),IF(Main[[#This Row],[Class]]="B", WORKDAY(Main[[#This Row],[Tech Start Date]],6),IF(Main[[#This Row],[Class]]="A",WORKDAY(Main[[#This Row],[Tech Start Date]],2),""))))</f>
        <v/>
      </c>
      <c r="N1187" s="69" t="str">
        <f>IF(Main[[#This Row],[Tech Start Date]]&lt;1/1/1990,"",IF(Main[[#This Row],[Class]]="C",WORKDAY(Main[[#This Row],[Tech Start Date]],19),IF(Main[[#This Row],[Class]]="B", WORKDAY(Main[[#This Row],[Tech Start Date]],12),IF(Main[[#This Row],[Class]]="A",WORKDAY(Main[[#This Row],[Tech Start Date]],4),""))))</f>
        <v/>
      </c>
      <c r="O1187" s="69" t="str">
        <f>IF(Main[[#This Row],[Tech Start Date]]&lt;1/1/1990,"",IF(Main[[#This Row],[Class]]="C",WORKDAY(Main[[#This Row],[Tech Start Date]],23),IF(Main[[#This Row],[Class]]="B", WORKDAY(Main[[#This Row],[Tech Start Date]],15),IF(Main[[#This Row],[Class]]="A",WORKDAY(Main[[#This Row],[Tech Start Date]],5),""))))</f>
        <v/>
      </c>
      <c r="P1187" s="69" t="str">
        <f>IF(Main[[#This Row],[Tech Start Date]]&lt;1/1/1990,"",IF(Main[[#This Row],[Class]]="C",WORKDAY(Main[[#This Row],[Tech Start Date]],28),IF(Main[[#This Row],[Class]]="B", WORKDAY(Main[[#This Row],[Tech Start Date]],19),IF(Main[[#This Row],[Class]]="A",WORKDAY(Main[[#This Row],[Tech Start Date]],9),""))))</f>
        <v/>
      </c>
      <c r="Q1187" s="67">
        <v>40858</v>
      </c>
      <c r="R1187" s="67"/>
      <c r="S1187" s="65" t="s">
        <v>6</v>
      </c>
      <c r="T1187" s="70" t="s">
        <v>4</v>
      </c>
      <c r="U1187" s="65" t="s">
        <v>14</v>
      </c>
      <c r="V1187" s="65" t="s">
        <v>1920</v>
      </c>
      <c r="W1187" s="65" t="s">
        <v>4</v>
      </c>
      <c r="X1187" s="65" t="s">
        <v>2825</v>
      </c>
      <c r="Y1187" s="65" t="s">
        <v>2938</v>
      </c>
      <c r="Z1187" s="65" t="s">
        <v>4</v>
      </c>
      <c r="AA1187" s="65" t="s">
        <v>2825</v>
      </c>
    </row>
    <row r="1188" spans="1:27" ht="17.45" customHeight="1">
      <c r="A1188" s="131" t="str">
        <f>IF(priority(Main[[#This Row],[Comments]])&lt;&gt;0, priority(Main[[#This Row],[Comments]]),"")</f>
        <v/>
      </c>
      <c r="B1188" s="99" t="s">
        <v>3692</v>
      </c>
      <c r="C1188" s="65" t="s">
        <v>4</v>
      </c>
      <c r="D1188" s="66" t="s">
        <v>3693</v>
      </c>
      <c r="E1188" s="67">
        <v>40967.673217592594</v>
      </c>
      <c r="F1188" s="67"/>
      <c r="G1188" s="64" t="str">
        <f>IF(stdProdLT(Main[[#This Row],[Comments]])=0.1,"N/A",IF(stdProdLT(Main[[#This Row],[Comments]])=0,"",stdProdLT(Main[[#This Row],[Comments]])))</f>
        <v/>
      </c>
      <c r="H1188" s="68" t="str">
        <f>IF(AND(Main[[#This Row],[In Stock Date]]&lt;&gt;"",Main[[#This Row],[Revised Due Date]]&lt;&gt;""),Main[[#This Row],[In Stock Date]]-Main[[#This Row],[Revised Due Date]],"")</f>
        <v/>
      </c>
      <c r="I1188" s="65" t="s">
        <v>4</v>
      </c>
      <c r="J1188" s="65" t="s">
        <v>21</v>
      </c>
      <c r="K1188" s="65" t="s">
        <v>4</v>
      </c>
      <c r="L1188" s="67"/>
      <c r="M1188" s="69" t="str">
        <f>IF(Main[[#This Row],[Tech Start Date]]&lt;1/1/1990,"",IF(Main[[#This Row],[Class]]="C",WORKDAY(Main[[#This Row],[Tech Start Date]],9),IF(Main[[#This Row],[Class]]="B", WORKDAY(Main[[#This Row],[Tech Start Date]],6),IF(Main[[#This Row],[Class]]="A",WORKDAY(Main[[#This Row],[Tech Start Date]],2),""))))</f>
        <v/>
      </c>
      <c r="N1188" s="69" t="str">
        <f>IF(Main[[#This Row],[Tech Start Date]]&lt;1/1/1990,"",IF(Main[[#This Row],[Class]]="C",WORKDAY(Main[[#This Row],[Tech Start Date]],19),IF(Main[[#This Row],[Class]]="B", WORKDAY(Main[[#This Row],[Tech Start Date]],12),IF(Main[[#This Row],[Class]]="A",WORKDAY(Main[[#This Row],[Tech Start Date]],4),""))))</f>
        <v/>
      </c>
      <c r="O1188" s="69" t="str">
        <f>IF(Main[[#This Row],[Tech Start Date]]&lt;1/1/1990,"",IF(Main[[#This Row],[Class]]="C",WORKDAY(Main[[#This Row],[Tech Start Date]],23),IF(Main[[#This Row],[Class]]="B", WORKDAY(Main[[#This Row],[Tech Start Date]],15),IF(Main[[#This Row],[Class]]="A",WORKDAY(Main[[#This Row],[Tech Start Date]],5),""))))</f>
        <v/>
      </c>
      <c r="P1188" s="69" t="str">
        <f>IF(Main[[#This Row],[Tech Start Date]]&lt;1/1/1990,"",IF(Main[[#This Row],[Class]]="C",WORKDAY(Main[[#This Row],[Tech Start Date]],28),IF(Main[[#This Row],[Class]]="B", WORKDAY(Main[[#This Row],[Tech Start Date]],19),IF(Main[[#This Row],[Class]]="A",WORKDAY(Main[[#This Row],[Tech Start Date]],9),""))))</f>
        <v/>
      </c>
      <c r="Q1188" s="67">
        <v>40732</v>
      </c>
      <c r="R1188" s="67"/>
      <c r="S1188" s="65" t="s">
        <v>6</v>
      </c>
      <c r="T1188" s="70" t="s">
        <v>4</v>
      </c>
      <c r="U1188" s="65" t="s">
        <v>7</v>
      </c>
      <c r="V1188" s="65" t="s">
        <v>1917</v>
      </c>
      <c r="W1188" s="65" t="s">
        <v>1921</v>
      </c>
      <c r="X1188" s="65" t="s">
        <v>399</v>
      </c>
      <c r="Y1188" s="65" t="s">
        <v>3122</v>
      </c>
      <c r="Z1188" s="65" t="s">
        <v>879</v>
      </c>
      <c r="AA1188" s="65" t="s">
        <v>3402</v>
      </c>
    </row>
    <row r="1189" spans="1:27" ht="17.45" customHeight="1">
      <c r="A1189" s="131" t="str">
        <f>IF(priority(Main[[#This Row],[Comments]])&lt;&gt;0, priority(Main[[#This Row],[Comments]]),"")</f>
        <v/>
      </c>
      <c r="B1189" s="99" t="s">
        <v>3694</v>
      </c>
      <c r="C1189" s="65" t="s">
        <v>4</v>
      </c>
      <c r="D1189" s="66" t="s">
        <v>3695</v>
      </c>
      <c r="E1189" s="67">
        <v>40967.682060185187</v>
      </c>
      <c r="F1189" s="67"/>
      <c r="G1189" s="64" t="str">
        <f>IF(stdProdLT(Main[[#This Row],[Comments]])=0.1,"N/A",IF(stdProdLT(Main[[#This Row],[Comments]])=0,"",stdProdLT(Main[[#This Row],[Comments]])))</f>
        <v/>
      </c>
      <c r="H1189" s="68" t="str">
        <f>IF(AND(Main[[#This Row],[In Stock Date]]&lt;&gt;"",Main[[#This Row],[Revised Due Date]]&lt;&gt;""),Main[[#This Row],[In Stock Date]]-Main[[#This Row],[Revised Due Date]],"")</f>
        <v/>
      </c>
      <c r="I1189" s="65" t="s">
        <v>4</v>
      </c>
      <c r="J1189" s="65" t="s">
        <v>21</v>
      </c>
      <c r="K1189" s="65" t="s">
        <v>4</v>
      </c>
      <c r="L1189" s="67"/>
      <c r="M1189" s="69" t="str">
        <f>IF(Main[[#This Row],[Tech Start Date]]&lt;1/1/1990,"",IF(Main[[#This Row],[Class]]="C",WORKDAY(Main[[#This Row],[Tech Start Date]],9),IF(Main[[#This Row],[Class]]="B", WORKDAY(Main[[#This Row],[Tech Start Date]],6),IF(Main[[#This Row],[Class]]="A",WORKDAY(Main[[#This Row],[Tech Start Date]],2),""))))</f>
        <v/>
      </c>
      <c r="N1189" s="69" t="str">
        <f>IF(Main[[#This Row],[Tech Start Date]]&lt;1/1/1990,"",IF(Main[[#This Row],[Class]]="C",WORKDAY(Main[[#This Row],[Tech Start Date]],19),IF(Main[[#This Row],[Class]]="B", WORKDAY(Main[[#This Row],[Tech Start Date]],12),IF(Main[[#This Row],[Class]]="A",WORKDAY(Main[[#This Row],[Tech Start Date]],4),""))))</f>
        <v/>
      </c>
      <c r="O1189" s="69" t="str">
        <f>IF(Main[[#This Row],[Tech Start Date]]&lt;1/1/1990,"",IF(Main[[#This Row],[Class]]="C",WORKDAY(Main[[#This Row],[Tech Start Date]],23),IF(Main[[#This Row],[Class]]="B", WORKDAY(Main[[#This Row],[Tech Start Date]],15),IF(Main[[#This Row],[Class]]="A",WORKDAY(Main[[#This Row],[Tech Start Date]],5),""))))</f>
        <v/>
      </c>
      <c r="P1189" s="69" t="str">
        <f>IF(Main[[#This Row],[Tech Start Date]]&lt;1/1/1990,"",IF(Main[[#This Row],[Class]]="C",WORKDAY(Main[[#This Row],[Tech Start Date]],28),IF(Main[[#This Row],[Class]]="B", WORKDAY(Main[[#This Row],[Tech Start Date]],19),IF(Main[[#This Row],[Class]]="A",WORKDAY(Main[[#This Row],[Tech Start Date]],9),""))))</f>
        <v/>
      </c>
      <c r="Q1189" s="67">
        <v>40732</v>
      </c>
      <c r="R1189" s="67"/>
      <c r="S1189" s="65" t="s">
        <v>6</v>
      </c>
      <c r="T1189" s="70" t="s">
        <v>4</v>
      </c>
      <c r="U1189" s="65" t="s">
        <v>29</v>
      </c>
      <c r="V1189" s="65" t="s">
        <v>1918</v>
      </c>
      <c r="W1189" s="65" t="s">
        <v>1921</v>
      </c>
      <c r="X1189" s="65" t="s">
        <v>399</v>
      </c>
      <c r="Y1189" s="65" t="s">
        <v>3122</v>
      </c>
      <c r="Z1189" s="65" t="s">
        <v>2056</v>
      </c>
      <c r="AA1189" s="65" t="s">
        <v>3402</v>
      </c>
    </row>
    <row r="1190" spans="1:27" ht="17.45" customHeight="1">
      <c r="A1190" s="131" t="str">
        <f>IF(priority(Main[[#This Row],[Comments]])&lt;&gt;0, priority(Main[[#This Row],[Comments]]),"")</f>
        <v/>
      </c>
      <c r="B1190" s="99" t="s">
        <v>3558</v>
      </c>
      <c r="C1190" s="65" t="s">
        <v>4</v>
      </c>
      <c r="D1190" s="66" t="s">
        <v>3698</v>
      </c>
      <c r="E1190" s="67">
        <v>40949.264513888891</v>
      </c>
      <c r="F1190" s="67"/>
      <c r="G1190" s="64" t="str">
        <f>IF(stdProdLT(Main[[#This Row],[Comments]])=0.1,"N/A",IF(stdProdLT(Main[[#This Row],[Comments]])=0,"",stdProdLT(Main[[#This Row],[Comments]])))</f>
        <v/>
      </c>
      <c r="H1190" s="68" t="str">
        <f>IF(AND(Main[[#This Row],[In Stock Date]]&lt;&gt;"",Main[[#This Row],[Revised Due Date]]&lt;&gt;""),Main[[#This Row],[In Stock Date]]-Main[[#This Row],[Revised Due Date]],"")</f>
        <v/>
      </c>
      <c r="I1190" s="65" t="s">
        <v>69</v>
      </c>
      <c r="J1190" s="65" t="s">
        <v>70</v>
      </c>
      <c r="K1190" s="71" t="s">
        <v>1926</v>
      </c>
      <c r="L1190" s="67"/>
      <c r="M1190" s="69" t="str">
        <f>IF(Main[[#This Row],[Tech Start Date]]&lt;1/1/1990,"",IF(Main[[#This Row],[Class]]="C",WORKDAY(Main[[#This Row],[Tech Start Date]],9),IF(Main[[#This Row],[Class]]="B", WORKDAY(Main[[#This Row],[Tech Start Date]],6),IF(Main[[#This Row],[Class]]="A",WORKDAY(Main[[#This Row],[Tech Start Date]],2),""))))</f>
        <v/>
      </c>
      <c r="N1190" s="69" t="str">
        <f>IF(Main[[#This Row],[Tech Start Date]]&lt;1/1/1990,"",IF(Main[[#This Row],[Class]]="C",WORKDAY(Main[[#This Row],[Tech Start Date]],19),IF(Main[[#This Row],[Class]]="B", WORKDAY(Main[[#This Row],[Tech Start Date]],12),IF(Main[[#This Row],[Class]]="A",WORKDAY(Main[[#This Row],[Tech Start Date]],4),""))))</f>
        <v/>
      </c>
      <c r="O1190" s="69" t="str">
        <f>IF(Main[[#This Row],[Tech Start Date]]&lt;1/1/1990,"",IF(Main[[#This Row],[Class]]="C",WORKDAY(Main[[#This Row],[Tech Start Date]],23),IF(Main[[#This Row],[Class]]="B", WORKDAY(Main[[#This Row],[Tech Start Date]],15),IF(Main[[#This Row],[Class]]="A",WORKDAY(Main[[#This Row],[Tech Start Date]],5),""))))</f>
        <v/>
      </c>
      <c r="P1190" s="69" t="str">
        <f>IF(Main[[#This Row],[Tech Start Date]]&lt;1/1/1990,"",IF(Main[[#This Row],[Class]]="C",WORKDAY(Main[[#This Row],[Tech Start Date]],28),IF(Main[[#This Row],[Class]]="B", WORKDAY(Main[[#This Row],[Tech Start Date]],19),IF(Main[[#This Row],[Class]]="A",WORKDAY(Main[[#This Row],[Tech Start Date]],9),""))))</f>
        <v/>
      </c>
      <c r="Q1190" s="67">
        <v>40998</v>
      </c>
      <c r="R1190" s="67"/>
      <c r="S1190" s="65" t="s">
        <v>6</v>
      </c>
      <c r="T1190" s="70" t="s">
        <v>4</v>
      </c>
      <c r="U1190" s="65" t="s">
        <v>29</v>
      </c>
      <c r="V1190" s="65" t="s">
        <v>1920</v>
      </c>
      <c r="W1190" s="65" t="s">
        <v>1921</v>
      </c>
      <c r="X1190" s="65" t="s">
        <v>2828</v>
      </c>
      <c r="Y1190" s="65" t="s">
        <v>2944</v>
      </c>
      <c r="Z1190" s="65" t="s">
        <v>30</v>
      </c>
      <c r="AA1190" s="65" t="s">
        <v>2828</v>
      </c>
    </row>
    <row r="1191" spans="1:27" ht="17.45" customHeight="1">
      <c r="A1191" s="131" t="str">
        <f>IF(priority(Main[[#This Row],[Comments]])&lt;&gt;0, priority(Main[[#This Row],[Comments]]),"")</f>
        <v/>
      </c>
      <c r="B1191" s="99" t="s">
        <v>2058</v>
      </c>
      <c r="C1191" s="65" t="s">
        <v>4</v>
      </c>
      <c r="D1191" s="66" t="s">
        <v>2059</v>
      </c>
      <c r="E1191" s="67">
        <v>40757.464699074073</v>
      </c>
      <c r="F1191" s="67"/>
      <c r="G1191" s="64" t="str">
        <f>IF(stdProdLT(Main[[#This Row],[Comments]])=0.1,"N/A",IF(stdProdLT(Main[[#This Row],[Comments]])=0,"",stdProdLT(Main[[#This Row],[Comments]])))</f>
        <v/>
      </c>
      <c r="H1191" s="68" t="str">
        <f>IF(AND(Main[[#This Row],[In Stock Date]]&lt;&gt;"",Main[[#This Row],[Revised Due Date]]&lt;&gt;""),Main[[#This Row],[In Stock Date]]-Main[[#This Row],[Revised Due Date]],"")</f>
        <v/>
      </c>
      <c r="I1191" s="65" t="s">
        <v>4</v>
      </c>
      <c r="J1191" s="65" t="s">
        <v>4</v>
      </c>
      <c r="K1191" s="65" t="s">
        <v>4</v>
      </c>
      <c r="L1191" s="67"/>
      <c r="M1191" s="69" t="str">
        <f>IF(Main[[#This Row],[Tech Start Date]]&lt;1/1/1990,"",IF(Main[[#This Row],[Class]]="C",WORKDAY(Main[[#This Row],[Tech Start Date]],9),IF(Main[[#This Row],[Class]]="B", WORKDAY(Main[[#This Row],[Tech Start Date]],6),IF(Main[[#This Row],[Class]]="A",WORKDAY(Main[[#This Row],[Tech Start Date]],2),""))))</f>
        <v/>
      </c>
      <c r="N1191" s="69" t="str">
        <f>IF(Main[[#This Row],[Tech Start Date]]&lt;1/1/1990,"",IF(Main[[#This Row],[Class]]="C",WORKDAY(Main[[#This Row],[Tech Start Date]],19),IF(Main[[#This Row],[Class]]="B", WORKDAY(Main[[#This Row],[Tech Start Date]],12),IF(Main[[#This Row],[Class]]="A",WORKDAY(Main[[#This Row],[Tech Start Date]],4),""))))</f>
        <v/>
      </c>
      <c r="O1191" s="69" t="str">
        <f>IF(Main[[#This Row],[Tech Start Date]]&lt;1/1/1990,"",IF(Main[[#This Row],[Class]]="C",WORKDAY(Main[[#This Row],[Tech Start Date]],23),IF(Main[[#This Row],[Class]]="B", WORKDAY(Main[[#This Row],[Tech Start Date]],15),IF(Main[[#This Row],[Class]]="A",WORKDAY(Main[[#This Row],[Tech Start Date]],5),""))))</f>
        <v/>
      </c>
      <c r="P1191" s="69" t="str">
        <f>IF(Main[[#This Row],[Tech Start Date]]&lt;1/1/1990,"",IF(Main[[#This Row],[Class]]="C",WORKDAY(Main[[#This Row],[Tech Start Date]],28),IF(Main[[#This Row],[Class]]="B", WORKDAY(Main[[#This Row],[Tech Start Date]],19),IF(Main[[#This Row],[Class]]="A",WORKDAY(Main[[#This Row],[Tech Start Date]],9),""))))</f>
        <v/>
      </c>
      <c r="Q1191" s="67"/>
      <c r="R1191" s="67"/>
      <c r="S1191" s="65" t="s">
        <v>17</v>
      </c>
      <c r="T1191" s="70" t="s">
        <v>4</v>
      </c>
      <c r="U1191" s="65" t="s">
        <v>29</v>
      </c>
      <c r="V1191" s="65" t="s">
        <v>1920</v>
      </c>
      <c r="W1191" s="65" t="s">
        <v>4</v>
      </c>
      <c r="X1191" s="65" t="s">
        <v>654</v>
      </c>
      <c r="Y1191" s="65" t="s">
        <v>3132</v>
      </c>
      <c r="Z1191" s="65" t="s">
        <v>4</v>
      </c>
      <c r="AA1191" s="65" t="s">
        <v>654</v>
      </c>
    </row>
    <row r="1192" spans="1:27" ht="17.45" customHeight="1">
      <c r="A1192" s="131" t="str">
        <f>IF(priority(Main[[#This Row],[Comments]])&lt;&gt;0, priority(Main[[#This Row],[Comments]]),"")</f>
        <v/>
      </c>
      <c r="B1192" s="99" t="s">
        <v>2544</v>
      </c>
      <c r="C1192" s="65" t="s">
        <v>4</v>
      </c>
      <c r="D1192" s="66" t="s">
        <v>2545</v>
      </c>
      <c r="E1192" s="67"/>
      <c r="F1192" s="67"/>
      <c r="G1192" s="64" t="str">
        <f>IF(stdProdLT(Main[[#This Row],[Comments]])=0.1,"N/A",IF(stdProdLT(Main[[#This Row],[Comments]])=0,"",stdProdLT(Main[[#This Row],[Comments]])))</f>
        <v/>
      </c>
      <c r="H1192" s="68" t="str">
        <f>IF(AND(Main[[#This Row],[In Stock Date]]&lt;&gt;"",Main[[#This Row],[Revised Due Date]]&lt;&gt;""),Main[[#This Row],[In Stock Date]]-Main[[#This Row],[Revised Due Date]],"")</f>
        <v/>
      </c>
      <c r="I1192" s="65" t="s">
        <v>4</v>
      </c>
      <c r="J1192" s="65" t="s">
        <v>4</v>
      </c>
      <c r="K1192" s="65" t="s">
        <v>4</v>
      </c>
      <c r="L1192" s="67"/>
      <c r="M1192" s="69" t="str">
        <f>IF(Main[[#This Row],[Tech Start Date]]&lt;1/1/1990,"",IF(Main[[#This Row],[Class]]="C",WORKDAY(Main[[#This Row],[Tech Start Date]],9),IF(Main[[#This Row],[Class]]="B", WORKDAY(Main[[#This Row],[Tech Start Date]],6),IF(Main[[#This Row],[Class]]="A",WORKDAY(Main[[#This Row],[Tech Start Date]],2),""))))</f>
        <v/>
      </c>
      <c r="N1192" s="69" t="str">
        <f>IF(Main[[#This Row],[Tech Start Date]]&lt;1/1/1990,"",IF(Main[[#This Row],[Class]]="C",WORKDAY(Main[[#This Row],[Tech Start Date]],19),IF(Main[[#This Row],[Class]]="B", WORKDAY(Main[[#This Row],[Tech Start Date]],12),IF(Main[[#This Row],[Class]]="A",WORKDAY(Main[[#This Row],[Tech Start Date]],4),""))))</f>
        <v/>
      </c>
      <c r="O1192" s="69" t="str">
        <f>IF(Main[[#This Row],[Tech Start Date]]&lt;1/1/1990,"",IF(Main[[#This Row],[Class]]="C",WORKDAY(Main[[#This Row],[Tech Start Date]],23),IF(Main[[#This Row],[Class]]="B", WORKDAY(Main[[#This Row],[Tech Start Date]],15),IF(Main[[#This Row],[Class]]="A",WORKDAY(Main[[#This Row],[Tech Start Date]],5),""))))</f>
        <v/>
      </c>
      <c r="P1192" s="69" t="str">
        <f>IF(Main[[#This Row],[Tech Start Date]]&lt;1/1/1990,"",IF(Main[[#This Row],[Class]]="C",WORKDAY(Main[[#This Row],[Tech Start Date]],28),IF(Main[[#This Row],[Class]]="B", WORKDAY(Main[[#This Row],[Tech Start Date]],19),IF(Main[[#This Row],[Class]]="A",WORKDAY(Main[[#This Row],[Tech Start Date]],9),""))))</f>
        <v/>
      </c>
      <c r="Q1192" s="67"/>
      <c r="R1192" s="67"/>
      <c r="S1192" s="65" t="s">
        <v>6</v>
      </c>
      <c r="T1192" s="70" t="s">
        <v>4</v>
      </c>
      <c r="U1192" s="65" t="s">
        <v>14</v>
      </c>
      <c r="V1192" s="65" t="s">
        <v>1927</v>
      </c>
      <c r="W1192" s="65" t="s">
        <v>1921</v>
      </c>
      <c r="X1192" s="65" t="s">
        <v>102</v>
      </c>
      <c r="Y1192" s="65" t="s">
        <v>3135</v>
      </c>
      <c r="Z1192" s="65" t="s">
        <v>4</v>
      </c>
      <c r="AA1192" s="65" t="s">
        <v>3435</v>
      </c>
    </row>
    <row r="1193" spans="1:27" ht="17.45" customHeight="1">
      <c r="A1193" s="131" t="str">
        <f>IF(priority(Main[[#This Row],[Comments]])&lt;&gt;0, priority(Main[[#This Row],[Comments]]),"")</f>
        <v/>
      </c>
      <c r="B1193" s="99" t="s">
        <v>1738</v>
      </c>
      <c r="C1193" s="65" t="s">
        <v>4</v>
      </c>
      <c r="D1193" s="66" t="s">
        <v>3286</v>
      </c>
      <c r="E1193" s="67">
        <v>40540.606365740743</v>
      </c>
      <c r="F1193" s="67"/>
      <c r="G1193" s="64" t="str">
        <f>IF(stdProdLT(Main[[#This Row],[Comments]])=0.1,"N/A",IF(stdProdLT(Main[[#This Row],[Comments]])=0,"",stdProdLT(Main[[#This Row],[Comments]])))</f>
        <v/>
      </c>
      <c r="H1193" s="68" t="str">
        <f>IF(AND(Main[[#This Row],[In Stock Date]]&lt;&gt;"",Main[[#This Row],[Revised Due Date]]&lt;&gt;""),Main[[#This Row],[In Stock Date]]-Main[[#This Row],[Revised Due Date]],"")</f>
        <v/>
      </c>
      <c r="I1193" s="65" t="s">
        <v>1979</v>
      </c>
      <c r="J1193" s="65" t="s">
        <v>28</v>
      </c>
      <c r="K1193" s="65" t="s">
        <v>1929</v>
      </c>
      <c r="L1193" s="67"/>
      <c r="M1193" s="69" t="str">
        <f>IF(Main[[#This Row],[Tech Start Date]]&lt;1/1/1990,"",IF(Main[[#This Row],[Class]]="C",WORKDAY(Main[[#This Row],[Tech Start Date]],9),IF(Main[[#This Row],[Class]]="B", WORKDAY(Main[[#This Row],[Tech Start Date]],6),IF(Main[[#This Row],[Class]]="A",WORKDAY(Main[[#This Row],[Tech Start Date]],2),""))))</f>
        <v/>
      </c>
      <c r="N1193" s="69" t="str">
        <f>IF(Main[[#This Row],[Tech Start Date]]&lt;1/1/1990,"",IF(Main[[#This Row],[Class]]="C",WORKDAY(Main[[#This Row],[Tech Start Date]],19),IF(Main[[#This Row],[Class]]="B", WORKDAY(Main[[#This Row],[Tech Start Date]],12),IF(Main[[#This Row],[Class]]="A",WORKDAY(Main[[#This Row],[Tech Start Date]],4),""))))</f>
        <v/>
      </c>
      <c r="O1193" s="69" t="str">
        <f>IF(Main[[#This Row],[Tech Start Date]]&lt;1/1/1990,"",IF(Main[[#This Row],[Class]]="C",WORKDAY(Main[[#This Row],[Tech Start Date]],23),IF(Main[[#This Row],[Class]]="B", WORKDAY(Main[[#This Row],[Tech Start Date]],15),IF(Main[[#This Row],[Class]]="A",WORKDAY(Main[[#This Row],[Tech Start Date]],5),""))))</f>
        <v/>
      </c>
      <c r="P1193" s="69" t="str">
        <f>IF(Main[[#This Row],[Tech Start Date]]&lt;1/1/1990,"",IF(Main[[#This Row],[Class]]="C",WORKDAY(Main[[#This Row],[Tech Start Date]],28),IF(Main[[#This Row],[Class]]="B", WORKDAY(Main[[#This Row],[Tech Start Date]],19),IF(Main[[#This Row],[Class]]="A",WORKDAY(Main[[#This Row],[Tech Start Date]],9),""))))</f>
        <v/>
      </c>
      <c r="Q1193" s="67"/>
      <c r="R1193" s="67">
        <v>40875</v>
      </c>
      <c r="S1193" s="65" t="s">
        <v>17</v>
      </c>
      <c r="T1193" s="70" t="s">
        <v>4</v>
      </c>
      <c r="U1193" s="65" t="s">
        <v>29</v>
      </c>
      <c r="V1193" s="65" t="s">
        <v>1920</v>
      </c>
      <c r="W1193" s="65" t="s">
        <v>1922</v>
      </c>
      <c r="X1193" s="65" t="s">
        <v>554</v>
      </c>
      <c r="Y1193" s="65" t="s">
        <v>2958</v>
      </c>
      <c r="Z1193" s="65" t="s">
        <v>654</v>
      </c>
      <c r="AA1193" s="65" t="s">
        <v>554</v>
      </c>
    </row>
    <row r="1194" spans="1:27" ht="17.45" customHeight="1">
      <c r="A1194" s="131" t="str">
        <f>IF(priority(Main[[#This Row],[Comments]])&lt;&gt;0, priority(Main[[#This Row],[Comments]]),"")</f>
        <v/>
      </c>
      <c r="B1194" s="99" t="s">
        <v>1298</v>
      </c>
      <c r="C1194" s="65" t="s">
        <v>4</v>
      </c>
      <c r="D1194" s="66" t="s">
        <v>369</v>
      </c>
      <c r="E1194" s="67">
        <v>40610.689421296294</v>
      </c>
      <c r="F1194" s="67"/>
      <c r="G1194" s="64" t="str">
        <f>IF(stdProdLT(Main[[#This Row],[Comments]])=0.1,"N/A",IF(stdProdLT(Main[[#This Row],[Comments]])=0,"",stdProdLT(Main[[#This Row],[Comments]])))</f>
        <v/>
      </c>
      <c r="H1194" s="68" t="str">
        <f>IF(AND(Main[[#This Row],[In Stock Date]]&lt;&gt;"",Main[[#This Row],[Revised Due Date]]&lt;&gt;""),Main[[#This Row],[In Stock Date]]-Main[[#This Row],[Revised Due Date]],"")</f>
        <v/>
      </c>
      <c r="I1194" s="65" t="s">
        <v>239</v>
      </c>
      <c r="J1194" s="65" t="s">
        <v>28</v>
      </c>
      <c r="K1194" s="65" t="s">
        <v>1926</v>
      </c>
      <c r="L1194" s="67"/>
      <c r="M1194" s="69" t="str">
        <f>IF(Main[[#This Row],[Tech Start Date]]&lt;1/1/1990,"",IF(Main[[#This Row],[Class]]="C",WORKDAY(Main[[#This Row],[Tech Start Date]],9),IF(Main[[#This Row],[Class]]="B", WORKDAY(Main[[#This Row],[Tech Start Date]],6),IF(Main[[#This Row],[Class]]="A",WORKDAY(Main[[#This Row],[Tech Start Date]],2),""))))</f>
        <v/>
      </c>
      <c r="N1194" s="69" t="str">
        <f>IF(Main[[#This Row],[Tech Start Date]]&lt;1/1/1990,"",IF(Main[[#This Row],[Class]]="C",WORKDAY(Main[[#This Row],[Tech Start Date]],19),IF(Main[[#This Row],[Class]]="B", WORKDAY(Main[[#This Row],[Tech Start Date]],12),IF(Main[[#This Row],[Class]]="A",WORKDAY(Main[[#This Row],[Tech Start Date]],4),""))))</f>
        <v/>
      </c>
      <c r="O1194" s="69" t="str">
        <f>IF(Main[[#This Row],[Tech Start Date]]&lt;1/1/1990,"",IF(Main[[#This Row],[Class]]="C",WORKDAY(Main[[#This Row],[Tech Start Date]],23),IF(Main[[#This Row],[Class]]="B", WORKDAY(Main[[#This Row],[Tech Start Date]],15),IF(Main[[#This Row],[Class]]="A",WORKDAY(Main[[#This Row],[Tech Start Date]],5),""))))</f>
        <v/>
      </c>
      <c r="P1194" s="69" t="str">
        <f>IF(Main[[#This Row],[Tech Start Date]]&lt;1/1/1990,"",IF(Main[[#This Row],[Class]]="C",WORKDAY(Main[[#This Row],[Tech Start Date]],28),IF(Main[[#This Row],[Class]]="B", WORKDAY(Main[[#This Row],[Tech Start Date]],19),IF(Main[[#This Row],[Class]]="A",WORKDAY(Main[[#This Row],[Tech Start Date]],9),""))))</f>
        <v/>
      </c>
      <c r="Q1194" s="67">
        <v>40695</v>
      </c>
      <c r="R1194" s="67"/>
      <c r="S1194" s="65" t="s">
        <v>6</v>
      </c>
      <c r="T1194" s="70" t="s">
        <v>4</v>
      </c>
      <c r="U1194" s="65" t="s">
        <v>29</v>
      </c>
      <c r="V1194" s="65" t="s">
        <v>1920</v>
      </c>
      <c r="W1194" s="65" t="s">
        <v>1919</v>
      </c>
      <c r="X1194" s="65" t="s">
        <v>554</v>
      </c>
      <c r="Y1194" s="65" t="s">
        <v>2958</v>
      </c>
      <c r="Z1194" s="65" t="s">
        <v>306</v>
      </c>
      <c r="AA1194" s="65" t="s">
        <v>554</v>
      </c>
    </row>
    <row r="1195" spans="1:27" ht="17.45" customHeight="1">
      <c r="A1195" s="131" t="str">
        <f>IF(priority(Main[[#This Row],[Comments]])&lt;&gt;0, priority(Main[[#This Row],[Comments]]),"")</f>
        <v/>
      </c>
      <c r="B1195" s="99" t="s">
        <v>2551</v>
      </c>
      <c r="C1195" s="65" t="s">
        <v>2552</v>
      </c>
      <c r="D1195" s="66" t="s">
        <v>2553</v>
      </c>
      <c r="E1195" s="67"/>
      <c r="F1195" s="67"/>
      <c r="G1195" s="64" t="str">
        <f>IF(stdProdLT(Main[[#This Row],[Comments]])=0.1,"N/A",IF(stdProdLT(Main[[#This Row],[Comments]])=0,"",stdProdLT(Main[[#This Row],[Comments]])))</f>
        <v/>
      </c>
      <c r="H1195" s="68" t="str">
        <f>IF(AND(Main[[#This Row],[In Stock Date]]&lt;&gt;"",Main[[#This Row],[Revised Due Date]]&lt;&gt;""),Main[[#This Row],[In Stock Date]]-Main[[#This Row],[Revised Due Date]],"")</f>
        <v/>
      </c>
      <c r="I1195" s="65" t="s">
        <v>4</v>
      </c>
      <c r="J1195" s="65" t="s">
        <v>4</v>
      </c>
      <c r="K1195" s="65" t="s">
        <v>4</v>
      </c>
      <c r="L1195" s="67"/>
      <c r="M1195" s="69" t="str">
        <f>IF(Main[[#This Row],[Tech Start Date]]&lt;1/1/1990,"",IF(Main[[#This Row],[Class]]="C",WORKDAY(Main[[#This Row],[Tech Start Date]],9),IF(Main[[#This Row],[Class]]="B", WORKDAY(Main[[#This Row],[Tech Start Date]],6),IF(Main[[#This Row],[Class]]="A",WORKDAY(Main[[#This Row],[Tech Start Date]],2),""))))</f>
        <v/>
      </c>
      <c r="N1195" s="69" t="str">
        <f>IF(Main[[#This Row],[Tech Start Date]]&lt;1/1/1990,"",IF(Main[[#This Row],[Class]]="C",WORKDAY(Main[[#This Row],[Tech Start Date]],19),IF(Main[[#This Row],[Class]]="B", WORKDAY(Main[[#This Row],[Tech Start Date]],12),IF(Main[[#This Row],[Class]]="A",WORKDAY(Main[[#This Row],[Tech Start Date]],4),""))))</f>
        <v/>
      </c>
      <c r="O1195" s="69" t="str">
        <f>IF(Main[[#This Row],[Tech Start Date]]&lt;1/1/1990,"",IF(Main[[#This Row],[Class]]="C",WORKDAY(Main[[#This Row],[Tech Start Date]],23),IF(Main[[#This Row],[Class]]="B", WORKDAY(Main[[#This Row],[Tech Start Date]],15),IF(Main[[#This Row],[Class]]="A",WORKDAY(Main[[#This Row],[Tech Start Date]],5),""))))</f>
        <v/>
      </c>
      <c r="P1195" s="69" t="str">
        <f>IF(Main[[#This Row],[Tech Start Date]]&lt;1/1/1990,"",IF(Main[[#This Row],[Class]]="C",WORKDAY(Main[[#This Row],[Tech Start Date]],28),IF(Main[[#This Row],[Class]]="B", WORKDAY(Main[[#This Row],[Tech Start Date]],19),IF(Main[[#This Row],[Class]]="A",WORKDAY(Main[[#This Row],[Tech Start Date]],9),""))))</f>
        <v/>
      </c>
      <c r="Q1195" s="67"/>
      <c r="R1195" s="67"/>
      <c r="S1195" s="65" t="s">
        <v>11</v>
      </c>
      <c r="T1195" s="70" t="s">
        <v>4</v>
      </c>
      <c r="U1195" s="65" t="s">
        <v>14</v>
      </c>
      <c r="V1195" s="65" t="s">
        <v>1918</v>
      </c>
      <c r="W1195" s="65" t="s">
        <v>1919</v>
      </c>
      <c r="X1195" s="65" t="s">
        <v>2822</v>
      </c>
      <c r="Y1195" s="65" t="s">
        <v>2999</v>
      </c>
      <c r="Z1195" s="65" t="s">
        <v>4</v>
      </c>
      <c r="AA1195" s="65" t="s">
        <v>3474</v>
      </c>
    </row>
    <row r="1196" spans="1:27" ht="17.45" customHeight="1">
      <c r="A1196" s="131" t="str">
        <f>IF(priority(Main[[#This Row],[Comments]])&lt;&gt;0, priority(Main[[#This Row],[Comments]]),"")</f>
        <v/>
      </c>
      <c r="B1196" s="99" t="s">
        <v>1323</v>
      </c>
      <c r="C1196" s="65" t="s">
        <v>4</v>
      </c>
      <c r="D1196" s="66" t="s">
        <v>3699</v>
      </c>
      <c r="E1196" s="67">
        <v>40585.595960648148</v>
      </c>
      <c r="F1196" s="67"/>
      <c r="G1196" s="64" t="str">
        <f>IF(stdProdLT(Main[[#This Row],[Comments]])=0.1,"N/A",IF(stdProdLT(Main[[#This Row],[Comments]])=0,"",stdProdLT(Main[[#This Row],[Comments]])))</f>
        <v/>
      </c>
      <c r="H1196" s="68" t="str">
        <f>IF(AND(Main[[#This Row],[In Stock Date]]&lt;&gt;"",Main[[#This Row],[Revised Due Date]]&lt;&gt;""),Main[[#This Row],[In Stock Date]]-Main[[#This Row],[Revised Due Date]],"")</f>
        <v/>
      </c>
      <c r="I1196" s="65" t="s">
        <v>74</v>
      </c>
      <c r="J1196" s="65" t="s">
        <v>4</v>
      </c>
      <c r="K1196" s="65" t="s">
        <v>4</v>
      </c>
      <c r="L1196" s="67"/>
      <c r="M1196" s="69" t="str">
        <f>IF(Main[[#This Row],[Tech Start Date]]&lt;1/1/1990,"",IF(Main[[#This Row],[Class]]="C",WORKDAY(Main[[#This Row],[Tech Start Date]],9),IF(Main[[#This Row],[Class]]="B", WORKDAY(Main[[#This Row],[Tech Start Date]],6),IF(Main[[#This Row],[Class]]="A",WORKDAY(Main[[#This Row],[Tech Start Date]],2),""))))</f>
        <v/>
      </c>
      <c r="N1196" s="69" t="str">
        <f>IF(Main[[#This Row],[Tech Start Date]]&lt;1/1/1990,"",IF(Main[[#This Row],[Class]]="C",WORKDAY(Main[[#This Row],[Tech Start Date]],19),IF(Main[[#This Row],[Class]]="B", WORKDAY(Main[[#This Row],[Tech Start Date]],12),IF(Main[[#This Row],[Class]]="A",WORKDAY(Main[[#This Row],[Tech Start Date]],4),""))))</f>
        <v/>
      </c>
      <c r="O1196" s="69" t="str">
        <f>IF(Main[[#This Row],[Tech Start Date]]&lt;1/1/1990,"",IF(Main[[#This Row],[Class]]="C",WORKDAY(Main[[#This Row],[Tech Start Date]],23),IF(Main[[#This Row],[Class]]="B", WORKDAY(Main[[#This Row],[Tech Start Date]],15),IF(Main[[#This Row],[Class]]="A",WORKDAY(Main[[#This Row],[Tech Start Date]],5),""))))</f>
        <v/>
      </c>
      <c r="P1196" s="69" t="str">
        <f>IF(Main[[#This Row],[Tech Start Date]]&lt;1/1/1990,"",IF(Main[[#This Row],[Class]]="C",WORKDAY(Main[[#This Row],[Tech Start Date]],28),IF(Main[[#This Row],[Class]]="B", WORKDAY(Main[[#This Row],[Tech Start Date]],19),IF(Main[[#This Row],[Class]]="A",WORKDAY(Main[[#This Row],[Tech Start Date]],9),""))))</f>
        <v/>
      </c>
      <c r="Q1196" s="67">
        <v>40592</v>
      </c>
      <c r="R1196" s="67"/>
      <c r="S1196" s="65" t="s">
        <v>6</v>
      </c>
      <c r="T1196" s="70" t="s">
        <v>4</v>
      </c>
      <c r="U1196" s="65" t="s">
        <v>29</v>
      </c>
      <c r="V1196" s="65" t="s">
        <v>1920</v>
      </c>
      <c r="W1196" s="65" t="s">
        <v>1921</v>
      </c>
      <c r="X1196" s="65" t="s">
        <v>74</v>
      </c>
      <c r="Y1196" s="65" t="s">
        <v>3037</v>
      </c>
      <c r="Z1196" s="65" t="s">
        <v>415</v>
      </c>
      <c r="AA1196" s="65" t="s">
        <v>74</v>
      </c>
    </row>
    <row r="1197" spans="1:27" ht="17.45" customHeight="1">
      <c r="A1197" s="131" t="str">
        <f>IF(priority(Main[[#This Row],[Comments]])&lt;&gt;0, priority(Main[[#This Row],[Comments]]),"")</f>
        <v/>
      </c>
      <c r="B1197" s="99" t="s">
        <v>2338</v>
      </c>
      <c r="C1197" s="65" t="s">
        <v>4</v>
      </c>
      <c r="D1197" s="66" t="s">
        <v>2339</v>
      </c>
      <c r="E1197" s="67"/>
      <c r="F1197" s="67"/>
      <c r="G1197" s="64" t="str">
        <f>IF(stdProdLT(Main[[#This Row],[Comments]])=0.1,"N/A",IF(stdProdLT(Main[[#This Row],[Comments]])=0,"",stdProdLT(Main[[#This Row],[Comments]])))</f>
        <v/>
      </c>
      <c r="H1197" s="68" t="str">
        <f>IF(AND(Main[[#This Row],[In Stock Date]]&lt;&gt;"",Main[[#This Row],[Revised Due Date]]&lt;&gt;""),Main[[#This Row],[In Stock Date]]-Main[[#This Row],[Revised Due Date]],"")</f>
        <v/>
      </c>
      <c r="I1197" s="65" t="s">
        <v>4</v>
      </c>
      <c r="J1197" s="65" t="s">
        <v>4</v>
      </c>
      <c r="K1197" s="65" t="s">
        <v>4</v>
      </c>
      <c r="L1197" s="67"/>
      <c r="M1197" s="69" t="str">
        <f>IF(Main[[#This Row],[Tech Start Date]]&lt;1/1/1990,"",IF(Main[[#This Row],[Class]]="C",WORKDAY(Main[[#This Row],[Tech Start Date]],9),IF(Main[[#This Row],[Class]]="B", WORKDAY(Main[[#This Row],[Tech Start Date]],6),IF(Main[[#This Row],[Class]]="A",WORKDAY(Main[[#This Row],[Tech Start Date]],2),""))))</f>
        <v/>
      </c>
      <c r="N1197" s="69" t="str">
        <f>IF(Main[[#This Row],[Tech Start Date]]&lt;1/1/1990,"",IF(Main[[#This Row],[Class]]="C",WORKDAY(Main[[#This Row],[Tech Start Date]],19),IF(Main[[#This Row],[Class]]="B", WORKDAY(Main[[#This Row],[Tech Start Date]],12),IF(Main[[#This Row],[Class]]="A",WORKDAY(Main[[#This Row],[Tech Start Date]],4),""))))</f>
        <v/>
      </c>
      <c r="O1197" s="69" t="str">
        <f>IF(Main[[#This Row],[Tech Start Date]]&lt;1/1/1990,"",IF(Main[[#This Row],[Class]]="C",WORKDAY(Main[[#This Row],[Tech Start Date]],23),IF(Main[[#This Row],[Class]]="B", WORKDAY(Main[[#This Row],[Tech Start Date]],15),IF(Main[[#This Row],[Class]]="A",WORKDAY(Main[[#This Row],[Tech Start Date]],5),""))))</f>
        <v/>
      </c>
      <c r="P1197" s="69" t="str">
        <f>IF(Main[[#This Row],[Tech Start Date]]&lt;1/1/1990,"",IF(Main[[#This Row],[Class]]="C",WORKDAY(Main[[#This Row],[Tech Start Date]],28),IF(Main[[#This Row],[Class]]="B", WORKDAY(Main[[#This Row],[Tech Start Date]],19),IF(Main[[#This Row],[Class]]="A",WORKDAY(Main[[#This Row],[Tech Start Date]],9),""))))</f>
        <v/>
      </c>
      <c r="Q1197" s="67"/>
      <c r="R1197" s="67"/>
      <c r="S1197" s="65" t="s">
        <v>11</v>
      </c>
      <c r="T1197" s="70" t="s">
        <v>4</v>
      </c>
      <c r="U1197" s="65" t="s">
        <v>14</v>
      </c>
      <c r="V1197" s="65" t="s">
        <v>1917</v>
      </c>
      <c r="W1197" s="65" t="s">
        <v>1925</v>
      </c>
      <c r="X1197" s="65" t="s">
        <v>306</v>
      </c>
      <c r="Y1197" s="65" t="s">
        <v>2947</v>
      </c>
      <c r="Z1197" s="65" t="s">
        <v>4</v>
      </c>
      <c r="AA1197" s="65" t="s">
        <v>306</v>
      </c>
    </row>
    <row r="1198" spans="1:27" ht="17.45" customHeight="1">
      <c r="A1198" s="131" t="str">
        <f>IF(priority(Main[[#This Row],[Comments]])&lt;&gt;0, priority(Main[[#This Row],[Comments]]),"")</f>
        <v/>
      </c>
      <c r="B1198" s="99" t="s">
        <v>2554</v>
      </c>
      <c r="C1198" s="65" t="s">
        <v>4</v>
      </c>
      <c r="D1198" s="66" t="s">
        <v>2775</v>
      </c>
      <c r="E1198" s="67">
        <v>40870.465879629628</v>
      </c>
      <c r="F1198" s="67"/>
      <c r="G1198" s="64" t="str">
        <f>IF(stdProdLT(Main[[#This Row],[Comments]])=0.1,"N/A",IF(stdProdLT(Main[[#This Row],[Comments]])=0,"",stdProdLT(Main[[#This Row],[Comments]])))</f>
        <v/>
      </c>
      <c r="H1198" s="68" t="str">
        <f>IF(AND(Main[[#This Row],[In Stock Date]]&lt;&gt;"",Main[[#This Row],[Revised Due Date]]&lt;&gt;""),Main[[#This Row],[In Stock Date]]-Main[[#This Row],[Revised Due Date]],"")</f>
        <v/>
      </c>
      <c r="I1198" s="65" t="s">
        <v>429</v>
      </c>
      <c r="J1198" s="65" t="s">
        <v>28</v>
      </c>
      <c r="K1198" s="65" t="s">
        <v>1926</v>
      </c>
      <c r="L1198" s="67"/>
      <c r="M1198" s="69" t="str">
        <f>IF(Main[[#This Row],[Tech Start Date]]&lt;1/1/1990,"",IF(Main[[#This Row],[Class]]="C",WORKDAY(Main[[#This Row],[Tech Start Date]],9),IF(Main[[#This Row],[Class]]="B", WORKDAY(Main[[#This Row],[Tech Start Date]],6),IF(Main[[#This Row],[Class]]="A",WORKDAY(Main[[#This Row],[Tech Start Date]],2),""))))</f>
        <v/>
      </c>
      <c r="N1198" s="69" t="str">
        <f>IF(Main[[#This Row],[Tech Start Date]]&lt;1/1/1990,"",IF(Main[[#This Row],[Class]]="C",WORKDAY(Main[[#This Row],[Tech Start Date]],19),IF(Main[[#This Row],[Class]]="B", WORKDAY(Main[[#This Row],[Tech Start Date]],12),IF(Main[[#This Row],[Class]]="A",WORKDAY(Main[[#This Row],[Tech Start Date]],4),""))))</f>
        <v/>
      </c>
      <c r="O1198" s="69" t="str">
        <f>IF(Main[[#This Row],[Tech Start Date]]&lt;1/1/1990,"",IF(Main[[#This Row],[Class]]="C",WORKDAY(Main[[#This Row],[Tech Start Date]],23),IF(Main[[#This Row],[Class]]="B", WORKDAY(Main[[#This Row],[Tech Start Date]],15),IF(Main[[#This Row],[Class]]="A",WORKDAY(Main[[#This Row],[Tech Start Date]],5),""))))</f>
        <v/>
      </c>
      <c r="P1198" s="69" t="str">
        <f>IF(Main[[#This Row],[Tech Start Date]]&lt;1/1/1990,"",IF(Main[[#This Row],[Class]]="C",WORKDAY(Main[[#This Row],[Tech Start Date]],28),IF(Main[[#This Row],[Class]]="B", WORKDAY(Main[[#This Row],[Tech Start Date]],19),IF(Main[[#This Row],[Class]]="A",WORKDAY(Main[[#This Row],[Tech Start Date]],9),""))))</f>
        <v/>
      </c>
      <c r="Q1198" s="67">
        <v>40905</v>
      </c>
      <c r="R1198" s="67"/>
      <c r="S1198" s="65" t="s">
        <v>6</v>
      </c>
      <c r="T1198" s="70" t="s">
        <v>4</v>
      </c>
      <c r="U1198" s="65" t="s">
        <v>29</v>
      </c>
      <c r="V1198" s="65" t="s">
        <v>1920</v>
      </c>
      <c r="W1198" s="65" t="s">
        <v>1921</v>
      </c>
      <c r="X1198" s="65" t="s">
        <v>2054</v>
      </c>
      <c r="Y1198" s="65" t="s">
        <v>3066</v>
      </c>
      <c r="Z1198" s="65" t="s">
        <v>30</v>
      </c>
      <c r="AA1198" s="65" t="s">
        <v>2901</v>
      </c>
    </row>
    <row r="1199" spans="1:27" ht="17.45" customHeight="1">
      <c r="A1199" s="131" t="str">
        <f>IF(priority(Main[[#This Row],[Comments]])&lt;&gt;0, priority(Main[[#This Row],[Comments]]),"")</f>
        <v/>
      </c>
      <c r="B1199" s="99" t="s">
        <v>2520</v>
      </c>
      <c r="C1199" s="65" t="s">
        <v>4</v>
      </c>
      <c r="D1199" s="66" t="s">
        <v>2776</v>
      </c>
      <c r="E1199" s="67">
        <v>40870.466527777775</v>
      </c>
      <c r="F1199" s="67"/>
      <c r="G1199" s="64" t="str">
        <f>IF(stdProdLT(Main[[#This Row],[Comments]])=0.1,"N/A",IF(stdProdLT(Main[[#This Row],[Comments]])=0,"",stdProdLT(Main[[#This Row],[Comments]])))</f>
        <v/>
      </c>
      <c r="H1199" s="68" t="str">
        <f>IF(AND(Main[[#This Row],[In Stock Date]]&lt;&gt;"",Main[[#This Row],[Revised Due Date]]&lt;&gt;""),Main[[#This Row],[In Stock Date]]-Main[[#This Row],[Revised Due Date]],"")</f>
        <v/>
      </c>
      <c r="I1199" s="65" t="s">
        <v>429</v>
      </c>
      <c r="J1199" s="65" t="s">
        <v>28</v>
      </c>
      <c r="K1199" s="71" t="s">
        <v>1926</v>
      </c>
      <c r="L1199" s="67"/>
      <c r="M1199" s="69" t="str">
        <f>IF(Main[[#This Row],[Tech Start Date]]&lt;1/1/1990,"",IF(Main[[#This Row],[Class]]="C",WORKDAY(Main[[#This Row],[Tech Start Date]],9),IF(Main[[#This Row],[Class]]="B", WORKDAY(Main[[#This Row],[Tech Start Date]],6),IF(Main[[#This Row],[Class]]="A",WORKDAY(Main[[#This Row],[Tech Start Date]],2),""))))</f>
        <v/>
      </c>
      <c r="N1199" s="69" t="str">
        <f>IF(Main[[#This Row],[Tech Start Date]]&lt;1/1/1990,"",IF(Main[[#This Row],[Class]]="C",WORKDAY(Main[[#This Row],[Tech Start Date]],19),IF(Main[[#This Row],[Class]]="B", WORKDAY(Main[[#This Row],[Tech Start Date]],12),IF(Main[[#This Row],[Class]]="A",WORKDAY(Main[[#This Row],[Tech Start Date]],4),""))))</f>
        <v/>
      </c>
      <c r="O1199" s="69" t="str">
        <f>IF(Main[[#This Row],[Tech Start Date]]&lt;1/1/1990,"",IF(Main[[#This Row],[Class]]="C",WORKDAY(Main[[#This Row],[Tech Start Date]],23),IF(Main[[#This Row],[Class]]="B", WORKDAY(Main[[#This Row],[Tech Start Date]],15),IF(Main[[#This Row],[Class]]="A",WORKDAY(Main[[#This Row],[Tech Start Date]],5),""))))</f>
        <v/>
      </c>
      <c r="P1199" s="69" t="str">
        <f>IF(Main[[#This Row],[Tech Start Date]]&lt;1/1/1990,"",IF(Main[[#This Row],[Class]]="C",WORKDAY(Main[[#This Row],[Tech Start Date]],28),IF(Main[[#This Row],[Class]]="B", WORKDAY(Main[[#This Row],[Tech Start Date]],19),IF(Main[[#This Row],[Class]]="A",WORKDAY(Main[[#This Row],[Tech Start Date]],9),""))))</f>
        <v/>
      </c>
      <c r="Q1199" s="67">
        <v>40905</v>
      </c>
      <c r="R1199" s="67"/>
      <c r="S1199" s="65" t="s">
        <v>6</v>
      </c>
      <c r="T1199" s="70" t="s">
        <v>4</v>
      </c>
      <c r="U1199" s="65" t="s">
        <v>29</v>
      </c>
      <c r="V1199" s="65" t="s">
        <v>1920</v>
      </c>
      <c r="W1199" s="65" t="s">
        <v>1921</v>
      </c>
      <c r="X1199" s="65" t="s">
        <v>2054</v>
      </c>
      <c r="Y1199" s="65" t="s">
        <v>3066</v>
      </c>
      <c r="Z1199" s="65" t="s">
        <v>30</v>
      </c>
      <c r="AA1199" s="65" t="s">
        <v>2901</v>
      </c>
    </row>
    <row r="1200" spans="1:27" ht="17.45" customHeight="1">
      <c r="A1200" s="131" t="str">
        <f>IF(priority(Main[[#This Row],[Comments]])&lt;&gt;0, priority(Main[[#This Row],[Comments]]),"")</f>
        <v/>
      </c>
      <c r="B1200" s="99" t="s">
        <v>3700</v>
      </c>
      <c r="C1200" s="65" t="s">
        <v>4</v>
      </c>
      <c r="D1200" s="66" t="s">
        <v>3701</v>
      </c>
      <c r="E1200" s="67">
        <v>40962.337222222224</v>
      </c>
      <c r="F1200" s="67"/>
      <c r="G1200" s="64" t="str">
        <f>IF(stdProdLT(Main[[#This Row],[Comments]])=0.1,"N/A",IF(stdProdLT(Main[[#This Row],[Comments]])=0,"",stdProdLT(Main[[#This Row],[Comments]])))</f>
        <v/>
      </c>
      <c r="H1200" s="68" t="str">
        <f>IF(AND(Main[[#This Row],[In Stock Date]]&lt;&gt;"",Main[[#This Row],[Revised Due Date]]&lt;&gt;""),Main[[#This Row],[In Stock Date]]-Main[[#This Row],[Revised Due Date]],"")</f>
        <v/>
      </c>
      <c r="I1200" s="65" t="s">
        <v>4</v>
      </c>
      <c r="J1200" s="65" t="s">
        <v>4</v>
      </c>
      <c r="K1200" s="65" t="s">
        <v>4</v>
      </c>
      <c r="L1200" s="67"/>
      <c r="M1200" s="69" t="str">
        <f>IF(Main[[#This Row],[Tech Start Date]]&lt;1/1/1990,"",IF(Main[[#This Row],[Class]]="C",WORKDAY(Main[[#This Row],[Tech Start Date]],9),IF(Main[[#This Row],[Class]]="B", WORKDAY(Main[[#This Row],[Tech Start Date]],6),IF(Main[[#This Row],[Class]]="A",WORKDAY(Main[[#This Row],[Tech Start Date]],2),""))))</f>
        <v/>
      </c>
      <c r="N1200" s="69" t="str">
        <f>IF(Main[[#This Row],[Tech Start Date]]&lt;1/1/1990,"",IF(Main[[#This Row],[Class]]="C",WORKDAY(Main[[#This Row],[Tech Start Date]],19),IF(Main[[#This Row],[Class]]="B", WORKDAY(Main[[#This Row],[Tech Start Date]],12),IF(Main[[#This Row],[Class]]="A",WORKDAY(Main[[#This Row],[Tech Start Date]],4),""))))</f>
        <v/>
      </c>
      <c r="O1200" s="69" t="str">
        <f>IF(Main[[#This Row],[Tech Start Date]]&lt;1/1/1990,"",IF(Main[[#This Row],[Class]]="C",WORKDAY(Main[[#This Row],[Tech Start Date]],23),IF(Main[[#This Row],[Class]]="B", WORKDAY(Main[[#This Row],[Tech Start Date]],15),IF(Main[[#This Row],[Class]]="A",WORKDAY(Main[[#This Row],[Tech Start Date]],5),""))))</f>
        <v/>
      </c>
      <c r="P1200" s="69" t="str">
        <f>IF(Main[[#This Row],[Tech Start Date]]&lt;1/1/1990,"",IF(Main[[#This Row],[Class]]="C",WORKDAY(Main[[#This Row],[Tech Start Date]],28),IF(Main[[#This Row],[Class]]="B", WORKDAY(Main[[#This Row],[Tech Start Date]],19),IF(Main[[#This Row],[Class]]="A",WORKDAY(Main[[#This Row],[Tech Start Date]],9),""))))</f>
        <v/>
      </c>
      <c r="Q1200" s="67">
        <v>40991</v>
      </c>
      <c r="R1200" s="67"/>
      <c r="S1200" s="65" t="s">
        <v>6</v>
      </c>
      <c r="T1200" s="70" t="s">
        <v>4</v>
      </c>
      <c r="U1200" s="65" t="s">
        <v>7</v>
      </c>
      <c r="V1200" s="65" t="s">
        <v>1917</v>
      </c>
      <c r="W1200" s="65" t="s">
        <v>4</v>
      </c>
      <c r="X1200" s="65" t="s">
        <v>2828</v>
      </c>
      <c r="Y1200" s="65" t="s">
        <v>2944</v>
      </c>
      <c r="Z1200" s="65" t="s">
        <v>4</v>
      </c>
      <c r="AA1200" s="65" t="s">
        <v>2828</v>
      </c>
    </row>
    <row r="1201" spans="1:27" ht="17.45" customHeight="1">
      <c r="A1201" s="131" t="str">
        <f>IF(priority(Main[[#This Row],[Comments]])&lt;&gt;0, priority(Main[[#This Row],[Comments]]),"")</f>
        <v/>
      </c>
      <c r="B1201" s="99" t="s">
        <v>3702</v>
      </c>
      <c r="C1201" s="65" t="s">
        <v>4</v>
      </c>
      <c r="D1201" s="66" t="s">
        <v>3703</v>
      </c>
      <c r="E1201" s="67">
        <v>40963.259918981479</v>
      </c>
      <c r="F1201" s="67"/>
      <c r="G1201" s="64" t="str">
        <f>IF(stdProdLT(Main[[#This Row],[Comments]])=0.1,"N/A",IF(stdProdLT(Main[[#This Row],[Comments]])=0,"",stdProdLT(Main[[#This Row],[Comments]])))</f>
        <v/>
      </c>
      <c r="H1201" s="68" t="str">
        <f>IF(AND(Main[[#This Row],[In Stock Date]]&lt;&gt;"",Main[[#This Row],[Revised Due Date]]&lt;&gt;""),Main[[#This Row],[In Stock Date]]-Main[[#This Row],[Revised Due Date]],"")</f>
        <v/>
      </c>
      <c r="I1201" s="65" t="s">
        <v>4</v>
      </c>
      <c r="J1201" s="65" t="s">
        <v>4</v>
      </c>
      <c r="K1201" s="65" t="s">
        <v>4</v>
      </c>
      <c r="L1201" s="67"/>
      <c r="M1201" s="69" t="str">
        <f>IF(Main[[#This Row],[Tech Start Date]]&lt;1/1/1990,"",IF(Main[[#This Row],[Class]]="C",WORKDAY(Main[[#This Row],[Tech Start Date]],9),IF(Main[[#This Row],[Class]]="B", WORKDAY(Main[[#This Row],[Tech Start Date]],6),IF(Main[[#This Row],[Class]]="A",WORKDAY(Main[[#This Row],[Tech Start Date]],2),""))))</f>
        <v/>
      </c>
      <c r="N1201" s="69" t="str">
        <f>IF(Main[[#This Row],[Tech Start Date]]&lt;1/1/1990,"",IF(Main[[#This Row],[Class]]="C",WORKDAY(Main[[#This Row],[Tech Start Date]],19),IF(Main[[#This Row],[Class]]="B", WORKDAY(Main[[#This Row],[Tech Start Date]],12),IF(Main[[#This Row],[Class]]="A",WORKDAY(Main[[#This Row],[Tech Start Date]],4),""))))</f>
        <v/>
      </c>
      <c r="O1201" s="69" t="str">
        <f>IF(Main[[#This Row],[Tech Start Date]]&lt;1/1/1990,"",IF(Main[[#This Row],[Class]]="C",WORKDAY(Main[[#This Row],[Tech Start Date]],23),IF(Main[[#This Row],[Class]]="B", WORKDAY(Main[[#This Row],[Tech Start Date]],15),IF(Main[[#This Row],[Class]]="A",WORKDAY(Main[[#This Row],[Tech Start Date]],5),""))))</f>
        <v/>
      </c>
      <c r="P1201" s="69" t="str">
        <f>IF(Main[[#This Row],[Tech Start Date]]&lt;1/1/1990,"",IF(Main[[#This Row],[Class]]="C",WORKDAY(Main[[#This Row],[Tech Start Date]],28),IF(Main[[#This Row],[Class]]="B", WORKDAY(Main[[#This Row],[Tech Start Date]],19),IF(Main[[#This Row],[Class]]="A",WORKDAY(Main[[#This Row],[Tech Start Date]],9),""))))</f>
        <v/>
      </c>
      <c r="Q1201" s="67">
        <v>40977</v>
      </c>
      <c r="R1201" s="67"/>
      <c r="S1201" s="65" t="s">
        <v>6</v>
      </c>
      <c r="T1201" s="70" t="s">
        <v>4</v>
      </c>
      <c r="U1201" s="65" t="s">
        <v>7</v>
      </c>
      <c r="V1201" s="65" t="s">
        <v>1917</v>
      </c>
      <c r="W1201" s="65" t="s">
        <v>4</v>
      </c>
      <c r="X1201" s="65" t="s">
        <v>2857</v>
      </c>
      <c r="Y1201" s="65" t="s">
        <v>2992</v>
      </c>
      <c r="Z1201" s="65" t="s">
        <v>4</v>
      </c>
      <c r="AA1201" s="65" t="s">
        <v>2857</v>
      </c>
    </row>
    <row r="1202" spans="1:27" ht="17.45" customHeight="1">
      <c r="A1202" s="131" t="str">
        <f>IF(priority(Main[[#This Row],[Comments]])&lt;&gt;0, priority(Main[[#This Row],[Comments]]),"")</f>
        <v/>
      </c>
      <c r="B1202" s="99" t="s">
        <v>1184</v>
      </c>
      <c r="C1202" s="65" t="s">
        <v>42</v>
      </c>
      <c r="D1202" s="66" t="s">
        <v>242</v>
      </c>
      <c r="E1202" s="67">
        <v>39937.598217592589</v>
      </c>
      <c r="F1202" s="67"/>
      <c r="G1202" s="64" t="str">
        <f>IF(stdProdLT(Main[[#This Row],[Comments]])=0.1,"N/A",IF(stdProdLT(Main[[#This Row],[Comments]])=0,"",stdProdLT(Main[[#This Row],[Comments]])))</f>
        <v/>
      </c>
      <c r="H1202" s="68" t="str">
        <f>IF(AND(Main[[#This Row],[In Stock Date]]&lt;&gt;"",Main[[#This Row],[Revised Due Date]]&lt;&gt;""),Main[[#This Row],[In Stock Date]]-Main[[#This Row],[Revised Due Date]],"")</f>
        <v/>
      </c>
      <c r="I1202" s="65" t="s">
        <v>4</v>
      </c>
      <c r="J1202" s="65" t="s">
        <v>4</v>
      </c>
      <c r="K1202" s="71" t="s">
        <v>4</v>
      </c>
      <c r="L1202" s="67"/>
      <c r="M1202" s="69" t="str">
        <f>IF(Main[[#This Row],[Tech Start Date]]&lt;1/1/1990,"",IF(Main[[#This Row],[Class]]="C",WORKDAY(Main[[#This Row],[Tech Start Date]],9),IF(Main[[#This Row],[Class]]="B", WORKDAY(Main[[#This Row],[Tech Start Date]],6),IF(Main[[#This Row],[Class]]="A",WORKDAY(Main[[#This Row],[Tech Start Date]],2),""))))</f>
        <v/>
      </c>
      <c r="N1202" s="69" t="str">
        <f>IF(Main[[#This Row],[Tech Start Date]]&lt;1/1/1990,"",IF(Main[[#This Row],[Class]]="C",WORKDAY(Main[[#This Row],[Tech Start Date]],19),IF(Main[[#This Row],[Class]]="B", WORKDAY(Main[[#This Row],[Tech Start Date]],12),IF(Main[[#This Row],[Class]]="A",WORKDAY(Main[[#This Row],[Tech Start Date]],4),""))))</f>
        <v/>
      </c>
      <c r="O1202" s="69" t="str">
        <f>IF(Main[[#This Row],[Tech Start Date]]&lt;1/1/1990,"",IF(Main[[#This Row],[Class]]="C",WORKDAY(Main[[#This Row],[Tech Start Date]],23),IF(Main[[#This Row],[Class]]="B", WORKDAY(Main[[#This Row],[Tech Start Date]],15),IF(Main[[#This Row],[Class]]="A",WORKDAY(Main[[#This Row],[Tech Start Date]],5),""))))</f>
        <v/>
      </c>
      <c r="P1202" s="69" t="str">
        <f>IF(Main[[#This Row],[Tech Start Date]]&lt;1/1/1990,"",IF(Main[[#This Row],[Class]]="C",WORKDAY(Main[[#This Row],[Tech Start Date]],28),IF(Main[[#This Row],[Class]]="B", WORKDAY(Main[[#This Row],[Tech Start Date]],19),IF(Main[[#This Row],[Class]]="A",WORKDAY(Main[[#This Row],[Tech Start Date]],9),""))))</f>
        <v/>
      </c>
      <c r="Q1202" s="67"/>
      <c r="R1202" s="67">
        <v>41289</v>
      </c>
      <c r="S1202" s="65" t="s">
        <v>17</v>
      </c>
      <c r="T1202" s="70" t="s">
        <v>4</v>
      </c>
      <c r="U1202" s="65" t="s">
        <v>29</v>
      </c>
      <c r="V1202" s="65" t="s">
        <v>1920</v>
      </c>
      <c r="W1202" s="65" t="s">
        <v>4</v>
      </c>
      <c r="X1202" s="65" t="s">
        <v>399</v>
      </c>
      <c r="Y1202" s="65" t="s">
        <v>4</v>
      </c>
      <c r="Z1202" s="65" t="s">
        <v>654</v>
      </c>
      <c r="AA1202" s="65" t="s">
        <v>4</v>
      </c>
    </row>
    <row r="1203" spans="1:27" ht="17.45" customHeight="1">
      <c r="A1203" s="131" t="str">
        <f>IF(priority(Main[[#This Row],[Comments]])&lt;&gt;0, priority(Main[[#This Row],[Comments]]),"")</f>
        <v/>
      </c>
      <c r="B1203" s="99" t="s">
        <v>3704</v>
      </c>
      <c r="C1203" s="65" t="s">
        <v>4</v>
      </c>
      <c r="D1203" s="66" t="s">
        <v>3705</v>
      </c>
      <c r="E1203" s="67">
        <v>40966.715914351851</v>
      </c>
      <c r="F1203" s="67"/>
      <c r="G1203" s="64" t="str">
        <f>IF(stdProdLT(Main[[#This Row],[Comments]])=0.1,"N/A",IF(stdProdLT(Main[[#This Row],[Comments]])=0,"",stdProdLT(Main[[#This Row],[Comments]])))</f>
        <v/>
      </c>
      <c r="H1203" s="68" t="str">
        <f>IF(AND(Main[[#This Row],[In Stock Date]]&lt;&gt;"",Main[[#This Row],[Revised Due Date]]&lt;&gt;""),Main[[#This Row],[In Stock Date]]-Main[[#This Row],[Revised Due Date]],"")</f>
        <v/>
      </c>
      <c r="I1203" s="65" t="s">
        <v>4</v>
      </c>
      <c r="J1203" s="65" t="s">
        <v>4</v>
      </c>
      <c r="K1203" s="65" t="s">
        <v>4</v>
      </c>
      <c r="L1203" s="67"/>
      <c r="M1203" s="69" t="str">
        <f>IF(Main[[#This Row],[Tech Start Date]]&lt;1/1/1990,"",IF(Main[[#This Row],[Class]]="C",WORKDAY(Main[[#This Row],[Tech Start Date]],9),IF(Main[[#This Row],[Class]]="B", WORKDAY(Main[[#This Row],[Tech Start Date]],6),IF(Main[[#This Row],[Class]]="A",WORKDAY(Main[[#This Row],[Tech Start Date]],2),""))))</f>
        <v/>
      </c>
      <c r="N1203" s="69" t="str">
        <f>IF(Main[[#This Row],[Tech Start Date]]&lt;1/1/1990,"",IF(Main[[#This Row],[Class]]="C",WORKDAY(Main[[#This Row],[Tech Start Date]],19),IF(Main[[#This Row],[Class]]="B", WORKDAY(Main[[#This Row],[Tech Start Date]],12),IF(Main[[#This Row],[Class]]="A",WORKDAY(Main[[#This Row],[Tech Start Date]],4),""))))</f>
        <v/>
      </c>
      <c r="O1203" s="69" t="str">
        <f>IF(Main[[#This Row],[Tech Start Date]]&lt;1/1/1990,"",IF(Main[[#This Row],[Class]]="C",WORKDAY(Main[[#This Row],[Tech Start Date]],23),IF(Main[[#This Row],[Class]]="B", WORKDAY(Main[[#This Row],[Tech Start Date]],15),IF(Main[[#This Row],[Class]]="A",WORKDAY(Main[[#This Row],[Tech Start Date]],5),""))))</f>
        <v/>
      </c>
      <c r="P1203" s="69" t="str">
        <f>IF(Main[[#This Row],[Tech Start Date]]&lt;1/1/1990,"",IF(Main[[#This Row],[Class]]="C",WORKDAY(Main[[#This Row],[Tech Start Date]],28),IF(Main[[#This Row],[Class]]="B", WORKDAY(Main[[#This Row],[Tech Start Date]],19),IF(Main[[#This Row],[Class]]="A",WORKDAY(Main[[#This Row],[Tech Start Date]],9),""))))</f>
        <v/>
      </c>
      <c r="Q1203" s="67"/>
      <c r="R1203" s="67"/>
      <c r="S1203" s="65" t="s">
        <v>6</v>
      </c>
      <c r="T1203" s="70" t="s">
        <v>4</v>
      </c>
      <c r="U1203" s="65" t="s">
        <v>29</v>
      </c>
      <c r="V1203" s="65" t="s">
        <v>1920</v>
      </c>
      <c r="W1203" s="65" t="s">
        <v>1921</v>
      </c>
      <c r="X1203" s="65" t="s">
        <v>415</v>
      </c>
      <c r="Y1203" s="65" t="s">
        <v>2981</v>
      </c>
      <c r="Z1203" s="65" t="s">
        <v>4</v>
      </c>
      <c r="AA1203" s="65" t="s">
        <v>415</v>
      </c>
    </row>
    <row r="1204" spans="1:27" ht="17.45" customHeight="1">
      <c r="A1204" s="12" t="str">
        <f>IF(priority(Main[[#This Row],[Comments]])&lt;&gt;0, priority(Main[[#This Row],[Comments]]),"")</f>
        <v/>
      </c>
      <c r="B1204" s="99" t="s">
        <v>2170</v>
      </c>
      <c r="C1204" s="63" t="s">
        <v>2163</v>
      </c>
      <c r="D1204" s="72" t="s">
        <v>2164</v>
      </c>
      <c r="E1204" s="73">
        <v>40781.399756944447</v>
      </c>
      <c r="F1204" s="73"/>
      <c r="G1204" s="63" t="str">
        <f>IF(stdProdLT(Main[[#This Row],[Comments]])=0.1,"N/A",IF(stdProdLT(Main[[#This Row],[Comments]])=0,"",stdProdLT(Main[[#This Row],[Comments]])))</f>
        <v/>
      </c>
      <c r="H1204" s="74" t="str">
        <f>IF(AND(Main[[#This Row],[In Stock Date]]&lt;&gt;"",Main[[#This Row],[Revised Due Date]]&lt;&gt;""),Main[[#This Row],[In Stock Date]]-Main[[#This Row],[Revised Due Date]],"")</f>
        <v/>
      </c>
      <c r="I1204" s="63" t="s">
        <v>530</v>
      </c>
      <c r="J1204" s="63" t="s">
        <v>21</v>
      </c>
      <c r="K1204" s="63" t="s">
        <v>1926</v>
      </c>
      <c r="L1204" s="73"/>
      <c r="M1204" s="69" t="str">
        <f>IF(Main[[#This Row],[Tech Start Date]]&lt;1/1/1990,"",IF(Main[[#This Row],[Class]]="C",WORKDAY(Main[[#This Row],[Tech Start Date]],9),IF(Main[[#This Row],[Class]]="B", WORKDAY(Main[[#This Row],[Tech Start Date]],6),IF(Main[[#This Row],[Class]]="A",WORKDAY(Main[[#This Row],[Tech Start Date]],2),""))))</f>
        <v/>
      </c>
      <c r="N1204" s="69" t="str">
        <f>IF(Main[[#This Row],[Tech Start Date]]&lt;1/1/1990,"",IF(Main[[#This Row],[Class]]="C",WORKDAY(Main[[#This Row],[Tech Start Date]],19),IF(Main[[#This Row],[Class]]="B", WORKDAY(Main[[#This Row],[Tech Start Date]],12),IF(Main[[#This Row],[Class]]="A",WORKDAY(Main[[#This Row],[Tech Start Date]],4),""))))</f>
        <v/>
      </c>
      <c r="O1204" s="69" t="str">
        <f>IF(Main[[#This Row],[Tech Start Date]]&lt;1/1/1990,"",IF(Main[[#This Row],[Class]]="C",WORKDAY(Main[[#This Row],[Tech Start Date]],23),IF(Main[[#This Row],[Class]]="B", WORKDAY(Main[[#This Row],[Tech Start Date]],15),IF(Main[[#This Row],[Class]]="A",WORKDAY(Main[[#This Row],[Tech Start Date]],5),""))))</f>
        <v/>
      </c>
      <c r="P1204" s="69" t="str">
        <f>IF(Main[[#This Row],[Tech Start Date]]&lt;1/1/1990,"",IF(Main[[#This Row],[Class]]="C",WORKDAY(Main[[#This Row],[Tech Start Date]],28),IF(Main[[#This Row],[Class]]="B", WORKDAY(Main[[#This Row],[Tech Start Date]],19),IF(Main[[#This Row],[Class]]="A",WORKDAY(Main[[#This Row],[Tech Start Date]],9),""))))</f>
        <v/>
      </c>
      <c r="Q1204" s="73">
        <v>40836</v>
      </c>
      <c r="R1204" s="73"/>
      <c r="S1204" s="63" t="s">
        <v>6</v>
      </c>
      <c r="T1204" s="75" t="s">
        <v>4</v>
      </c>
      <c r="U1204" s="63" t="s">
        <v>29</v>
      </c>
      <c r="V1204" s="63" t="s">
        <v>1920</v>
      </c>
      <c r="W1204" s="63" t="s">
        <v>1921</v>
      </c>
      <c r="X1204" s="63" t="s">
        <v>2842</v>
      </c>
      <c r="Y1204" s="63" t="s">
        <v>2971</v>
      </c>
      <c r="Z1204" s="63" t="s">
        <v>30</v>
      </c>
      <c r="AA1204" s="65" t="s">
        <v>2842</v>
      </c>
    </row>
    <row r="1205" spans="1:27" ht="17.45" customHeight="1">
      <c r="A1205" s="131" t="str">
        <f>IF(priority(Main[[#This Row],[Comments]])&lt;&gt;0, priority(Main[[#This Row],[Comments]]),"")</f>
        <v/>
      </c>
      <c r="B1205" s="99" t="s">
        <v>3715</v>
      </c>
      <c r="C1205" s="65" t="s">
        <v>4</v>
      </c>
      <c r="D1205" s="66" t="s">
        <v>3716</v>
      </c>
      <c r="E1205" s="67">
        <v>40966.546724537038</v>
      </c>
      <c r="F1205" s="67"/>
      <c r="G1205" s="64" t="str">
        <f>IF(stdProdLT(Main[[#This Row],[Comments]])=0.1,"N/A",IF(stdProdLT(Main[[#This Row],[Comments]])=0,"",stdProdLT(Main[[#This Row],[Comments]])))</f>
        <v/>
      </c>
      <c r="H1205" s="68" t="str">
        <f>IF(AND(Main[[#This Row],[In Stock Date]]&lt;&gt;"",Main[[#This Row],[Revised Due Date]]&lt;&gt;""),Main[[#This Row],[In Stock Date]]-Main[[#This Row],[Revised Due Date]],"")</f>
        <v/>
      </c>
      <c r="I1205" s="65" t="s">
        <v>4</v>
      </c>
      <c r="J1205" s="65" t="s">
        <v>4</v>
      </c>
      <c r="K1205" s="65" t="s">
        <v>4</v>
      </c>
      <c r="L1205" s="67"/>
      <c r="M1205" s="69" t="str">
        <f>IF(Main[[#This Row],[Tech Start Date]]&lt;1/1/1990,"",IF(Main[[#This Row],[Class]]="C",WORKDAY(Main[[#This Row],[Tech Start Date]],9),IF(Main[[#This Row],[Class]]="B", WORKDAY(Main[[#This Row],[Tech Start Date]],6),IF(Main[[#This Row],[Class]]="A",WORKDAY(Main[[#This Row],[Tech Start Date]],2),""))))</f>
        <v/>
      </c>
      <c r="N1205" s="69" t="str">
        <f>IF(Main[[#This Row],[Tech Start Date]]&lt;1/1/1990,"",IF(Main[[#This Row],[Class]]="C",WORKDAY(Main[[#This Row],[Tech Start Date]],19),IF(Main[[#This Row],[Class]]="B", WORKDAY(Main[[#This Row],[Tech Start Date]],12),IF(Main[[#This Row],[Class]]="A",WORKDAY(Main[[#This Row],[Tech Start Date]],4),""))))</f>
        <v/>
      </c>
      <c r="O1205" s="69" t="str">
        <f>IF(Main[[#This Row],[Tech Start Date]]&lt;1/1/1990,"",IF(Main[[#This Row],[Class]]="C",WORKDAY(Main[[#This Row],[Tech Start Date]],23),IF(Main[[#This Row],[Class]]="B", WORKDAY(Main[[#This Row],[Tech Start Date]],15),IF(Main[[#This Row],[Class]]="A",WORKDAY(Main[[#This Row],[Tech Start Date]],5),""))))</f>
        <v/>
      </c>
      <c r="P1205" s="69" t="str">
        <f>IF(Main[[#This Row],[Tech Start Date]]&lt;1/1/1990,"",IF(Main[[#This Row],[Class]]="C",WORKDAY(Main[[#This Row],[Tech Start Date]],28),IF(Main[[#This Row],[Class]]="B", WORKDAY(Main[[#This Row],[Tech Start Date]],19),IF(Main[[#This Row],[Class]]="A",WORKDAY(Main[[#This Row],[Tech Start Date]],9),""))))</f>
        <v/>
      </c>
      <c r="Q1205" s="67"/>
      <c r="R1205" s="67"/>
      <c r="S1205" s="65" t="s">
        <v>6</v>
      </c>
      <c r="T1205" s="70" t="s">
        <v>4</v>
      </c>
      <c r="U1205" s="65" t="s">
        <v>29</v>
      </c>
      <c r="V1205" s="65" t="s">
        <v>1920</v>
      </c>
      <c r="W1205" s="65" t="s">
        <v>1921</v>
      </c>
      <c r="X1205" s="65" t="s">
        <v>102</v>
      </c>
      <c r="Y1205" s="65" t="s">
        <v>3717</v>
      </c>
      <c r="Z1205" s="65" t="s">
        <v>4</v>
      </c>
      <c r="AA1205" s="65" t="s">
        <v>81</v>
      </c>
    </row>
    <row r="1206" spans="1:27" ht="17.45" customHeight="1">
      <c r="A1206" s="131" t="str">
        <f>IF(priority(Main[[#This Row],[Comments]])&lt;&gt;0, priority(Main[[#This Row],[Comments]]),"")</f>
        <v/>
      </c>
      <c r="B1206" s="99" t="s">
        <v>3519</v>
      </c>
      <c r="C1206" s="65" t="s">
        <v>4</v>
      </c>
      <c r="D1206" s="66" t="s">
        <v>3520</v>
      </c>
      <c r="E1206" s="67">
        <v>40942.135775462964</v>
      </c>
      <c r="F1206" s="67"/>
      <c r="G1206" s="64" t="str">
        <f>IF(stdProdLT(Main[[#This Row],[Comments]])=0.1,"N/A",IF(stdProdLT(Main[[#This Row],[Comments]])=0,"",stdProdLT(Main[[#This Row],[Comments]])))</f>
        <v/>
      </c>
      <c r="H1206" s="68" t="str">
        <f>IF(AND(Main[[#This Row],[In Stock Date]]&lt;&gt;"",Main[[#This Row],[Revised Due Date]]&lt;&gt;""),Main[[#This Row],[In Stock Date]]-Main[[#This Row],[Revised Due Date]],"")</f>
        <v/>
      </c>
      <c r="I1206" s="65" t="s">
        <v>4</v>
      </c>
      <c r="J1206" s="65" t="s">
        <v>4</v>
      </c>
      <c r="K1206" s="65" t="s">
        <v>4</v>
      </c>
      <c r="L1206" s="67"/>
      <c r="M1206" s="69" t="str">
        <f>IF(Main[[#This Row],[Tech Start Date]]&lt;1/1/1990,"",IF(Main[[#This Row],[Class]]="C",WORKDAY(Main[[#This Row],[Tech Start Date]],9),IF(Main[[#This Row],[Class]]="B", WORKDAY(Main[[#This Row],[Tech Start Date]],6),IF(Main[[#This Row],[Class]]="A",WORKDAY(Main[[#This Row],[Tech Start Date]],2),""))))</f>
        <v/>
      </c>
      <c r="N1206" s="69" t="str">
        <f>IF(Main[[#This Row],[Tech Start Date]]&lt;1/1/1990,"",IF(Main[[#This Row],[Class]]="C",WORKDAY(Main[[#This Row],[Tech Start Date]],19),IF(Main[[#This Row],[Class]]="B", WORKDAY(Main[[#This Row],[Tech Start Date]],12),IF(Main[[#This Row],[Class]]="A",WORKDAY(Main[[#This Row],[Tech Start Date]],4),""))))</f>
        <v/>
      </c>
      <c r="O1206" s="69" t="str">
        <f>IF(Main[[#This Row],[Tech Start Date]]&lt;1/1/1990,"",IF(Main[[#This Row],[Class]]="C",WORKDAY(Main[[#This Row],[Tech Start Date]],23),IF(Main[[#This Row],[Class]]="B", WORKDAY(Main[[#This Row],[Tech Start Date]],15),IF(Main[[#This Row],[Class]]="A",WORKDAY(Main[[#This Row],[Tech Start Date]],5),""))))</f>
        <v/>
      </c>
      <c r="P1206" s="69" t="str">
        <f>IF(Main[[#This Row],[Tech Start Date]]&lt;1/1/1990,"",IF(Main[[#This Row],[Class]]="C",WORKDAY(Main[[#This Row],[Tech Start Date]],28),IF(Main[[#This Row],[Class]]="B", WORKDAY(Main[[#This Row],[Tech Start Date]],19),IF(Main[[#This Row],[Class]]="A",WORKDAY(Main[[#This Row],[Tech Start Date]],9),""))))</f>
        <v/>
      </c>
      <c r="Q1206" s="67">
        <v>41001</v>
      </c>
      <c r="R1206" s="67"/>
      <c r="S1206" s="65" t="s">
        <v>6</v>
      </c>
      <c r="T1206" s="70" t="s">
        <v>4</v>
      </c>
      <c r="U1206" s="65" t="s">
        <v>29</v>
      </c>
      <c r="V1206" s="65" t="s">
        <v>1920</v>
      </c>
      <c r="W1206" s="65" t="s">
        <v>4</v>
      </c>
      <c r="X1206" s="65" t="s">
        <v>2828</v>
      </c>
      <c r="Y1206" s="65" t="s">
        <v>2944</v>
      </c>
      <c r="Z1206" s="65" t="s">
        <v>4</v>
      </c>
      <c r="AA1206" s="65" t="s">
        <v>2828</v>
      </c>
    </row>
    <row r="1207" spans="1:27" ht="17.45" customHeight="1">
      <c r="A1207" s="131" t="str">
        <f>IF(priority(Main[[#This Row],[Comments]])&lt;&gt;0, priority(Main[[#This Row],[Comments]]),"")</f>
        <v/>
      </c>
      <c r="B1207" s="99" t="s">
        <v>2765</v>
      </c>
      <c r="C1207" s="65" t="s">
        <v>4</v>
      </c>
      <c r="D1207" s="66" t="s">
        <v>3718</v>
      </c>
      <c r="E1207" s="67">
        <v>40907.447002314817</v>
      </c>
      <c r="F1207" s="67"/>
      <c r="G1207" s="64" t="str">
        <f>IF(stdProdLT(Main[[#This Row],[Comments]])=0.1,"N/A",IF(stdProdLT(Main[[#This Row],[Comments]])=0,"",stdProdLT(Main[[#This Row],[Comments]])))</f>
        <v/>
      </c>
      <c r="H1207" s="68" t="str">
        <f>IF(AND(Main[[#This Row],[In Stock Date]]&lt;&gt;"",Main[[#This Row],[Revised Due Date]]&lt;&gt;""),Main[[#This Row],[In Stock Date]]-Main[[#This Row],[Revised Due Date]],"")</f>
        <v/>
      </c>
      <c r="I1207" s="65" t="s">
        <v>530</v>
      </c>
      <c r="J1207" s="65" t="s">
        <v>70</v>
      </c>
      <c r="K1207" s="65" t="s">
        <v>1926</v>
      </c>
      <c r="L1207" s="67"/>
      <c r="M1207" s="69" t="str">
        <f>IF(Main[[#This Row],[Tech Start Date]]&lt;1/1/1990,"",IF(Main[[#This Row],[Class]]="C",WORKDAY(Main[[#This Row],[Tech Start Date]],9),IF(Main[[#This Row],[Class]]="B", WORKDAY(Main[[#This Row],[Tech Start Date]],6),IF(Main[[#This Row],[Class]]="A",WORKDAY(Main[[#This Row],[Tech Start Date]],2),""))))</f>
        <v/>
      </c>
      <c r="N1207" s="69" t="str">
        <f>IF(Main[[#This Row],[Tech Start Date]]&lt;1/1/1990,"",IF(Main[[#This Row],[Class]]="C",WORKDAY(Main[[#This Row],[Tech Start Date]],19),IF(Main[[#This Row],[Class]]="B", WORKDAY(Main[[#This Row],[Tech Start Date]],12),IF(Main[[#This Row],[Class]]="A",WORKDAY(Main[[#This Row],[Tech Start Date]],4),""))))</f>
        <v/>
      </c>
      <c r="O1207" s="69" t="str">
        <f>IF(Main[[#This Row],[Tech Start Date]]&lt;1/1/1990,"",IF(Main[[#This Row],[Class]]="C",WORKDAY(Main[[#This Row],[Tech Start Date]],23),IF(Main[[#This Row],[Class]]="B", WORKDAY(Main[[#This Row],[Tech Start Date]],15),IF(Main[[#This Row],[Class]]="A",WORKDAY(Main[[#This Row],[Tech Start Date]],5),""))))</f>
        <v/>
      </c>
      <c r="P1207" s="69" t="str">
        <f>IF(Main[[#This Row],[Tech Start Date]]&lt;1/1/1990,"",IF(Main[[#This Row],[Class]]="C",WORKDAY(Main[[#This Row],[Tech Start Date]],28),IF(Main[[#This Row],[Class]]="B", WORKDAY(Main[[#This Row],[Tech Start Date]],19),IF(Main[[#This Row],[Class]]="A",WORKDAY(Main[[#This Row],[Tech Start Date]],9),""))))</f>
        <v/>
      </c>
      <c r="Q1207" s="67">
        <v>40921</v>
      </c>
      <c r="R1207" s="67"/>
      <c r="S1207" s="65" t="s">
        <v>6</v>
      </c>
      <c r="T1207" s="70" t="s">
        <v>4</v>
      </c>
      <c r="U1207" s="65" t="s">
        <v>29</v>
      </c>
      <c r="V1207" s="65" t="s">
        <v>1920</v>
      </c>
      <c r="W1207" s="65" t="s">
        <v>1925</v>
      </c>
      <c r="X1207" s="65" t="s">
        <v>2891</v>
      </c>
      <c r="Y1207" s="65" t="s">
        <v>3047</v>
      </c>
      <c r="Z1207" s="65" t="s">
        <v>30</v>
      </c>
      <c r="AA1207" s="65" t="s">
        <v>2891</v>
      </c>
    </row>
    <row r="1208" spans="1:27" ht="17.45" customHeight="1">
      <c r="A1208" s="131" t="str">
        <f>IF(priority(Main[[#This Row],[Comments]])&lt;&gt;0, priority(Main[[#This Row],[Comments]]),"")</f>
        <v/>
      </c>
      <c r="B1208" s="99" t="s">
        <v>2797</v>
      </c>
      <c r="C1208" s="65" t="s">
        <v>4</v>
      </c>
      <c r="D1208" s="66" t="s">
        <v>2798</v>
      </c>
      <c r="E1208" s="67">
        <v>40913.314733796295</v>
      </c>
      <c r="F1208" s="67"/>
      <c r="G1208" s="64" t="str">
        <f>IF(stdProdLT(Main[[#This Row],[Comments]])=0.1,"N/A",IF(stdProdLT(Main[[#This Row],[Comments]])=0,"",stdProdLT(Main[[#This Row],[Comments]])))</f>
        <v/>
      </c>
      <c r="H1208" s="68" t="str">
        <f>IF(AND(Main[[#This Row],[In Stock Date]]&lt;&gt;"",Main[[#This Row],[Revised Due Date]]&lt;&gt;""),Main[[#This Row],[In Stock Date]]-Main[[#This Row],[Revised Due Date]],"")</f>
        <v/>
      </c>
      <c r="I1208" s="65" t="s">
        <v>69</v>
      </c>
      <c r="J1208" s="65" t="s">
        <v>70</v>
      </c>
      <c r="K1208" s="65" t="s">
        <v>1926</v>
      </c>
      <c r="L1208" s="67"/>
      <c r="M1208" s="69" t="str">
        <f>IF(Main[[#This Row],[Tech Start Date]]&lt;1/1/1990,"",IF(Main[[#This Row],[Class]]="C",WORKDAY(Main[[#This Row],[Tech Start Date]],9),IF(Main[[#This Row],[Class]]="B", WORKDAY(Main[[#This Row],[Tech Start Date]],6),IF(Main[[#This Row],[Class]]="A",WORKDAY(Main[[#This Row],[Tech Start Date]],2),""))))</f>
        <v/>
      </c>
      <c r="N1208" s="69" t="str">
        <f>IF(Main[[#This Row],[Tech Start Date]]&lt;1/1/1990,"",IF(Main[[#This Row],[Class]]="C",WORKDAY(Main[[#This Row],[Tech Start Date]],19),IF(Main[[#This Row],[Class]]="B", WORKDAY(Main[[#This Row],[Tech Start Date]],12),IF(Main[[#This Row],[Class]]="A",WORKDAY(Main[[#This Row],[Tech Start Date]],4),""))))</f>
        <v/>
      </c>
      <c r="O1208" s="69" t="str">
        <f>IF(Main[[#This Row],[Tech Start Date]]&lt;1/1/1990,"",IF(Main[[#This Row],[Class]]="C",WORKDAY(Main[[#This Row],[Tech Start Date]],23),IF(Main[[#This Row],[Class]]="B", WORKDAY(Main[[#This Row],[Tech Start Date]],15),IF(Main[[#This Row],[Class]]="A",WORKDAY(Main[[#This Row],[Tech Start Date]],5),""))))</f>
        <v/>
      </c>
      <c r="P1208" s="69" t="str">
        <f>IF(Main[[#This Row],[Tech Start Date]]&lt;1/1/1990,"",IF(Main[[#This Row],[Class]]="C",WORKDAY(Main[[#This Row],[Tech Start Date]],28),IF(Main[[#This Row],[Class]]="B", WORKDAY(Main[[#This Row],[Tech Start Date]],19),IF(Main[[#This Row],[Class]]="A",WORKDAY(Main[[#This Row],[Tech Start Date]],9),""))))</f>
        <v/>
      </c>
      <c r="Q1208" s="67">
        <v>40945</v>
      </c>
      <c r="R1208" s="67"/>
      <c r="S1208" s="65" t="s">
        <v>6</v>
      </c>
      <c r="T1208" s="70" t="s">
        <v>4</v>
      </c>
      <c r="U1208" s="65" t="s">
        <v>29</v>
      </c>
      <c r="V1208" s="65" t="s">
        <v>1920</v>
      </c>
      <c r="W1208" s="65" t="s">
        <v>1921</v>
      </c>
      <c r="X1208" s="65" t="s">
        <v>2828</v>
      </c>
      <c r="Y1208" s="65" t="s">
        <v>2944</v>
      </c>
      <c r="Z1208" s="65" t="s">
        <v>30</v>
      </c>
      <c r="AA1208" s="65" t="s">
        <v>2828</v>
      </c>
    </row>
    <row r="1209" spans="1:27" ht="17.45" customHeight="1">
      <c r="A1209" s="131" t="str">
        <f>IF(priority(Main[[#This Row],[Comments]])&lt;&gt;0, priority(Main[[#This Row],[Comments]]),"")</f>
        <v/>
      </c>
      <c r="B1209" s="99" t="s">
        <v>2777</v>
      </c>
      <c r="C1209" s="65" t="s">
        <v>4</v>
      </c>
      <c r="D1209" s="66" t="s">
        <v>2778</v>
      </c>
      <c r="E1209" s="67">
        <v>40914.408773148149</v>
      </c>
      <c r="F1209" s="67"/>
      <c r="G1209" s="64" t="str">
        <f>IF(stdProdLT(Main[[#This Row],[Comments]])=0.1,"N/A",IF(stdProdLT(Main[[#This Row],[Comments]])=0,"",stdProdLT(Main[[#This Row],[Comments]])))</f>
        <v/>
      </c>
      <c r="H1209" s="68" t="str">
        <f>IF(AND(Main[[#This Row],[In Stock Date]]&lt;&gt;"",Main[[#This Row],[Revised Due Date]]&lt;&gt;""),Main[[#This Row],[In Stock Date]]-Main[[#This Row],[Revised Due Date]],"")</f>
        <v/>
      </c>
      <c r="I1209" s="65" t="s">
        <v>4</v>
      </c>
      <c r="J1209" s="65" t="s">
        <v>4</v>
      </c>
      <c r="K1209" s="65" t="s">
        <v>4</v>
      </c>
      <c r="L1209" s="67"/>
      <c r="M1209" s="69" t="str">
        <f>IF(Main[[#This Row],[Tech Start Date]]&lt;1/1/1990,"",IF(Main[[#This Row],[Class]]="C",WORKDAY(Main[[#This Row],[Tech Start Date]],9),IF(Main[[#This Row],[Class]]="B", WORKDAY(Main[[#This Row],[Tech Start Date]],6),IF(Main[[#This Row],[Class]]="A",WORKDAY(Main[[#This Row],[Tech Start Date]],2),""))))</f>
        <v/>
      </c>
      <c r="N1209" s="69" t="str">
        <f>IF(Main[[#This Row],[Tech Start Date]]&lt;1/1/1990,"",IF(Main[[#This Row],[Class]]="C",WORKDAY(Main[[#This Row],[Tech Start Date]],19),IF(Main[[#This Row],[Class]]="B", WORKDAY(Main[[#This Row],[Tech Start Date]],12),IF(Main[[#This Row],[Class]]="A",WORKDAY(Main[[#This Row],[Tech Start Date]],4),""))))</f>
        <v/>
      </c>
      <c r="O1209" s="69" t="str">
        <f>IF(Main[[#This Row],[Tech Start Date]]&lt;1/1/1990,"",IF(Main[[#This Row],[Class]]="C",WORKDAY(Main[[#This Row],[Tech Start Date]],23),IF(Main[[#This Row],[Class]]="B", WORKDAY(Main[[#This Row],[Tech Start Date]],15),IF(Main[[#This Row],[Class]]="A",WORKDAY(Main[[#This Row],[Tech Start Date]],5),""))))</f>
        <v/>
      </c>
      <c r="P1209" s="69" t="str">
        <f>IF(Main[[#This Row],[Tech Start Date]]&lt;1/1/1990,"",IF(Main[[#This Row],[Class]]="C",WORKDAY(Main[[#This Row],[Tech Start Date]],28),IF(Main[[#This Row],[Class]]="B", WORKDAY(Main[[#This Row],[Tech Start Date]],19),IF(Main[[#This Row],[Class]]="A",WORKDAY(Main[[#This Row],[Tech Start Date]],9),""))))</f>
        <v/>
      </c>
      <c r="Q1209" s="67"/>
      <c r="R1209" s="67"/>
      <c r="S1209" s="65" t="s">
        <v>6</v>
      </c>
      <c r="T1209" s="70" t="s">
        <v>4</v>
      </c>
      <c r="U1209" s="65" t="s">
        <v>29</v>
      </c>
      <c r="V1209" s="65" t="s">
        <v>1917</v>
      </c>
      <c r="W1209" s="65" t="s">
        <v>1921</v>
      </c>
      <c r="X1209" s="65" t="s">
        <v>939</v>
      </c>
      <c r="Y1209" s="65" t="s">
        <v>2990</v>
      </c>
      <c r="Z1209" s="65" t="s">
        <v>4</v>
      </c>
      <c r="AA1209" s="65" t="s">
        <v>939</v>
      </c>
    </row>
    <row r="1210" spans="1:27" ht="17.45" customHeight="1">
      <c r="A1210" s="131" t="str">
        <f>IF(priority(Main[[#This Row],[Comments]])&lt;&gt;0, priority(Main[[#This Row],[Comments]]),"")</f>
        <v/>
      </c>
      <c r="B1210" s="99" t="s">
        <v>3365</v>
      </c>
      <c r="C1210" s="65" t="s">
        <v>4</v>
      </c>
      <c r="D1210" s="66" t="s">
        <v>3366</v>
      </c>
      <c r="E1210" s="67"/>
      <c r="F1210" s="67"/>
      <c r="G1210" s="64" t="str">
        <f>IF(stdProdLT(Main[[#This Row],[Comments]])=0.1,"N/A",IF(stdProdLT(Main[[#This Row],[Comments]])=0,"",stdProdLT(Main[[#This Row],[Comments]])))</f>
        <v/>
      </c>
      <c r="H1210" s="68" t="str">
        <f>IF(AND(Main[[#This Row],[In Stock Date]]&lt;&gt;"",Main[[#This Row],[Revised Due Date]]&lt;&gt;""),Main[[#This Row],[In Stock Date]]-Main[[#This Row],[Revised Due Date]],"")</f>
        <v/>
      </c>
      <c r="I1210" s="65" t="s">
        <v>4</v>
      </c>
      <c r="J1210" s="65" t="s">
        <v>4</v>
      </c>
      <c r="K1210" s="65" t="s">
        <v>4</v>
      </c>
      <c r="L1210" s="67"/>
      <c r="M1210" s="69" t="str">
        <f>IF(Main[[#This Row],[Tech Start Date]]&lt;1/1/1990,"",IF(Main[[#This Row],[Class]]="C",WORKDAY(Main[[#This Row],[Tech Start Date]],9),IF(Main[[#This Row],[Class]]="B", WORKDAY(Main[[#This Row],[Tech Start Date]],6),IF(Main[[#This Row],[Class]]="A",WORKDAY(Main[[#This Row],[Tech Start Date]],2),""))))</f>
        <v/>
      </c>
      <c r="N1210" s="69" t="str">
        <f>IF(Main[[#This Row],[Tech Start Date]]&lt;1/1/1990,"",IF(Main[[#This Row],[Class]]="C",WORKDAY(Main[[#This Row],[Tech Start Date]],19),IF(Main[[#This Row],[Class]]="B", WORKDAY(Main[[#This Row],[Tech Start Date]],12),IF(Main[[#This Row],[Class]]="A",WORKDAY(Main[[#This Row],[Tech Start Date]],4),""))))</f>
        <v/>
      </c>
      <c r="O1210" s="69" t="str">
        <f>IF(Main[[#This Row],[Tech Start Date]]&lt;1/1/1990,"",IF(Main[[#This Row],[Class]]="C",WORKDAY(Main[[#This Row],[Tech Start Date]],23),IF(Main[[#This Row],[Class]]="B", WORKDAY(Main[[#This Row],[Tech Start Date]],15),IF(Main[[#This Row],[Class]]="A",WORKDAY(Main[[#This Row],[Tech Start Date]],5),""))))</f>
        <v/>
      </c>
      <c r="P1210" s="69" t="str">
        <f>IF(Main[[#This Row],[Tech Start Date]]&lt;1/1/1990,"",IF(Main[[#This Row],[Class]]="C",WORKDAY(Main[[#This Row],[Tech Start Date]],28),IF(Main[[#This Row],[Class]]="B", WORKDAY(Main[[#This Row],[Tech Start Date]],19),IF(Main[[#This Row],[Class]]="A",WORKDAY(Main[[#This Row],[Tech Start Date]],9),""))))</f>
        <v/>
      </c>
      <c r="Q1210" s="67"/>
      <c r="R1210" s="67"/>
      <c r="S1210" s="65" t="s">
        <v>11</v>
      </c>
      <c r="T1210" s="70" t="s">
        <v>4</v>
      </c>
      <c r="U1210" s="65" t="s">
        <v>14</v>
      </c>
      <c r="V1210" s="65" t="s">
        <v>1932</v>
      </c>
      <c r="W1210" s="65" t="s">
        <v>1921</v>
      </c>
      <c r="X1210" s="65" t="s">
        <v>924</v>
      </c>
      <c r="Y1210" s="65" t="s">
        <v>2988</v>
      </c>
      <c r="Z1210" s="65" t="s">
        <v>4</v>
      </c>
      <c r="AA1210" s="65" t="s">
        <v>924</v>
      </c>
    </row>
    <row r="1211" spans="1:27" ht="17.45" customHeight="1">
      <c r="A1211" s="131" t="str">
        <f>IF(priority(Main[[#This Row],[Comments]])&lt;&gt;0, priority(Main[[#This Row],[Comments]]),"")</f>
        <v/>
      </c>
      <c r="B1211" s="99" t="s">
        <v>3719</v>
      </c>
      <c r="C1211" s="65" t="s">
        <v>4</v>
      </c>
      <c r="D1211" s="66" t="s">
        <v>3720</v>
      </c>
      <c r="E1211" s="67">
        <v>40952.960995370369</v>
      </c>
      <c r="F1211" s="67"/>
      <c r="G1211" s="64" t="str">
        <f>IF(stdProdLT(Main[[#This Row],[Comments]])=0.1,"N/A",IF(stdProdLT(Main[[#This Row],[Comments]])=0,"",stdProdLT(Main[[#This Row],[Comments]])))</f>
        <v/>
      </c>
      <c r="H1211" s="68" t="str">
        <f>IF(AND(Main[[#This Row],[In Stock Date]]&lt;&gt;"",Main[[#This Row],[Revised Due Date]]&lt;&gt;""),Main[[#This Row],[In Stock Date]]-Main[[#This Row],[Revised Due Date]],"")</f>
        <v/>
      </c>
      <c r="I1211" s="65" t="s">
        <v>2054</v>
      </c>
      <c r="J1211" s="65" t="s">
        <v>28</v>
      </c>
      <c r="K1211" s="65" t="s">
        <v>4</v>
      </c>
      <c r="L1211" s="67"/>
      <c r="M1211" s="69" t="str">
        <f>IF(Main[[#This Row],[Tech Start Date]]&lt;1/1/1990,"",IF(Main[[#This Row],[Class]]="C",WORKDAY(Main[[#This Row],[Tech Start Date]],9),IF(Main[[#This Row],[Class]]="B", WORKDAY(Main[[#This Row],[Tech Start Date]],6),IF(Main[[#This Row],[Class]]="A",WORKDAY(Main[[#This Row],[Tech Start Date]],2),""))))</f>
        <v/>
      </c>
      <c r="N1211" s="69" t="str">
        <f>IF(Main[[#This Row],[Tech Start Date]]&lt;1/1/1990,"",IF(Main[[#This Row],[Class]]="C",WORKDAY(Main[[#This Row],[Tech Start Date]],19),IF(Main[[#This Row],[Class]]="B", WORKDAY(Main[[#This Row],[Tech Start Date]],12),IF(Main[[#This Row],[Class]]="A",WORKDAY(Main[[#This Row],[Tech Start Date]],4),""))))</f>
        <v/>
      </c>
      <c r="O1211" s="69" t="str">
        <f>IF(Main[[#This Row],[Tech Start Date]]&lt;1/1/1990,"",IF(Main[[#This Row],[Class]]="C",WORKDAY(Main[[#This Row],[Tech Start Date]],23),IF(Main[[#This Row],[Class]]="B", WORKDAY(Main[[#This Row],[Tech Start Date]],15),IF(Main[[#This Row],[Class]]="A",WORKDAY(Main[[#This Row],[Tech Start Date]],5),""))))</f>
        <v/>
      </c>
      <c r="P1211" s="69" t="str">
        <f>IF(Main[[#This Row],[Tech Start Date]]&lt;1/1/1990,"",IF(Main[[#This Row],[Class]]="C",WORKDAY(Main[[#This Row],[Tech Start Date]],28),IF(Main[[#This Row],[Class]]="B", WORKDAY(Main[[#This Row],[Tech Start Date]],19),IF(Main[[#This Row],[Class]]="A",WORKDAY(Main[[#This Row],[Tech Start Date]],9),""))))</f>
        <v/>
      </c>
      <c r="Q1211" s="67">
        <v>40953</v>
      </c>
      <c r="R1211" s="67"/>
      <c r="S1211" s="65" t="s">
        <v>6</v>
      </c>
      <c r="T1211" s="70" t="s">
        <v>4</v>
      </c>
      <c r="U1211" s="65" t="s">
        <v>29</v>
      </c>
      <c r="V1211" s="65" t="s">
        <v>1920</v>
      </c>
      <c r="W1211" s="65" t="s">
        <v>1921</v>
      </c>
      <c r="X1211" s="65" t="s">
        <v>2901</v>
      </c>
      <c r="Y1211" s="65" t="s">
        <v>3066</v>
      </c>
      <c r="Z1211" s="65" t="s">
        <v>30</v>
      </c>
      <c r="AA1211" s="65" t="s">
        <v>2901</v>
      </c>
    </row>
    <row r="1212" spans="1:27" ht="17.45" customHeight="1">
      <c r="A1212" s="131" t="str">
        <f>IF(priority(Main[[#This Row],[Comments]])&lt;&gt;0, priority(Main[[#This Row],[Comments]]),"")</f>
        <v/>
      </c>
      <c r="B1212" s="99" t="s">
        <v>3367</v>
      </c>
      <c r="C1212" s="65" t="s">
        <v>47</v>
      </c>
      <c r="D1212" s="66" t="s">
        <v>3368</v>
      </c>
      <c r="E1212" s="67"/>
      <c r="F1212" s="67"/>
      <c r="G1212" s="64" t="str">
        <f>IF(stdProdLT(Main[[#This Row],[Comments]])=0.1,"N/A",IF(stdProdLT(Main[[#This Row],[Comments]])=0,"",stdProdLT(Main[[#This Row],[Comments]])))</f>
        <v/>
      </c>
      <c r="H1212" s="68" t="str">
        <f>IF(AND(Main[[#This Row],[In Stock Date]]&lt;&gt;"",Main[[#This Row],[Revised Due Date]]&lt;&gt;""),Main[[#This Row],[In Stock Date]]-Main[[#This Row],[Revised Due Date]],"")</f>
        <v/>
      </c>
      <c r="I1212" s="65" t="s">
        <v>4</v>
      </c>
      <c r="J1212" s="65" t="s">
        <v>4</v>
      </c>
      <c r="K1212" s="65" t="s">
        <v>4</v>
      </c>
      <c r="L1212" s="67"/>
      <c r="M1212" s="69" t="str">
        <f>IF(Main[[#This Row],[Tech Start Date]]&lt;1/1/1990,"",IF(Main[[#This Row],[Class]]="C",WORKDAY(Main[[#This Row],[Tech Start Date]],9),IF(Main[[#This Row],[Class]]="B", WORKDAY(Main[[#This Row],[Tech Start Date]],6),IF(Main[[#This Row],[Class]]="A",WORKDAY(Main[[#This Row],[Tech Start Date]],2),""))))</f>
        <v/>
      </c>
      <c r="N1212" s="69" t="str">
        <f>IF(Main[[#This Row],[Tech Start Date]]&lt;1/1/1990,"",IF(Main[[#This Row],[Class]]="C",WORKDAY(Main[[#This Row],[Tech Start Date]],19),IF(Main[[#This Row],[Class]]="B", WORKDAY(Main[[#This Row],[Tech Start Date]],12),IF(Main[[#This Row],[Class]]="A",WORKDAY(Main[[#This Row],[Tech Start Date]],4),""))))</f>
        <v/>
      </c>
      <c r="O1212" s="69" t="str">
        <f>IF(Main[[#This Row],[Tech Start Date]]&lt;1/1/1990,"",IF(Main[[#This Row],[Class]]="C",WORKDAY(Main[[#This Row],[Tech Start Date]],23),IF(Main[[#This Row],[Class]]="B", WORKDAY(Main[[#This Row],[Tech Start Date]],15),IF(Main[[#This Row],[Class]]="A",WORKDAY(Main[[#This Row],[Tech Start Date]],5),""))))</f>
        <v/>
      </c>
      <c r="P1212" s="69" t="str">
        <f>IF(Main[[#This Row],[Tech Start Date]]&lt;1/1/1990,"",IF(Main[[#This Row],[Class]]="C",WORKDAY(Main[[#This Row],[Tech Start Date]],28),IF(Main[[#This Row],[Class]]="B", WORKDAY(Main[[#This Row],[Tech Start Date]],19),IF(Main[[#This Row],[Class]]="A",WORKDAY(Main[[#This Row],[Tech Start Date]],9),""))))</f>
        <v/>
      </c>
      <c r="Q1212" s="67">
        <v>40964</v>
      </c>
      <c r="R1212" s="67"/>
      <c r="S1212" s="65" t="s">
        <v>6</v>
      </c>
      <c r="T1212" s="70" t="s">
        <v>4</v>
      </c>
      <c r="U1212" s="65" t="s">
        <v>12</v>
      </c>
      <c r="V1212" s="65" t="s">
        <v>2288</v>
      </c>
      <c r="W1212" s="65" t="s">
        <v>4</v>
      </c>
      <c r="X1212" s="65" t="s">
        <v>2871</v>
      </c>
      <c r="Y1212" s="65" t="s">
        <v>4</v>
      </c>
      <c r="Z1212" s="65" t="s">
        <v>4</v>
      </c>
      <c r="AA1212" s="65" t="s">
        <v>2871</v>
      </c>
    </row>
    <row r="1213" spans="1:27" ht="17.45" customHeight="1">
      <c r="A1213" s="131" t="str">
        <f>IF(priority(Main[[#This Row],[Comments]])&lt;&gt;0, priority(Main[[#This Row],[Comments]]),"")</f>
        <v/>
      </c>
      <c r="B1213" s="99" t="s">
        <v>3288</v>
      </c>
      <c r="C1213" s="65" t="s">
        <v>3289</v>
      </c>
      <c r="D1213" s="66" t="s">
        <v>3290</v>
      </c>
      <c r="E1213" s="67"/>
      <c r="F1213" s="67">
        <v>41117</v>
      </c>
      <c r="G1213" s="64" t="str">
        <f>IF(stdProdLT(Main[[#This Row],[Comments]])=0.1,"N/A",IF(stdProdLT(Main[[#This Row],[Comments]])=0,"",stdProdLT(Main[[#This Row],[Comments]])))</f>
        <v/>
      </c>
      <c r="H1213" s="68" t="str">
        <f>IF(AND(Main[[#This Row],[In Stock Date]]&lt;&gt;"",Main[[#This Row],[Revised Due Date]]&lt;&gt;""),Main[[#This Row],[In Stock Date]]-Main[[#This Row],[Revised Due Date]],"")</f>
        <v/>
      </c>
      <c r="I1213" s="65" t="s">
        <v>4</v>
      </c>
      <c r="J1213" s="65" t="s">
        <v>4</v>
      </c>
      <c r="K1213" s="65" t="s">
        <v>4</v>
      </c>
      <c r="L1213" s="67"/>
      <c r="M1213" s="69" t="str">
        <f>IF(Main[[#This Row],[Tech Start Date]]&lt;1/1/1990,"",IF(Main[[#This Row],[Class]]="C",WORKDAY(Main[[#This Row],[Tech Start Date]],9),IF(Main[[#This Row],[Class]]="B", WORKDAY(Main[[#This Row],[Tech Start Date]],6),IF(Main[[#This Row],[Class]]="A",WORKDAY(Main[[#This Row],[Tech Start Date]],2),""))))</f>
        <v/>
      </c>
      <c r="N1213" s="69" t="str">
        <f>IF(Main[[#This Row],[Tech Start Date]]&lt;1/1/1990,"",IF(Main[[#This Row],[Class]]="C",WORKDAY(Main[[#This Row],[Tech Start Date]],19),IF(Main[[#This Row],[Class]]="B", WORKDAY(Main[[#This Row],[Tech Start Date]],12),IF(Main[[#This Row],[Class]]="A",WORKDAY(Main[[#This Row],[Tech Start Date]],4),""))))</f>
        <v/>
      </c>
      <c r="O1213" s="69" t="str">
        <f>IF(Main[[#This Row],[Tech Start Date]]&lt;1/1/1990,"",IF(Main[[#This Row],[Class]]="C",WORKDAY(Main[[#This Row],[Tech Start Date]],23),IF(Main[[#This Row],[Class]]="B", WORKDAY(Main[[#This Row],[Tech Start Date]],15),IF(Main[[#This Row],[Class]]="A",WORKDAY(Main[[#This Row],[Tech Start Date]],5),""))))</f>
        <v/>
      </c>
      <c r="P1213" s="69" t="str">
        <f>IF(Main[[#This Row],[Tech Start Date]]&lt;1/1/1990,"",IF(Main[[#This Row],[Class]]="C",WORKDAY(Main[[#This Row],[Tech Start Date]],28),IF(Main[[#This Row],[Class]]="B", WORKDAY(Main[[#This Row],[Tech Start Date]],19),IF(Main[[#This Row],[Class]]="A",WORKDAY(Main[[#This Row],[Tech Start Date]],9),""))))</f>
        <v/>
      </c>
      <c r="Q1213" s="67">
        <v>40935</v>
      </c>
      <c r="R1213" s="67"/>
      <c r="S1213" s="65" t="s">
        <v>11</v>
      </c>
      <c r="T1213" s="70" t="s">
        <v>3291</v>
      </c>
      <c r="U1213" s="65" t="s">
        <v>14</v>
      </c>
      <c r="V1213" s="65" t="s">
        <v>1917</v>
      </c>
      <c r="W1213" s="65" t="s">
        <v>1925</v>
      </c>
      <c r="X1213" s="65" t="s">
        <v>2912</v>
      </c>
      <c r="Y1213" s="65" t="s">
        <v>3102</v>
      </c>
      <c r="Z1213" s="65" t="s">
        <v>4</v>
      </c>
      <c r="AA1213" s="65" t="s">
        <v>2912</v>
      </c>
    </row>
    <row r="1214" spans="1:27" ht="17.45" customHeight="1">
      <c r="A1214" s="131" t="str">
        <f>IF(priority(Main[[#This Row],[Comments]])&lt;&gt;0, priority(Main[[#This Row],[Comments]]),"")</f>
        <v/>
      </c>
      <c r="B1214" s="99" t="s">
        <v>2731</v>
      </c>
      <c r="C1214" s="65" t="s">
        <v>4</v>
      </c>
      <c r="D1214" s="66" t="s">
        <v>2732</v>
      </c>
      <c r="E1214" s="67">
        <v>40884.635914351849</v>
      </c>
      <c r="F1214" s="67"/>
      <c r="G1214" s="64" t="str">
        <f>IF(stdProdLT(Main[[#This Row],[Comments]])=0.1,"N/A",IF(stdProdLT(Main[[#This Row],[Comments]])=0,"",stdProdLT(Main[[#This Row],[Comments]])))</f>
        <v/>
      </c>
      <c r="H1214" s="68" t="str">
        <f>IF(AND(Main[[#This Row],[In Stock Date]]&lt;&gt;"",Main[[#This Row],[Revised Due Date]]&lt;&gt;""),Main[[#This Row],[In Stock Date]]-Main[[#This Row],[Revised Due Date]],"")</f>
        <v/>
      </c>
      <c r="I1214" s="65" t="s">
        <v>4</v>
      </c>
      <c r="J1214" s="65" t="s">
        <v>4</v>
      </c>
      <c r="K1214" s="65" t="s">
        <v>4</v>
      </c>
      <c r="L1214" s="67"/>
      <c r="M1214" s="69" t="str">
        <f>IF(Main[[#This Row],[Tech Start Date]]&lt;1/1/1990,"",IF(Main[[#This Row],[Class]]="C",WORKDAY(Main[[#This Row],[Tech Start Date]],9),IF(Main[[#This Row],[Class]]="B", WORKDAY(Main[[#This Row],[Tech Start Date]],6),IF(Main[[#This Row],[Class]]="A",WORKDAY(Main[[#This Row],[Tech Start Date]],2),""))))</f>
        <v/>
      </c>
      <c r="N1214" s="69" t="str">
        <f>IF(Main[[#This Row],[Tech Start Date]]&lt;1/1/1990,"",IF(Main[[#This Row],[Class]]="C",WORKDAY(Main[[#This Row],[Tech Start Date]],19),IF(Main[[#This Row],[Class]]="B", WORKDAY(Main[[#This Row],[Tech Start Date]],12),IF(Main[[#This Row],[Class]]="A",WORKDAY(Main[[#This Row],[Tech Start Date]],4),""))))</f>
        <v/>
      </c>
      <c r="O1214" s="69" t="str">
        <f>IF(Main[[#This Row],[Tech Start Date]]&lt;1/1/1990,"",IF(Main[[#This Row],[Class]]="C",WORKDAY(Main[[#This Row],[Tech Start Date]],23),IF(Main[[#This Row],[Class]]="B", WORKDAY(Main[[#This Row],[Tech Start Date]],15),IF(Main[[#This Row],[Class]]="A",WORKDAY(Main[[#This Row],[Tech Start Date]],5),""))))</f>
        <v/>
      </c>
      <c r="P1214" s="69" t="str">
        <f>IF(Main[[#This Row],[Tech Start Date]]&lt;1/1/1990,"",IF(Main[[#This Row],[Class]]="C",WORKDAY(Main[[#This Row],[Tech Start Date]],28),IF(Main[[#This Row],[Class]]="B", WORKDAY(Main[[#This Row],[Tech Start Date]],19),IF(Main[[#This Row],[Class]]="A",WORKDAY(Main[[#This Row],[Tech Start Date]],9),""))))</f>
        <v/>
      </c>
      <c r="Q1214" s="67">
        <v>41000</v>
      </c>
      <c r="R1214" s="67"/>
      <c r="S1214" s="65" t="s">
        <v>11</v>
      </c>
      <c r="T1214" s="70" t="s">
        <v>4</v>
      </c>
      <c r="U1214" s="65" t="s">
        <v>7</v>
      </c>
      <c r="V1214" s="65" t="s">
        <v>1932</v>
      </c>
      <c r="W1214" s="65" t="s">
        <v>1922</v>
      </c>
      <c r="X1214" s="65" t="s">
        <v>924</v>
      </c>
      <c r="Y1214" s="65" t="s">
        <v>3078</v>
      </c>
      <c r="Z1214" s="65" t="s">
        <v>4</v>
      </c>
      <c r="AA1214" s="65" t="s">
        <v>909</v>
      </c>
    </row>
    <row r="1215" spans="1:27" ht="17.45" customHeight="1">
      <c r="A1215" s="131" t="str">
        <f>IF(priority(Main[[#This Row],[Comments]])&lt;&gt;0, priority(Main[[#This Row],[Comments]]),"")</f>
        <v/>
      </c>
      <c r="B1215" s="99" t="s">
        <v>2560</v>
      </c>
      <c r="C1215" s="65" t="s">
        <v>4</v>
      </c>
      <c r="D1215" s="66" t="s">
        <v>2559</v>
      </c>
      <c r="E1215" s="67"/>
      <c r="F1215" s="67"/>
      <c r="G1215" s="64" t="str">
        <f>IF(stdProdLT(Main[[#This Row],[Comments]])=0.1,"N/A",IF(stdProdLT(Main[[#This Row],[Comments]])=0,"",stdProdLT(Main[[#This Row],[Comments]])))</f>
        <v/>
      </c>
      <c r="H1215" s="68" t="str">
        <f>IF(AND(Main[[#This Row],[In Stock Date]]&lt;&gt;"",Main[[#This Row],[Revised Due Date]]&lt;&gt;""),Main[[#This Row],[In Stock Date]]-Main[[#This Row],[Revised Due Date]],"")</f>
        <v/>
      </c>
      <c r="I1215" s="65" t="s">
        <v>4</v>
      </c>
      <c r="J1215" s="65" t="s">
        <v>4</v>
      </c>
      <c r="K1215" s="65" t="s">
        <v>4</v>
      </c>
      <c r="L1215" s="67"/>
      <c r="M1215" s="69" t="str">
        <f>IF(Main[[#This Row],[Tech Start Date]]&lt;1/1/1990,"",IF(Main[[#This Row],[Class]]="C",WORKDAY(Main[[#This Row],[Tech Start Date]],9),IF(Main[[#This Row],[Class]]="B", WORKDAY(Main[[#This Row],[Tech Start Date]],6),IF(Main[[#This Row],[Class]]="A",WORKDAY(Main[[#This Row],[Tech Start Date]],2),""))))</f>
        <v/>
      </c>
      <c r="N1215" s="69" t="str">
        <f>IF(Main[[#This Row],[Tech Start Date]]&lt;1/1/1990,"",IF(Main[[#This Row],[Class]]="C",WORKDAY(Main[[#This Row],[Tech Start Date]],19),IF(Main[[#This Row],[Class]]="B", WORKDAY(Main[[#This Row],[Tech Start Date]],12),IF(Main[[#This Row],[Class]]="A",WORKDAY(Main[[#This Row],[Tech Start Date]],4),""))))</f>
        <v/>
      </c>
      <c r="O1215" s="69" t="str">
        <f>IF(Main[[#This Row],[Tech Start Date]]&lt;1/1/1990,"",IF(Main[[#This Row],[Class]]="C",WORKDAY(Main[[#This Row],[Tech Start Date]],23),IF(Main[[#This Row],[Class]]="B", WORKDAY(Main[[#This Row],[Tech Start Date]],15),IF(Main[[#This Row],[Class]]="A",WORKDAY(Main[[#This Row],[Tech Start Date]],5),""))))</f>
        <v/>
      </c>
      <c r="P1215" s="69" t="str">
        <f>IF(Main[[#This Row],[Tech Start Date]]&lt;1/1/1990,"",IF(Main[[#This Row],[Class]]="C",WORKDAY(Main[[#This Row],[Tech Start Date]],28),IF(Main[[#This Row],[Class]]="B", WORKDAY(Main[[#This Row],[Tech Start Date]],19),IF(Main[[#This Row],[Class]]="A",WORKDAY(Main[[#This Row],[Tech Start Date]],9),""))))</f>
        <v/>
      </c>
      <c r="Q1215" s="67">
        <v>40891</v>
      </c>
      <c r="R1215" s="67"/>
      <c r="S1215" s="65" t="s">
        <v>6</v>
      </c>
      <c r="T1215" s="70" t="s">
        <v>4</v>
      </c>
      <c r="U1215" s="65" t="s">
        <v>12</v>
      </c>
      <c r="V1215" s="65" t="s">
        <v>1920</v>
      </c>
      <c r="W1215" s="65" t="s">
        <v>4</v>
      </c>
      <c r="X1215" s="65" t="s">
        <v>2828</v>
      </c>
      <c r="Y1215" s="65" t="s">
        <v>2944</v>
      </c>
      <c r="Z1215" s="65" t="s">
        <v>4</v>
      </c>
      <c r="AA1215" s="65" t="s">
        <v>2828</v>
      </c>
    </row>
    <row r="1216" spans="1:27" ht="17.45" customHeight="1">
      <c r="A1216" s="131" t="str">
        <f>IF(priority(Main[[#This Row],[Comments]])&lt;&gt;0, priority(Main[[#This Row],[Comments]]),"")</f>
        <v/>
      </c>
      <c r="B1216" s="99" t="s">
        <v>2189</v>
      </c>
      <c r="C1216" s="65" t="s">
        <v>4</v>
      </c>
      <c r="D1216" s="66" t="s">
        <v>2190</v>
      </c>
      <c r="E1216" s="67">
        <v>40792.385717592595</v>
      </c>
      <c r="F1216" s="67"/>
      <c r="G1216" s="64" t="str">
        <f>IF(stdProdLT(Main[[#This Row],[Comments]])=0.1,"N/A",IF(stdProdLT(Main[[#This Row],[Comments]])=0,"",stdProdLT(Main[[#This Row],[Comments]])))</f>
        <v/>
      </c>
      <c r="H1216" s="68" t="str">
        <f>IF(AND(Main[[#This Row],[In Stock Date]]&lt;&gt;"",Main[[#This Row],[Revised Due Date]]&lt;&gt;""),Main[[#This Row],[In Stock Date]]-Main[[#This Row],[Revised Due Date]],"")</f>
        <v/>
      </c>
      <c r="I1216" s="65" t="s">
        <v>81</v>
      </c>
      <c r="J1216" s="65" t="s">
        <v>70</v>
      </c>
      <c r="K1216" s="65" t="s">
        <v>1926</v>
      </c>
      <c r="L1216" s="67"/>
      <c r="M1216" s="69" t="str">
        <f>IF(Main[[#This Row],[Tech Start Date]]&lt;1/1/1990,"",IF(Main[[#This Row],[Class]]="C",WORKDAY(Main[[#This Row],[Tech Start Date]],9),IF(Main[[#This Row],[Class]]="B", WORKDAY(Main[[#This Row],[Tech Start Date]],6),IF(Main[[#This Row],[Class]]="A",WORKDAY(Main[[#This Row],[Tech Start Date]],2),""))))</f>
        <v/>
      </c>
      <c r="N1216" s="69" t="str">
        <f>IF(Main[[#This Row],[Tech Start Date]]&lt;1/1/1990,"",IF(Main[[#This Row],[Class]]="C",WORKDAY(Main[[#This Row],[Tech Start Date]],19),IF(Main[[#This Row],[Class]]="B", WORKDAY(Main[[#This Row],[Tech Start Date]],12),IF(Main[[#This Row],[Class]]="A",WORKDAY(Main[[#This Row],[Tech Start Date]],4),""))))</f>
        <v/>
      </c>
      <c r="O1216" s="69" t="str">
        <f>IF(Main[[#This Row],[Tech Start Date]]&lt;1/1/1990,"",IF(Main[[#This Row],[Class]]="C",WORKDAY(Main[[#This Row],[Tech Start Date]],23),IF(Main[[#This Row],[Class]]="B", WORKDAY(Main[[#This Row],[Tech Start Date]],15),IF(Main[[#This Row],[Class]]="A",WORKDAY(Main[[#This Row],[Tech Start Date]],5),""))))</f>
        <v/>
      </c>
      <c r="P1216" s="69" t="str">
        <f>IF(Main[[#This Row],[Tech Start Date]]&lt;1/1/1990,"",IF(Main[[#This Row],[Class]]="C",WORKDAY(Main[[#This Row],[Tech Start Date]],28),IF(Main[[#This Row],[Class]]="B", WORKDAY(Main[[#This Row],[Tech Start Date]],19),IF(Main[[#This Row],[Class]]="A",WORKDAY(Main[[#This Row],[Tech Start Date]],9),""))))</f>
        <v/>
      </c>
      <c r="Q1216" s="67">
        <v>40823</v>
      </c>
      <c r="R1216" s="67"/>
      <c r="S1216" s="65" t="s">
        <v>6</v>
      </c>
      <c r="T1216" s="70" t="s">
        <v>4</v>
      </c>
      <c r="U1216" s="65" t="s">
        <v>29</v>
      </c>
      <c r="V1216" s="65" t="s">
        <v>1920</v>
      </c>
      <c r="W1216" s="65" t="s">
        <v>1921</v>
      </c>
      <c r="X1216" s="65" t="s">
        <v>2824</v>
      </c>
      <c r="Y1216" s="65" t="s">
        <v>2935</v>
      </c>
      <c r="Z1216" s="65" t="s">
        <v>30</v>
      </c>
      <c r="AA1216" s="65" t="s">
        <v>2824</v>
      </c>
    </row>
    <row r="1217" spans="1:27" ht="17.45" customHeight="1">
      <c r="A1217" s="131" t="str">
        <f>IF(priority(Main[[#This Row],[Comments]])&lt;&gt;0, priority(Main[[#This Row],[Comments]]),"")</f>
        <v/>
      </c>
      <c r="B1217" s="99" t="s">
        <v>3721</v>
      </c>
      <c r="C1217" s="65" t="s">
        <v>4</v>
      </c>
      <c r="D1217" s="66" t="s">
        <v>3722</v>
      </c>
      <c r="E1217" s="67">
        <v>40953.329780092594</v>
      </c>
      <c r="F1217" s="67"/>
      <c r="G1217" s="64" t="str">
        <f>IF(stdProdLT(Main[[#This Row],[Comments]])=0.1,"N/A",IF(stdProdLT(Main[[#This Row],[Comments]])=0,"",stdProdLT(Main[[#This Row],[Comments]])))</f>
        <v/>
      </c>
      <c r="H1217" s="68" t="str">
        <f>IF(AND(Main[[#This Row],[In Stock Date]]&lt;&gt;"",Main[[#This Row],[Revised Due Date]]&lt;&gt;""),Main[[#This Row],[In Stock Date]]-Main[[#This Row],[Revised Due Date]],"")</f>
        <v/>
      </c>
      <c r="I1217" s="65" t="s">
        <v>530</v>
      </c>
      <c r="J1217" s="65" t="s">
        <v>28</v>
      </c>
      <c r="K1217" s="65" t="s">
        <v>1926</v>
      </c>
      <c r="L1217" s="67"/>
      <c r="M1217" s="69" t="str">
        <f>IF(Main[[#This Row],[Tech Start Date]]&lt;1/1/1990,"",IF(Main[[#This Row],[Class]]="C",WORKDAY(Main[[#This Row],[Tech Start Date]],9),IF(Main[[#This Row],[Class]]="B", WORKDAY(Main[[#This Row],[Tech Start Date]],6),IF(Main[[#This Row],[Class]]="A",WORKDAY(Main[[#This Row],[Tech Start Date]],2),""))))</f>
        <v/>
      </c>
      <c r="N1217" s="69" t="str">
        <f>IF(Main[[#This Row],[Tech Start Date]]&lt;1/1/1990,"",IF(Main[[#This Row],[Class]]="C",WORKDAY(Main[[#This Row],[Tech Start Date]],19),IF(Main[[#This Row],[Class]]="B", WORKDAY(Main[[#This Row],[Tech Start Date]],12),IF(Main[[#This Row],[Class]]="A",WORKDAY(Main[[#This Row],[Tech Start Date]],4),""))))</f>
        <v/>
      </c>
      <c r="O1217" s="69" t="str">
        <f>IF(Main[[#This Row],[Tech Start Date]]&lt;1/1/1990,"",IF(Main[[#This Row],[Class]]="C",WORKDAY(Main[[#This Row],[Tech Start Date]],23),IF(Main[[#This Row],[Class]]="B", WORKDAY(Main[[#This Row],[Tech Start Date]],15),IF(Main[[#This Row],[Class]]="A",WORKDAY(Main[[#This Row],[Tech Start Date]],5),""))))</f>
        <v/>
      </c>
      <c r="P1217" s="69" t="str">
        <f>IF(Main[[#This Row],[Tech Start Date]]&lt;1/1/1990,"",IF(Main[[#This Row],[Class]]="C",WORKDAY(Main[[#This Row],[Tech Start Date]],28),IF(Main[[#This Row],[Class]]="B", WORKDAY(Main[[#This Row],[Tech Start Date]],19),IF(Main[[#This Row],[Class]]="A",WORKDAY(Main[[#This Row],[Tech Start Date]],9),""))))</f>
        <v/>
      </c>
      <c r="Q1217" s="67">
        <v>40984</v>
      </c>
      <c r="R1217" s="67"/>
      <c r="S1217" s="65" t="s">
        <v>6</v>
      </c>
      <c r="T1217" s="70" t="s">
        <v>4</v>
      </c>
      <c r="U1217" s="65" t="s">
        <v>29</v>
      </c>
      <c r="V1217" s="65" t="s">
        <v>1920</v>
      </c>
      <c r="W1217" s="65" t="s">
        <v>1921</v>
      </c>
      <c r="X1217" s="65" t="s">
        <v>2824</v>
      </c>
      <c r="Y1217" s="65" t="s">
        <v>2935</v>
      </c>
      <c r="Z1217" s="65" t="s">
        <v>30</v>
      </c>
      <c r="AA1217" s="65" t="s">
        <v>2824</v>
      </c>
    </row>
    <row r="1218" spans="1:27" ht="17.45" customHeight="1">
      <c r="A1218" s="131" t="str">
        <f>IF(priority(Main[[#This Row],[Comments]])&lt;&gt;0, priority(Main[[#This Row],[Comments]]),"")</f>
        <v/>
      </c>
      <c r="B1218" s="99" t="s">
        <v>2666</v>
      </c>
      <c r="C1218" s="65" t="s">
        <v>4</v>
      </c>
      <c r="D1218" s="66" t="s">
        <v>2667</v>
      </c>
      <c r="E1218" s="67"/>
      <c r="F1218" s="67"/>
      <c r="G1218" s="64" t="str">
        <f>IF(stdProdLT(Main[[#This Row],[Comments]])=0.1,"N/A",IF(stdProdLT(Main[[#This Row],[Comments]])=0,"",stdProdLT(Main[[#This Row],[Comments]])))</f>
        <v/>
      </c>
      <c r="H1218" s="68" t="str">
        <f>IF(AND(Main[[#This Row],[In Stock Date]]&lt;&gt;"",Main[[#This Row],[Revised Due Date]]&lt;&gt;""),Main[[#This Row],[In Stock Date]]-Main[[#This Row],[Revised Due Date]],"")</f>
        <v/>
      </c>
      <c r="I1218" s="65" t="s">
        <v>4</v>
      </c>
      <c r="J1218" s="65" t="s">
        <v>4</v>
      </c>
      <c r="K1218" s="65" t="s">
        <v>4</v>
      </c>
      <c r="L1218" s="67"/>
      <c r="M1218" s="69" t="str">
        <f>IF(Main[[#This Row],[Tech Start Date]]&lt;1/1/1990,"",IF(Main[[#This Row],[Class]]="C",WORKDAY(Main[[#This Row],[Tech Start Date]],9),IF(Main[[#This Row],[Class]]="B", WORKDAY(Main[[#This Row],[Tech Start Date]],6),IF(Main[[#This Row],[Class]]="A",WORKDAY(Main[[#This Row],[Tech Start Date]],2),""))))</f>
        <v/>
      </c>
      <c r="N1218" s="69" t="str">
        <f>IF(Main[[#This Row],[Tech Start Date]]&lt;1/1/1990,"",IF(Main[[#This Row],[Class]]="C",WORKDAY(Main[[#This Row],[Tech Start Date]],19),IF(Main[[#This Row],[Class]]="B", WORKDAY(Main[[#This Row],[Tech Start Date]],12),IF(Main[[#This Row],[Class]]="A",WORKDAY(Main[[#This Row],[Tech Start Date]],4),""))))</f>
        <v/>
      </c>
      <c r="O1218" s="69" t="str">
        <f>IF(Main[[#This Row],[Tech Start Date]]&lt;1/1/1990,"",IF(Main[[#This Row],[Class]]="C",WORKDAY(Main[[#This Row],[Tech Start Date]],23),IF(Main[[#This Row],[Class]]="B", WORKDAY(Main[[#This Row],[Tech Start Date]],15),IF(Main[[#This Row],[Class]]="A",WORKDAY(Main[[#This Row],[Tech Start Date]],5),""))))</f>
        <v/>
      </c>
      <c r="P1218" s="69" t="str">
        <f>IF(Main[[#This Row],[Tech Start Date]]&lt;1/1/1990,"",IF(Main[[#This Row],[Class]]="C",WORKDAY(Main[[#This Row],[Tech Start Date]],28),IF(Main[[#This Row],[Class]]="B", WORKDAY(Main[[#This Row],[Tech Start Date]],19),IF(Main[[#This Row],[Class]]="A",WORKDAY(Main[[#This Row],[Tech Start Date]],9),""))))</f>
        <v/>
      </c>
      <c r="Q1218" s="67">
        <v>40884</v>
      </c>
      <c r="R1218" s="67"/>
      <c r="S1218" s="65" t="s">
        <v>4</v>
      </c>
      <c r="T1218" s="70" t="s">
        <v>4</v>
      </c>
      <c r="U1218" s="65" t="s">
        <v>14</v>
      </c>
      <c r="V1218" s="65" t="s">
        <v>1927</v>
      </c>
      <c r="W1218" s="65" t="s">
        <v>1925</v>
      </c>
      <c r="X1218" s="65" t="s">
        <v>2863</v>
      </c>
      <c r="Y1218" s="65" t="s">
        <v>3004</v>
      </c>
      <c r="Z1218" s="65" t="s">
        <v>4</v>
      </c>
      <c r="AA1218" s="65" t="s">
        <v>2863</v>
      </c>
    </row>
    <row r="1219" spans="1:27" ht="17.45" customHeight="1">
      <c r="A1219" s="131" t="str">
        <f>IF(priority(Main[[#This Row],[Comments]])&lt;&gt;0, priority(Main[[#This Row],[Comments]]),"")</f>
        <v/>
      </c>
      <c r="B1219" s="99" t="s">
        <v>1203</v>
      </c>
      <c r="C1219" s="65" t="s">
        <v>4</v>
      </c>
      <c r="D1219" s="66" t="s">
        <v>3725</v>
      </c>
      <c r="E1219" s="67">
        <v>40667.612881944442</v>
      </c>
      <c r="F1219" s="67"/>
      <c r="G1219" s="64" t="str">
        <f>IF(stdProdLT(Main[[#This Row],[Comments]])=0.1,"N/A",IF(stdProdLT(Main[[#This Row],[Comments]])=0,"",stdProdLT(Main[[#This Row],[Comments]])))</f>
        <v/>
      </c>
      <c r="H1219" s="68" t="str">
        <f>IF(AND(Main[[#This Row],[In Stock Date]]&lt;&gt;"",Main[[#This Row],[Revised Due Date]]&lt;&gt;""),Main[[#This Row],[In Stock Date]]-Main[[#This Row],[Revised Due Date]],"")</f>
        <v/>
      </c>
      <c r="I1219" s="65" t="s">
        <v>4</v>
      </c>
      <c r="J1219" s="65" t="s">
        <v>4</v>
      </c>
      <c r="K1219" s="65" t="s">
        <v>4</v>
      </c>
      <c r="L1219" s="67"/>
      <c r="M1219" s="69" t="str">
        <f>IF(Main[[#This Row],[Tech Start Date]]&lt;1/1/1990,"",IF(Main[[#This Row],[Class]]="C",WORKDAY(Main[[#This Row],[Tech Start Date]],9),IF(Main[[#This Row],[Class]]="B", WORKDAY(Main[[#This Row],[Tech Start Date]],6),IF(Main[[#This Row],[Class]]="A",WORKDAY(Main[[#This Row],[Tech Start Date]],2),""))))</f>
        <v/>
      </c>
      <c r="N1219" s="69" t="str">
        <f>IF(Main[[#This Row],[Tech Start Date]]&lt;1/1/1990,"",IF(Main[[#This Row],[Class]]="C",WORKDAY(Main[[#This Row],[Tech Start Date]],19),IF(Main[[#This Row],[Class]]="B", WORKDAY(Main[[#This Row],[Tech Start Date]],12),IF(Main[[#This Row],[Class]]="A",WORKDAY(Main[[#This Row],[Tech Start Date]],4),""))))</f>
        <v/>
      </c>
      <c r="O1219" s="69" t="str">
        <f>IF(Main[[#This Row],[Tech Start Date]]&lt;1/1/1990,"",IF(Main[[#This Row],[Class]]="C",WORKDAY(Main[[#This Row],[Tech Start Date]],23),IF(Main[[#This Row],[Class]]="B", WORKDAY(Main[[#This Row],[Tech Start Date]],15),IF(Main[[#This Row],[Class]]="A",WORKDAY(Main[[#This Row],[Tech Start Date]],5),""))))</f>
        <v/>
      </c>
      <c r="P1219" s="69" t="str">
        <f>IF(Main[[#This Row],[Tech Start Date]]&lt;1/1/1990,"",IF(Main[[#This Row],[Class]]="C",WORKDAY(Main[[#This Row],[Tech Start Date]],28),IF(Main[[#This Row],[Class]]="B", WORKDAY(Main[[#This Row],[Tech Start Date]],19),IF(Main[[#This Row],[Class]]="A",WORKDAY(Main[[#This Row],[Tech Start Date]],9),""))))</f>
        <v/>
      </c>
      <c r="Q1219" s="67">
        <v>40858</v>
      </c>
      <c r="R1219" s="67"/>
      <c r="S1219" s="65" t="s">
        <v>17</v>
      </c>
      <c r="T1219" s="70" t="s">
        <v>4</v>
      </c>
      <c r="U1219" s="65" t="s">
        <v>7</v>
      </c>
      <c r="V1219" s="65" t="s">
        <v>1917</v>
      </c>
      <c r="W1219" s="65" t="s">
        <v>1922</v>
      </c>
      <c r="X1219" s="65" t="s">
        <v>50</v>
      </c>
      <c r="Y1219" s="65" t="s">
        <v>2965</v>
      </c>
      <c r="Z1219" s="65" t="s">
        <v>4</v>
      </c>
      <c r="AA1219" s="65" t="s">
        <v>2834</v>
      </c>
    </row>
    <row r="1220" spans="1:27" ht="17.45" customHeight="1">
      <c r="A1220" s="131" t="str">
        <f>IF(priority(Main[[#This Row],[Comments]])&lt;&gt;0, priority(Main[[#This Row],[Comments]]),"")</f>
        <v/>
      </c>
      <c r="B1220" s="99" t="s">
        <v>3726</v>
      </c>
      <c r="C1220" s="65" t="s">
        <v>4</v>
      </c>
      <c r="D1220" s="66" t="s">
        <v>3727</v>
      </c>
      <c r="E1220" s="67">
        <v>40960.145115740743</v>
      </c>
      <c r="F1220" s="67"/>
      <c r="G1220" s="64" t="str">
        <f>IF(stdProdLT(Main[[#This Row],[Comments]])=0.1,"N/A",IF(stdProdLT(Main[[#This Row],[Comments]])=0,"",stdProdLT(Main[[#This Row],[Comments]])))</f>
        <v/>
      </c>
      <c r="H1220" s="68" t="str">
        <f>IF(AND(Main[[#This Row],[In Stock Date]]&lt;&gt;"",Main[[#This Row],[Revised Due Date]]&lt;&gt;""),Main[[#This Row],[In Stock Date]]-Main[[#This Row],[Revised Due Date]],"")</f>
        <v/>
      </c>
      <c r="I1220" s="65" t="s">
        <v>914</v>
      </c>
      <c r="J1220" s="65" t="s">
        <v>52</v>
      </c>
      <c r="K1220" s="71" t="s">
        <v>4</v>
      </c>
      <c r="L1220" s="67"/>
      <c r="M1220" s="69" t="str">
        <f>IF(Main[[#This Row],[Tech Start Date]]&lt;1/1/1990,"",IF(Main[[#This Row],[Class]]="C",WORKDAY(Main[[#This Row],[Tech Start Date]],9),IF(Main[[#This Row],[Class]]="B", WORKDAY(Main[[#This Row],[Tech Start Date]],6),IF(Main[[#This Row],[Class]]="A",WORKDAY(Main[[#This Row],[Tech Start Date]],2),""))))</f>
        <v/>
      </c>
      <c r="N1220" s="69" t="str">
        <f>IF(Main[[#This Row],[Tech Start Date]]&lt;1/1/1990,"",IF(Main[[#This Row],[Class]]="C",WORKDAY(Main[[#This Row],[Tech Start Date]],19),IF(Main[[#This Row],[Class]]="B", WORKDAY(Main[[#This Row],[Tech Start Date]],12),IF(Main[[#This Row],[Class]]="A",WORKDAY(Main[[#This Row],[Tech Start Date]],4),""))))</f>
        <v/>
      </c>
      <c r="O1220" s="69" t="str">
        <f>IF(Main[[#This Row],[Tech Start Date]]&lt;1/1/1990,"",IF(Main[[#This Row],[Class]]="C",WORKDAY(Main[[#This Row],[Tech Start Date]],23),IF(Main[[#This Row],[Class]]="B", WORKDAY(Main[[#This Row],[Tech Start Date]],15),IF(Main[[#This Row],[Class]]="A",WORKDAY(Main[[#This Row],[Tech Start Date]],5),""))))</f>
        <v/>
      </c>
      <c r="P1220" s="69" t="str">
        <f>IF(Main[[#This Row],[Tech Start Date]]&lt;1/1/1990,"",IF(Main[[#This Row],[Class]]="C",WORKDAY(Main[[#This Row],[Tech Start Date]],28),IF(Main[[#This Row],[Class]]="B", WORKDAY(Main[[#This Row],[Tech Start Date]],19),IF(Main[[#This Row],[Class]]="A",WORKDAY(Main[[#This Row],[Tech Start Date]],9),""))))</f>
        <v/>
      </c>
      <c r="Q1220" s="67">
        <v>40989</v>
      </c>
      <c r="R1220" s="67"/>
      <c r="S1220" s="65" t="s">
        <v>6</v>
      </c>
      <c r="T1220" s="70" t="s">
        <v>4</v>
      </c>
      <c r="U1220" s="65" t="s">
        <v>29</v>
      </c>
      <c r="V1220" s="65" t="s">
        <v>1917</v>
      </c>
      <c r="W1220" s="65" t="s">
        <v>4</v>
      </c>
      <c r="X1220" s="65" t="s">
        <v>2828</v>
      </c>
      <c r="Y1220" s="65" t="s">
        <v>2944</v>
      </c>
      <c r="Z1220" s="65" t="s">
        <v>129</v>
      </c>
      <c r="AA1220" s="65" t="s">
        <v>2828</v>
      </c>
    </row>
    <row r="1221" spans="1:27" ht="17.45" customHeight="1">
      <c r="A1221" s="131" t="str">
        <f>IF(priority(Main[[#This Row],[Comments]])&lt;&gt;0, priority(Main[[#This Row],[Comments]]),"")</f>
        <v/>
      </c>
      <c r="B1221" s="99" t="s">
        <v>2740</v>
      </c>
      <c r="C1221" s="65" t="s">
        <v>4</v>
      </c>
      <c r="D1221" s="66" t="s">
        <v>3364</v>
      </c>
      <c r="E1221" s="67">
        <v>40891.136469907404</v>
      </c>
      <c r="F1221" s="67"/>
      <c r="G1221" s="64" t="str">
        <f>IF(stdProdLT(Main[[#This Row],[Comments]])=0.1,"N/A",IF(stdProdLT(Main[[#This Row],[Comments]])=0,"",stdProdLT(Main[[#This Row],[Comments]])))</f>
        <v/>
      </c>
      <c r="H1221" s="68" t="str">
        <f>IF(AND(Main[[#This Row],[In Stock Date]]&lt;&gt;"",Main[[#This Row],[Revised Due Date]]&lt;&gt;""),Main[[#This Row],[In Stock Date]]-Main[[#This Row],[Revised Due Date]],"")</f>
        <v/>
      </c>
      <c r="I1221" s="65" t="s">
        <v>69</v>
      </c>
      <c r="J1221" s="65" t="s">
        <v>70</v>
      </c>
      <c r="K1221" s="65" t="s">
        <v>1926</v>
      </c>
      <c r="L1221" s="67"/>
      <c r="M1221" s="69" t="str">
        <f>IF(Main[[#This Row],[Tech Start Date]]&lt;1/1/1990,"",IF(Main[[#This Row],[Class]]="C",WORKDAY(Main[[#This Row],[Tech Start Date]],9),IF(Main[[#This Row],[Class]]="B", WORKDAY(Main[[#This Row],[Tech Start Date]],6),IF(Main[[#This Row],[Class]]="A",WORKDAY(Main[[#This Row],[Tech Start Date]],2),""))))</f>
        <v/>
      </c>
      <c r="N1221" s="69" t="str">
        <f>IF(Main[[#This Row],[Tech Start Date]]&lt;1/1/1990,"",IF(Main[[#This Row],[Class]]="C",WORKDAY(Main[[#This Row],[Tech Start Date]],19),IF(Main[[#This Row],[Class]]="B", WORKDAY(Main[[#This Row],[Tech Start Date]],12),IF(Main[[#This Row],[Class]]="A",WORKDAY(Main[[#This Row],[Tech Start Date]],4),""))))</f>
        <v/>
      </c>
      <c r="O1221" s="69" t="str">
        <f>IF(Main[[#This Row],[Tech Start Date]]&lt;1/1/1990,"",IF(Main[[#This Row],[Class]]="C",WORKDAY(Main[[#This Row],[Tech Start Date]],23),IF(Main[[#This Row],[Class]]="B", WORKDAY(Main[[#This Row],[Tech Start Date]],15),IF(Main[[#This Row],[Class]]="A",WORKDAY(Main[[#This Row],[Tech Start Date]],5),""))))</f>
        <v/>
      </c>
      <c r="P1221" s="69" t="str">
        <f>IF(Main[[#This Row],[Tech Start Date]]&lt;1/1/1990,"",IF(Main[[#This Row],[Class]]="C",WORKDAY(Main[[#This Row],[Tech Start Date]],28),IF(Main[[#This Row],[Class]]="B", WORKDAY(Main[[#This Row],[Tech Start Date]],19),IF(Main[[#This Row],[Class]]="A",WORKDAY(Main[[#This Row],[Tech Start Date]],9),""))))</f>
        <v/>
      </c>
      <c r="Q1221" s="67">
        <v>40914</v>
      </c>
      <c r="R1221" s="67"/>
      <c r="S1221" s="65" t="s">
        <v>6</v>
      </c>
      <c r="T1221" s="70" t="s">
        <v>4</v>
      </c>
      <c r="U1221" s="65" t="s">
        <v>29</v>
      </c>
      <c r="V1221" s="65" t="s">
        <v>1920</v>
      </c>
      <c r="W1221" s="65" t="s">
        <v>1921</v>
      </c>
      <c r="X1221" s="65" t="s">
        <v>2857</v>
      </c>
      <c r="Y1221" s="65" t="s">
        <v>2992</v>
      </c>
      <c r="Z1221" s="65" t="s">
        <v>30</v>
      </c>
      <c r="AA1221" s="65" t="s">
        <v>2857</v>
      </c>
    </row>
    <row r="1222" spans="1:27" ht="17.45" customHeight="1">
      <c r="A1222" s="131" t="str">
        <f>IF(priority(Main[[#This Row],[Comments]])&lt;&gt;0, priority(Main[[#This Row],[Comments]]),"")</f>
        <v/>
      </c>
      <c r="B1222" s="99" t="s">
        <v>2564</v>
      </c>
      <c r="C1222" s="65" t="s">
        <v>4</v>
      </c>
      <c r="D1222" s="66" t="s">
        <v>2565</v>
      </c>
      <c r="E1222" s="67">
        <v>40835.766481481478</v>
      </c>
      <c r="F1222" s="67"/>
      <c r="G1222" s="64" t="str">
        <f>IF(stdProdLT(Main[[#This Row],[Comments]])=0.1,"N/A",IF(stdProdLT(Main[[#This Row],[Comments]])=0,"",stdProdLT(Main[[#This Row],[Comments]])))</f>
        <v/>
      </c>
      <c r="H1222" s="68" t="str">
        <f>IF(AND(Main[[#This Row],[In Stock Date]]&lt;&gt;"",Main[[#This Row],[Revised Due Date]]&lt;&gt;""),Main[[#This Row],[In Stock Date]]-Main[[#This Row],[Revised Due Date]],"")</f>
        <v/>
      </c>
      <c r="I1222" s="65" t="s">
        <v>4</v>
      </c>
      <c r="J1222" s="65" t="s">
        <v>4</v>
      </c>
      <c r="K1222" s="65" t="s">
        <v>4</v>
      </c>
      <c r="L1222" s="67"/>
      <c r="M1222" s="69" t="str">
        <f>IF(Main[[#This Row],[Tech Start Date]]&lt;1/1/1990,"",IF(Main[[#This Row],[Class]]="C",WORKDAY(Main[[#This Row],[Tech Start Date]],9),IF(Main[[#This Row],[Class]]="B", WORKDAY(Main[[#This Row],[Tech Start Date]],6),IF(Main[[#This Row],[Class]]="A",WORKDAY(Main[[#This Row],[Tech Start Date]],2),""))))</f>
        <v/>
      </c>
      <c r="N1222" s="69" t="str">
        <f>IF(Main[[#This Row],[Tech Start Date]]&lt;1/1/1990,"",IF(Main[[#This Row],[Class]]="C",WORKDAY(Main[[#This Row],[Tech Start Date]],19),IF(Main[[#This Row],[Class]]="B", WORKDAY(Main[[#This Row],[Tech Start Date]],12),IF(Main[[#This Row],[Class]]="A",WORKDAY(Main[[#This Row],[Tech Start Date]],4),""))))</f>
        <v/>
      </c>
      <c r="O1222" s="69" t="str">
        <f>IF(Main[[#This Row],[Tech Start Date]]&lt;1/1/1990,"",IF(Main[[#This Row],[Class]]="C",WORKDAY(Main[[#This Row],[Tech Start Date]],23),IF(Main[[#This Row],[Class]]="B", WORKDAY(Main[[#This Row],[Tech Start Date]],15),IF(Main[[#This Row],[Class]]="A",WORKDAY(Main[[#This Row],[Tech Start Date]],5),""))))</f>
        <v/>
      </c>
      <c r="P1222" s="69" t="str">
        <f>IF(Main[[#This Row],[Tech Start Date]]&lt;1/1/1990,"",IF(Main[[#This Row],[Class]]="C",WORKDAY(Main[[#This Row],[Tech Start Date]],28),IF(Main[[#This Row],[Class]]="B", WORKDAY(Main[[#This Row],[Tech Start Date]],19),IF(Main[[#This Row],[Class]]="A",WORKDAY(Main[[#This Row],[Tech Start Date]],9),""))))</f>
        <v/>
      </c>
      <c r="Q1222" s="67">
        <v>40858</v>
      </c>
      <c r="R1222" s="67"/>
      <c r="S1222" s="65" t="s">
        <v>6</v>
      </c>
      <c r="T1222" s="70" t="s">
        <v>4</v>
      </c>
      <c r="U1222" s="65" t="s">
        <v>7</v>
      </c>
      <c r="V1222" s="65" t="s">
        <v>1920</v>
      </c>
      <c r="W1222" s="65" t="s">
        <v>4</v>
      </c>
      <c r="X1222" s="65" t="s">
        <v>2825</v>
      </c>
      <c r="Y1222" s="65" t="s">
        <v>2938</v>
      </c>
      <c r="Z1222" s="65" t="s">
        <v>4</v>
      </c>
      <c r="AA1222" s="65" t="s">
        <v>2825</v>
      </c>
    </row>
    <row r="1223" spans="1:27" ht="17.45" customHeight="1">
      <c r="A1223" s="131" t="str">
        <f>IF(priority(Main[[#This Row],[Comments]])&lt;&gt;0, priority(Main[[#This Row],[Comments]]),"")</f>
        <v/>
      </c>
      <c r="B1223" s="99" t="s">
        <v>2566</v>
      </c>
      <c r="C1223" s="65" t="s">
        <v>4</v>
      </c>
      <c r="D1223" s="66" t="s">
        <v>2567</v>
      </c>
      <c r="E1223" s="67"/>
      <c r="F1223" s="67"/>
      <c r="G1223" s="64" t="str">
        <f>IF(stdProdLT(Main[[#This Row],[Comments]])=0.1,"N/A",IF(stdProdLT(Main[[#This Row],[Comments]])=0,"",stdProdLT(Main[[#This Row],[Comments]])))</f>
        <v/>
      </c>
      <c r="H1223" s="68" t="str">
        <f>IF(AND(Main[[#This Row],[In Stock Date]]&lt;&gt;"",Main[[#This Row],[Revised Due Date]]&lt;&gt;""),Main[[#This Row],[In Stock Date]]-Main[[#This Row],[Revised Due Date]],"")</f>
        <v/>
      </c>
      <c r="I1223" s="65" t="s">
        <v>4</v>
      </c>
      <c r="J1223" s="65" t="s">
        <v>4</v>
      </c>
      <c r="K1223" s="65" t="s">
        <v>4</v>
      </c>
      <c r="L1223" s="67"/>
      <c r="M1223" s="69" t="str">
        <f>IF(Main[[#This Row],[Tech Start Date]]&lt;1/1/1990,"",IF(Main[[#This Row],[Class]]="C",WORKDAY(Main[[#This Row],[Tech Start Date]],9),IF(Main[[#This Row],[Class]]="B", WORKDAY(Main[[#This Row],[Tech Start Date]],6),IF(Main[[#This Row],[Class]]="A",WORKDAY(Main[[#This Row],[Tech Start Date]],2),""))))</f>
        <v/>
      </c>
      <c r="N1223" s="69" t="str">
        <f>IF(Main[[#This Row],[Tech Start Date]]&lt;1/1/1990,"",IF(Main[[#This Row],[Class]]="C",WORKDAY(Main[[#This Row],[Tech Start Date]],19),IF(Main[[#This Row],[Class]]="B", WORKDAY(Main[[#This Row],[Tech Start Date]],12),IF(Main[[#This Row],[Class]]="A",WORKDAY(Main[[#This Row],[Tech Start Date]],4),""))))</f>
        <v/>
      </c>
      <c r="O1223" s="69" t="str">
        <f>IF(Main[[#This Row],[Tech Start Date]]&lt;1/1/1990,"",IF(Main[[#This Row],[Class]]="C",WORKDAY(Main[[#This Row],[Tech Start Date]],23),IF(Main[[#This Row],[Class]]="B", WORKDAY(Main[[#This Row],[Tech Start Date]],15),IF(Main[[#This Row],[Class]]="A",WORKDAY(Main[[#This Row],[Tech Start Date]],5),""))))</f>
        <v/>
      </c>
      <c r="P1223" s="69" t="str">
        <f>IF(Main[[#This Row],[Tech Start Date]]&lt;1/1/1990,"",IF(Main[[#This Row],[Class]]="C",WORKDAY(Main[[#This Row],[Tech Start Date]],28),IF(Main[[#This Row],[Class]]="B", WORKDAY(Main[[#This Row],[Tech Start Date]],19),IF(Main[[#This Row],[Class]]="A",WORKDAY(Main[[#This Row],[Tech Start Date]],9),""))))</f>
        <v/>
      </c>
      <c r="Q1223" s="67"/>
      <c r="R1223" s="67"/>
      <c r="S1223" s="65" t="s">
        <v>11</v>
      </c>
      <c r="T1223" s="70" t="s">
        <v>4</v>
      </c>
      <c r="U1223" s="65" t="s">
        <v>14</v>
      </c>
      <c r="V1223" s="65" t="s">
        <v>1918</v>
      </c>
      <c r="W1223" s="65" t="s">
        <v>4</v>
      </c>
      <c r="X1223" s="65" t="s">
        <v>2254</v>
      </c>
      <c r="Y1223" s="65" t="s">
        <v>4</v>
      </c>
      <c r="Z1223" s="65" t="s">
        <v>4</v>
      </c>
      <c r="AA1223" s="65" t="s">
        <v>4</v>
      </c>
    </row>
    <row r="1224" spans="1:27" ht="17.45" customHeight="1">
      <c r="A1224" s="131" t="str">
        <f>IF(priority(Main[[#This Row],[Comments]])&lt;&gt;0, priority(Main[[#This Row],[Comments]]),"")</f>
        <v/>
      </c>
      <c r="B1224" s="99" t="s">
        <v>1701</v>
      </c>
      <c r="C1224" s="65" t="s">
        <v>4</v>
      </c>
      <c r="D1224" s="66" t="s">
        <v>2116</v>
      </c>
      <c r="E1224" s="67"/>
      <c r="F1224" s="67"/>
      <c r="G1224" s="64" t="str">
        <f>IF(stdProdLT(Main[[#This Row],[Comments]])=0.1,"N/A",IF(stdProdLT(Main[[#This Row],[Comments]])=0,"",stdProdLT(Main[[#This Row],[Comments]])))</f>
        <v/>
      </c>
      <c r="H1224" s="68" t="str">
        <f>IF(AND(Main[[#This Row],[In Stock Date]]&lt;&gt;"",Main[[#This Row],[Revised Due Date]]&lt;&gt;""),Main[[#This Row],[In Stock Date]]-Main[[#This Row],[Revised Due Date]],"")</f>
        <v/>
      </c>
      <c r="I1224" s="65" t="s">
        <v>69</v>
      </c>
      <c r="J1224" s="65" t="s">
        <v>70</v>
      </c>
      <c r="K1224" s="71" t="s">
        <v>1926</v>
      </c>
      <c r="L1224" s="67"/>
      <c r="M1224" s="69" t="str">
        <f>IF(Main[[#This Row],[Tech Start Date]]&lt;1/1/1990,"",IF(Main[[#This Row],[Class]]="C",WORKDAY(Main[[#This Row],[Tech Start Date]],9),IF(Main[[#This Row],[Class]]="B", WORKDAY(Main[[#This Row],[Tech Start Date]],6),IF(Main[[#This Row],[Class]]="A",WORKDAY(Main[[#This Row],[Tech Start Date]],2),""))))</f>
        <v/>
      </c>
      <c r="N1224" s="69" t="str">
        <f>IF(Main[[#This Row],[Tech Start Date]]&lt;1/1/1990,"",IF(Main[[#This Row],[Class]]="C",WORKDAY(Main[[#This Row],[Tech Start Date]],19),IF(Main[[#This Row],[Class]]="B", WORKDAY(Main[[#This Row],[Tech Start Date]],12),IF(Main[[#This Row],[Class]]="A",WORKDAY(Main[[#This Row],[Tech Start Date]],4),""))))</f>
        <v/>
      </c>
      <c r="O1224" s="69" t="str">
        <f>IF(Main[[#This Row],[Tech Start Date]]&lt;1/1/1990,"",IF(Main[[#This Row],[Class]]="C",WORKDAY(Main[[#This Row],[Tech Start Date]],23),IF(Main[[#This Row],[Class]]="B", WORKDAY(Main[[#This Row],[Tech Start Date]],15),IF(Main[[#This Row],[Class]]="A",WORKDAY(Main[[#This Row],[Tech Start Date]],5),""))))</f>
        <v/>
      </c>
      <c r="P1224" s="69" t="str">
        <f>IF(Main[[#This Row],[Tech Start Date]]&lt;1/1/1990,"",IF(Main[[#This Row],[Class]]="C",WORKDAY(Main[[#This Row],[Tech Start Date]],28),IF(Main[[#This Row],[Class]]="B", WORKDAY(Main[[#This Row],[Tech Start Date]],19),IF(Main[[#This Row],[Class]]="A",WORKDAY(Main[[#This Row],[Tech Start Date]],9),""))))</f>
        <v/>
      </c>
      <c r="Q1224" s="67">
        <v>40816</v>
      </c>
      <c r="R1224" s="67"/>
      <c r="S1224" s="65" t="s">
        <v>6</v>
      </c>
      <c r="T1224" s="70" t="s">
        <v>4</v>
      </c>
      <c r="U1224" s="65" t="s">
        <v>14</v>
      </c>
      <c r="V1224" s="65" t="s">
        <v>1920</v>
      </c>
      <c r="W1224" s="65" t="s">
        <v>1922</v>
      </c>
      <c r="X1224" s="65" t="s">
        <v>530</v>
      </c>
      <c r="Y1224" s="65" t="s">
        <v>4</v>
      </c>
      <c r="Z1224" s="65" t="s">
        <v>30</v>
      </c>
      <c r="AA1224" s="65" t="s">
        <v>530</v>
      </c>
    </row>
    <row r="1225" spans="1:27" ht="17.45" customHeight="1">
      <c r="A1225" s="131" t="str">
        <f>IF(priority(Main[[#This Row],[Comments]])&lt;&gt;0, priority(Main[[#This Row],[Comments]]),"")</f>
        <v/>
      </c>
      <c r="B1225" s="99" t="s">
        <v>3521</v>
      </c>
      <c r="C1225" s="65" t="s">
        <v>4</v>
      </c>
      <c r="D1225" s="66" t="s">
        <v>3728</v>
      </c>
      <c r="E1225" s="67">
        <v>40942.690023148149</v>
      </c>
      <c r="F1225" s="67"/>
      <c r="G1225" s="64" t="str">
        <f>IF(stdProdLT(Main[[#This Row],[Comments]])=0.1,"N/A",IF(stdProdLT(Main[[#This Row],[Comments]])=0,"",stdProdLT(Main[[#This Row],[Comments]])))</f>
        <v/>
      </c>
      <c r="H1225" s="68" t="str">
        <f>IF(AND(Main[[#This Row],[In Stock Date]]&lt;&gt;"",Main[[#This Row],[Revised Due Date]]&lt;&gt;""),Main[[#This Row],[In Stock Date]]-Main[[#This Row],[Revised Due Date]],"")</f>
        <v/>
      </c>
      <c r="I1225" s="65" t="s">
        <v>69</v>
      </c>
      <c r="J1225" s="65" t="s">
        <v>70</v>
      </c>
      <c r="K1225" s="65" t="s">
        <v>1926</v>
      </c>
      <c r="L1225" s="67"/>
      <c r="M1225" s="69" t="str">
        <f>IF(Main[[#This Row],[Tech Start Date]]&lt;1/1/1990,"",IF(Main[[#This Row],[Class]]="C",WORKDAY(Main[[#This Row],[Tech Start Date]],9),IF(Main[[#This Row],[Class]]="B", WORKDAY(Main[[#This Row],[Tech Start Date]],6),IF(Main[[#This Row],[Class]]="A",WORKDAY(Main[[#This Row],[Tech Start Date]],2),""))))</f>
        <v/>
      </c>
      <c r="N1225" s="69" t="str">
        <f>IF(Main[[#This Row],[Tech Start Date]]&lt;1/1/1990,"",IF(Main[[#This Row],[Class]]="C",WORKDAY(Main[[#This Row],[Tech Start Date]],19),IF(Main[[#This Row],[Class]]="B", WORKDAY(Main[[#This Row],[Tech Start Date]],12),IF(Main[[#This Row],[Class]]="A",WORKDAY(Main[[#This Row],[Tech Start Date]],4),""))))</f>
        <v/>
      </c>
      <c r="O1225" s="69" t="str">
        <f>IF(Main[[#This Row],[Tech Start Date]]&lt;1/1/1990,"",IF(Main[[#This Row],[Class]]="C",WORKDAY(Main[[#This Row],[Tech Start Date]],23),IF(Main[[#This Row],[Class]]="B", WORKDAY(Main[[#This Row],[Tech Start Date]],15),IF(Main[[#This Row],[Class]]="A",WORKDAY(Main[[#This Row],[Tech Start Date]],5),""))))</f>
        <v/>
      </c>
      <c r="P1225" s="69" t="str">
        <f>IF(Main[[#This Row],[Tech Start Date]]&lt;1/1/1990,"",IF(Main[[#This Row],[Class]]="C",WORKDAY(Main[[#This Row],[Tech Start Date]],28),IF(Main[[#This Row],[Class]]="B", WORKDAY(Main[[#This Row],[Tech Start Date]],19),IF(Main[[#This Row],[Class]]="A",WORKDAY(Main[[#This Row],[Tech Start Date]],9),""))))</f>
        <v/>
      </c>
      <c r="Q1225" s="67">
        <v>40970</v>
      </c>
      <c r="R1225" s="67"/>
      <c r="S1225" s="65" t="s">
        <v>6</v>
      </c>
      <c r="T1225" s="70" t="s">
        <v>4</v>
      </c>
      <c r="U1225" s="65" t="s">
        <v>29</v>
      </c>
      <c r="V1225" s="65" t="s">
        <v>1920</v>
      </c>
      <c r="W1225" s="65" t="s">
        <v>1921</v>
      </c>
      <c r="X1225" s="65" t="s">
        <v>2825</v>
      </c>
      <c r="Y1225" s="65" t="s">
        <v>2938</v>
      </c>
      <c r="Z1225" s="65" t="s">
        <v>30</v>
      </c>
      <c r="AA1225" s="65" t="s">
        <v>2825</v>
      </c>
    </row>
    <row r="1226" spans="1:27" ht="17.45" customHeight="1">
      <c r="A1226" s="131" t="str">
        <f>IF(priority(Main[[#This Row],[Comments]])&lt;&gt;0, priority(Main[[#This Row],[Comments]]),"")</f>
        <v/>
      </c>
      <c r="B1226" s="99" t="s">
        <v>2292</v>
      </c>
      <c r="C1226" s="65" t="s">
        <v>4</v>
      </c>
      <c r="D1226" s="66" t="s">
        <v>2571</v>
      </c>
      <c r="E1226" s="67"/>
      <c r="F1226" s="67"/>
      <c r="G1226" s="64" t="str">
        <f>IF(stdProdLT(Main[[#This Row],[Comments]])=0.1,"N/A",IF(stdProdLT(Main[[#This Row],[Comments]])=0,"",stdProdLT(Main[[#This Row],[Comments]])))</f>
        <v/>
      </c>
      <c r="H1226" s="68" t="str">
        <f>IF(AND(Main[[#This Row],[In Stock Date]]&lt;&gt;"",Main[[#This Row],[Revised Due Date]]&lt;&gt;""),Main[[#This Row],[In Stock Date]]-Main[[#This Row],[Revised Due Date]],"")</f>
        <v/>
      </c>
      <c r="I1226" s="65" t="s">
        <v>2211</v>
      </c>
      <c r="J1226" s="65" t="s">
        <v>75</v>
      </c>
      <c r="K1226" s="65" t="s">
        <v>1926</v>
      </c>
      <c r="L1226" s="67"/>
      <c r="M1226" s="69" t="str">
        <f>IF(Main[[#This Row],[Tech Start Date]]&lt;1/1/1990,"",IF(Main[[#This Row],[Class]]="C",WORKDAY(Main[[#This Row],[Tech Start Date]],9),IF(Main[[#This Row],[Class]]="B", WORKDAY(Main[[#This Row],[Tech Start Date]],6),IF(Main[[#This Row],[Class]]="A",WORKDAY(Main[[#This Row],[Tech Start Date]],2),""))))</f>
        <v/>
      </c>
      <c r="N1226" s="69" t="str">
        <f>IF(Main[[#This Row],[Tech Start Date]]&lt;1/1/1990,"",IF(Main[[#This Row],[Class]]="C",WORKDAY(Main[[#This Row],[Tech Start Date]],19),IF(Main[[#This Row],[Class]]="B", WORKDAY(Main[[#This Row],[Tech Start Date]],12),IF(Main[[#This Row],[Class]]="A",WORKDAY(Main[[#This Row],[Tech Start Date]],4),""))))</f>
        <v/>
      </c>
      <c r="O1226" s="69" t="str">
        <f>IF(Main[[#This Row],[Tech Start Date]]&lt;1/1/1990,"",IF(Main[[#This Row],[Class]]="C",WORKDAY(Main[[#This Row],[Tech Start Date]],23),IF(Main[[#This Row],[Class]]="B", WORKDAY(Main[[#This Row],[Tech Start Date]],15),IF(Main[[#This Row],[Class]]="A",WORKDAY(Main[[#This Row],[Tech Start Date]],5),""))))</f>
        <v/>
      </c>
      <c r="P1226" s="69" t="str">
        <f>IF(Main[[#This Row],[Tech Start Date]]&lt;1/1/1990,"",IF(Main[[#This Row],[Class]]="C",WORKDAY(Main[[#This Row],[Tech Start Date]],28),IF(Main[[#This Row],[Class]]="B", WORKDAY(Main[[#This Row],[Tech Start Date]],19),IF(Main[[#This Row],[Class]]="A",WORKDAY(Main[[#This Row],[Tech Start Date]],9),""))))</f>
        <v/>
      </c>
      <c r="Q1226" s="67"/>
      <c r="R1226" s="67"/>
      <c r="S1226" s="65" t="s">
        <v>6</v>
      </c>
      <c r="T1226" s="70" t="s">
        <v>4</v>
      </c>
      <c r="U1226" s="65" t="s">
        <v>14</v>
      </c>
      <c r="V1226" s="65" t="s">
        <v>1927</v>
      </c>
      <c r="W1226" s="65" t="s">
        <v>1921</v>
      </c>
      <c r="X1226" s="65" t="s">
        <v>2211</v>
      </c>
      <c r="Y1226" s="65" t="s">
        <v>3133</v>
      </c>
      <c r="Z1226" s="65" t="s">
        <v>306</v>
      </c>
      <c r="AA1226" s="65" t="s">
        <v>2211</v>
      </c>
    </row>
    <row r="1227" spans="1:27" ht="17.45" customHeight="1">
      <c r="A1227" s="131" t="str">
        <f>IF(priority(Main[[#This Row],[Comments]])&lt;&gt;0, priority(Main[[#This Row],[Comments]]),"")</f>
        <v/>
      </c>
      <c r="B1227" s="99" t="s">
        <v>1593</v>
      </c>
      <c r="C1227" s="65" t="s">
        <v>4</v>
      </c>
      <c r="D1227" s="66" t="s">
        <v>669</v>
      </c>
      <c r="E1227" s="67"/>
      <c r="F1227" s="67"/>
      <c r="G1227" s="64" t="str">
        <f>IF(stdProdLT(Main[[#This Row],[Comments]])=0.1,"N/A",IF(stdProdLT(Main[[#This Row],[Comments]])=0,"",stdProdLT(Main[[#This Row],[Comments]])))</f>
        <v/>
      </c>
      <c r="H1227" s="68" t="str">
        <f>IF(AND(Main[[#This Row],[In Stock Date]]&lt;&gt;"",Main[[#This Row],[Revised Due Date]]&lt;&gt;""),Main[[#This Row],[In Stock Date]]-Main[[#This Row],[Revised Due Date]],"")</f>
        <v/>
      </c>
      <c r="I1227" s="65" t="s">
        <v>4</v>
      </c>
      <c r="J1227" s="65" t="s">
        <v>4</v>
      </c>
      <c r="K1227" s="71" t="s">
        <v>4</v>
      </c>
      <c r="L1227" s="67"/>
      <c r="M1227" s="69" t="str">
        <f>IF(Main[[#This Row],[Tech Start Date]]&lt;1/1/1990,"",IF(Main[[#This Row],[Class]]="C",WORKDAY(Main[[#This Row],[Tech Start Date]],9),IF(Main[[#This Row],[Class]]="B", WORKDAY(Main[[#This Row],[Tech Start Date]],6),IF(Main[[#This Row],[Class]]="A",WORKDAY(Main[[#This Row],[Tech Start Date]],2),""))))</f>
        <v/>
      </c>
      <c r="N1227" s="69" t="str">
        <f>IF(Main[[#This Row],[Tech Start Date]]&lt;1/1/1990,"",IF(Main[[#This Row],[Class]]="C",WORKDAY(Main[[#This Row],[Tech Start Date]],19),IF(Main[[#This Row],[Class]]="B", WORKDAY(Main[[#This Row],[Tech Start Date]],12),IF(Main[[#This Row],[Class]]="A",WORKDAY(Main[[#This Row],[Tech Start Date]],4),""))))</f>
        <v/>
      </c>
      <c r="O1227" s="69" t="str">
        <f>IF(Main[[#This Row],[Tech Start Date]]&lt;1/1/1990,"",IF(Main[[#This Row],[Class]]="C",WORKDAY(Main[[#This Row],[Tech Start Date]],23),IF(Main[[#This Row],[Class]]="B", WORKDAY(Main[[#This Row],[Tech Start Date]],15),IF(Main[[#This Row],[Class]]="A",WORKDAY(Main[[#This Row],[Tech Start Date]],5),""))))</f>
        <v/>
      </c>
      <c r="P1227" s="69" t="str">
        <f>IF(Main[[#This Row],[Tech Start Date]]&lt;1/1/1990,"",IF(Main[[#This Row],[Class]]="C",WORKDAY(Main[[#This Row],[Tech Start Date]],28),IF(Main[[#This Row],[Class]]="B", WORKDAY(Main[[#This Row],[Tech Start Date]],19),IF(Main[[#This Row],[Class]]="A",WORKDAY(Main[[#This Row],[Tech Start Date]],9),""))))</f>
        <v/>
      </c>
      <c r="Q1227" s="67"/>
      <c r="R1227" s="67"/>
      <c r="S1227" s="65" t="s">
        <v>6</v>
      </c>
      <c r="T1227" s="70" t="s">
        <v>4</v>
      </c>
      <c r="U1227" s="65" t="s">
        <v>14</v>
      </c>
      <c r="V1227" s="65" t="s">
        <v>1917</v>
      </c>
      <c r="W1227" s="65" t="s">
        <v>1925</v>
      </c>
      <c r="X1227" s="65" t="s">
        <v>2055</v>
      </c>
      <c r="Y1227" s="65" t="s">
        <v>3008</v>
      </c>
      <c r="Z1227" s="65" t="s">
        <v>4</v>
      </c>
      <c r="AA1227" s="65" t="s">
        <v>2055</v>
      </c>
    </row>
    <row r="1228" spans="1:27" ht="17.45" customHeight="1">
      <c r="A1228" s="131" t="str">
        <f>IF(priority(Main[[#This Row],[Comments]])&lt;&gt;0, priority(Main[[#This Row],[Comments]]),"")</f>
        <v/>
      </c>
      <c r="B1228" s="99" t="s">
        <v>2670</v>
      </c>
      <c r="C1228" s="65" t="s">
        <v>4</v>
      </c>
      <c r="D1228" s="66" t="s">
        <v>2671</v>
      </c>
      <c r="E1228" s="67"/>
      <c r="F1228" s="67"/>
      <c r="G1228" s="64" t="str">
        <f>IF(stdProdLT(Main[[#This Row],[Comments]])=0.1,"N/A",IF(stdProdLT(Main[[#This Row],[Comments]])=0,"",stdProdLT(Main[[#This Row],[Comments]])))</f>
        <v/>
      </c>
      <c r="H1228" s="68" t="str">
        <f>IF(AND(Main[[#This Row],[In Stock Date]]&lt;&gt;"",Main[[#This Row],[Revised Due Date]]&lt;&gt;""),Main[[#This Row],[In Stock Date]]-Main[[#This Row],[Revised Due Date]],"")</f>
        <v/>
      </c>
      <c r="I1228" s="65" t="s">
        <v>4</v>
      </c>
      <c r="J1228" s="65" t="s">
        <v>4</v>
      </c>
      <c r="K1228" s="65" t="s">
        <v>4</v>
      </c>
      <c r="L1228" s="67"/>
      <c r="M1228" s="69" t="str">
        <f>IF(Main[[#This Row],[Tech Start Date]]&lt;1/1/1990,"",IF(Main[[#This Row],[Class]]="C",WORKDAY(Main[[#This Row],[Tech Start Date]],9),IF(Main[[#This Row],[Class]]="B", WORKDAY(Main[[#This Row],[Tech Start Date]],6),IF(Main[[#This Row],[Class]]="A",WORKDAY(Main[[#This Row],[Tech Start Date]],2),""))))</f>
        <v/>
      </c>
      <c r="N1228" s="69" t="str">
        <f>IF(Main[[#This Row],[Tech Start Date]]&lt;1/1/1990,"",IF(Main[[#This Row],[Class]]="C",WORKDAY(Main[[#This Row],[Tech Start Date]],19),IF(Main[[#This Row],[Class]]="B", WORKDAY(Main[[#This Row],[Tech Start Date]],12),IF(Main[[#This Row],[Class]]="A",WORKDAY(Main[[#This Row],[Tech Start Date]],4),""))))</f>
        <v/>
      </c>
      <c r="O1228" s="69" t="str">
        <f>IF(Main[[#This Row],[Tech Start Date]]&lt;1/1/1990,"",IF(Main[[#This Row],[Class]]="C",WORKDAY(Main[[#This Row],[Tech Start Date]],23),IF(Main[[#This Row],[Class]]="B", WORKDAY(Main[[#This Row],[Tech Start Date]],15),IF(Main[[#This Row],[Class]]="A",WORKDAY(Main[[#This Row],[Tech Start Date]],5),""))))</f>
        <v/>
      </c>
      <c r="P1228" s="69" t="str">
        <f>IF(Main[[#This Row],[Tech Start Date]]&lt;1/1/1990,"",IF(Main[[#This Row],[Class]]="C",WORKDAY(Main[[#This Row],[Tech Start Date]],28),IF(Main[[#This Row],[Class]]="B", WORKDAY(Main[[#This Row],[Tech Start Date]],19),IF(Main[[#This Row],[Class]]="A",WORKDAY(Main[[#This Row],[Tech Start Date]],9),""))))</f>
        <v/>
      </c>
      <c r="Q1228" s="67"/>
      <c r="R1228" s="67"/>
      <c r="S1228" s="65" t="s">
        <v>11</v>
      </c>
      <c r="T1228" s="70" t="s">
        <v>4</v>
      </c>
      <c r="U1228" s="65" t="s">
        <v>14</v>
      </c>
      <c r="V1228" s="65" t="s">
        <v>1927</v>
      </c>
      <c r="W1228" s="65" t="s">
        <v>1925</v>
      </c>
      <c r="X1228" s="65" t="s">
        <v>2863</v>
      </c>
      <c r="Y1228" s="65" t="s">
        <v>3004</v>
      </c>
      <c r="Z1228" s="65" t="s">
        <v>4</v>
      </c>
      <c r="AA1228" s="65" t="s">
        <v>2863</v>
      </c>
    </row>
    <row r="1229" spans="1:27" ht="17.45" customHeight="1">
      <c r="A1229" s="131" t="str">
        <f>IF(priority(Main[[#This Row],[Comments]])&lt;&gt;0, priority(Main[[#This Row],[Comments]]),"")</f>
        <v/>
      </c>
      <c r="B1229" s="99" t="s">
        <v>2372</v>
      </c>
      <c r="C1229" s="65" t="s">
        <v>4</v>
      </c>
      <c r="D1229" s="66" t="s">
        <v>2373</v>
      </c>
      <c r="E1229" s="67">
        <v>40856.690810185188</v>
      </c>
      <c r="F1229" s="67"/>
      <c r="G1229" s="64" t="str">
        <f>IF(stdProdLT(Main[[#This Row],[Comments]])=0.1,"N/A",IF(stdProdLT(Main[[#This Row],[Comments]])=0,"",stdProdLT(Main[[#This Row],[Comments]])))</f>
        <v/>
      </c>
      <c r="H1229" s="68" t="str">
        <f>IF(AND(Main[[#This Row],[In Stock Date]]&lt;&gt;"",Main[[#This Row],[Revised Due Date]]&lt;&gt;""),Main[[#This Row],[In Stock Date]]-Main[[#This Row],[Revised Due Date]],"")</f>
        <v/>
      </c>
      <c r="I1229" s="65" t="s">
        <v>4</v>
      </c>
      <c r="J1229" s="65" t="s">
        <v>4</v>
      </c>
      <c r="K1229" s="71" t="s">
        <v>4</v>
      </c>
      <c r="L1229" s="67"/>
      <c r="M1229" s="69" t="str">
        <f>IF(Main[[#This Row],[Tech Start Date]]&lt;1/1/1990,"",IF(Main[[#This Row],[Class]]="C",WORKDAY(Main[[#This Row],[Tech Start Date]],9),IF(Main[[#This Row],[Class]]="B", WORKDAY(Main[[#This Row],[Tech Start Date]],6),IF(Main[[#This Row],[Class]]="A",WORKDAY(Main[[#This Row],[Tech Start Date]],2),""))))</f>
        <v/>
      </c>
      <c r="N1229" s="69" t="str">
        <f>IF(Main[[#This Row],[Tech Start Date]]&lt;1/1/1990,"",IF(Main[[#This Row],[Class]]="C",WORKDAY(Main[[#This Row],[Tech Start Date]],19),IF(Main[[#This Row],[Class]]="B", WORKDAY(Main[[#This Row],[Tech Start Date]],12),IF(Main[[#This Row],[Class]]="A",WORKDAY(Main[[#This Row],[Tech Start Date]],4),""))))</f>
        <v/>
      </c>
      <c r="O1229" s="69" t="str">
        <f>IF(Main[[#This Row],[Tech Start Date]]&lt;1/1/1990,"",IF(Main[[#This Row],[Class]]="C",WORKDAY(Main[[#This Row],[Tech Start Date]],23),IF(Main[[#This Row],[Class]]="B", WORKDAY(Main[[#This Row],[Tech Start Date]],15),IF(Main[[#This Row],[Class]]="A",WORKDAY(Main[[#This Row],[Tech Start Date]],5),""))))</f>
        <v/>
      </c>
      <c r="P1229" s="69" t="str">
        <f>IF(Main[[#This Row],[Tech Start Date]]&lt;1/1/1990,"",IF(Main[[#This Row],[Class]]="C",WORKDAY(Main[[#This Row],[Tech Start Date]],28),IF(Main[[#This Row],[Class]]="B", WORKDAY(Main[[#This Row],[Tech Start Date]],19),IF(Main[[#This Row],[Class]]="A",WORKDAY(Main[[#This Row],[Tech Start Date]],9),""))))</f>
        <v/>
      </c>
      <c r="Q1229" s="67"/>
      <c r="R1229" s="67"/>
      <c r="S1229" s="65" t="s">
        <v>6</v>
      </c>
      <c r="T1229" s="70" t="s">
        <v>4</v>
      </c>
      <c r="U1229" s="65" t="s">
        <v>7</v>
      </c>
      <c r="V1229" s="65" t="s">
        <v>1917</v>
      </c>
      <c r="W1229" s="65" t="s">
        <v>1921</v>
      </c>
      <c r="X1229" s="65" t="s">
        <v>2823</v>
      </c>
      <c r="Y1229" s="65" t="s">
        <v>3136</v>
      </c>
      <c r="Z1229" s="65" t="s">
        <v>4</v>
      </c>
      <c r="AA1229" s="65" t="s">
        <v>2823</v>
      </c>
    </row>
    <row r="1230" spans="1:27" ht="17.45" customHeight="1">
      <c r="A1230" s="131" t="str">
        <f>IF(priority(Main[[#This Row],[Comments]])&lt;&gt;0, priority(Main[[#This Row],[Comments]]),"")</f>
        <v/>
      </c>
      <c r="B1230" s="99" t="s">
        <v>3729</v>
      </c>
      <c r="C1230" s="65" t="s">
        <v>3730</v>
      </c>
      <c r="D1230" s="66" t="s">
        <v>3731</v>
      </c>
      <c r="E1230" s="67"/>
      <c r="F1230" s="67"/>
      <c r="G1230" s="64" t="str">
        <f>IF(stdProdLT(Main[[#This Row],[Comments]])=0.1,"N/A",IF(stdProdLT(Main[[#This Row],[Comments]])=0,"",stdProdLT(Main[[#This Row],[Comments]])))</f>
        <v/>
      </c>
      <c r="H1230" s="68" t="str">
        <f>IF(AND(Main[[#This Row],[In Stock Date]]&lt;&gt;"",Main[[#This Row],[Revised Due Date]]&lt;&gt;""),Main[[#This Row],[In Stock Date]]-Main[[#This Row],[Revised Due Date]],"")</f>
        <v/>
      </c>
      <c r="I1230" s="65" t="s">
        <v>4</v>
      </c>
      <c r="J1230" s="65" t="s">
        <v>4</v>
      </c>
      <c r="K1230" s="65" t="s">
        <v>4</v>
      </c>
      <c r="L1230" s="67"/>
      <c r="M1230" s="69" t="str">
        <f>IF(Main[[#This Row],[Tech Start Date]]&lt;1/1/1990,"",IF(Main[[#This Row],[Class]]="C",WORKDAY(Main[[#This Row],[Tech Start Date]],9),IF(Main[[#This Row],[Class]]="B", WORKDAY(Main[[#This Row],[Tech Start Date]],6),IF(Main[[#This Row],[Class]]="A",WORKDAY(Main[[#This Row],[Tech Start Date]],2),""))))</f>
        <v/>
      </c>
      <c r="N1230" s="69" t="str">
        <f>IF(Main[[#This Row],[Tech Start Date]]&lt;1/1/1990,"",IF(Main[[#This Row],[Class]]="C",WORKDAY(Main[[#This Row],[Tech Start Date]],19),IF(Main[[#This Row],[Class]]="B", WORKDAY(Main[[#This Row],[Tech Start Date]],12),IF(Main[[#This Row],[Class]]="A",WORKDAY(Main[[#This Row],[Tech Start Date]],4),""))))</f>
        <v/>
      </c>
      <c r="O1230" s="69" t="str">
        <f>IF(Main[[#This Row],[Tech Start Date]]&lt;1/1/1990,"",IF(Main[[#This Row],[Class]]="C",WORKDAY(Main[[#This Row],[Tech Start Date]],23),IF(Main[[#This Row],[Class]]="B", WORKDAY(Main[[#This Row],[Tech Start Date]],15),IF(Main[[#This Row],[Class]]="A",WORKDAY(Main[[#This Row],[Tech Start Date]],5),""))))</f>
        <v/>
      </c>
      <c r="P1230" s="69" t="str">
        <f>IF(Main[[#This Row],[Tech Start Date]]&lt;1/1/1990,"",IF(Main[[#This Row],[Class]]="C",WORKDAY(Main[[#This Row],[Tech Start Date]],28),IF(Main[[#This Row],[Class]]="B", WORKDAY(Main[[#This Row],[Tech Start Date]],19),IF(Main[[#This Row],[Class]]="A",WORKDAY(Main[[#This Row],[Tech Start Date]],9),""))))</f>
        <v/>
      </c>
      <c r="Q1230" s="67">
        <v>40970</v>
      </c>
      <c r="R1230" s="67"/>
      <c r="S1230" s="65" t="s">
        <v>11</v>
      </c>
      <c r="T1230" s="70" t="s">
        <v>4</v>
      </c>
      <c r="U1230" s="65" t="s">
        <v>14</v>
      </c>
      <c r="V1230" s="65" t="s">
        <v>1918</v>
      </c>
      <c r="W1230" s="65" t="s">
        <v>1919</v>
      </c>
      <c r="X1230" s="65" t="s">
        <v>2822</v>
      </c>
      <c r="Y1230" s="65" t="s">
        <v>4</v>
      </c>
      <c r="Z1230" s="65" t="s">
        <v>4</v>
      </c>
      <c r="AA1230" s="65" t="s">
        <v>2822</v>
      </c>
    </row>
    <row r="1231" spans="1:27" ht="17.45" customHeight="1">
      <c r="A1231" s="131" t="str">
        <f>IF(priority(Main[[#This Row],[Comments]])&lt;&gt;0, priority(Main[[#This Row],[Comments]]),"")</f>
        <v/>
      </c>
      <c r="B1231" s="99" t="s">
        <v>3369</v>
      </c>
      <c r="C1231" s="65" t="s">
        <v>47</v>
      </c>
      <c r="D1231" s="66" t="s">
        <v>3370</v>
      </c>
      <c r="E1231" s="67">
        <v>40938.378252314818</v>
      </c>
      <c r="F1231" s="67"/>
      <c r="G1231" s="64" t="str">
        <f>IF(stdProdLT(Main[[#This Row],[Comments]])=0.1,"N/A",IF(stdProdLT(Main[[#This Row],[Comments]])=0,"",stdProdLT(Main[[#This Row],[Comments]])))</f>
        <v/>
      </c>
      <c r="H1231" s="68" t="str">
        <f>IF(AND(Main[[#This Row],[In Stock Date]]&lt;&gt;"",Main[[#This Row],[Revised Due Date]]&lt;&gt;""),Main[[#This Row],[In Stock Date]]-Main[[#This Row],[Revised Due Date]],"")</f>
        <v/>
      </c>
      <c r="I1231" s="65" t="s">
        <v>4</v>
      </c>
      <c r="J1231" s="65" t="s">
        <v>4</v>
      </c>
      <c r="K1231" s="71" t="s">
        <v>4</v>
      </c>
      <c r="L1231" s="67"/>
      <c r="M1231" s="69" t="str">
        <f>IF(Main[[#This Row],[Tech Start Date]]&lt;1/1/1990,"",IF(Main[[#This Row],[Class]]="C",WORKDAY(Main[[#This Row],[Tech Start Date]],9),IF(Main[[#This Row],[Class]]="B", WORKDAY(Main[[#This Row],[Tech Start Date]],6),IF(Main[[#This Row],[Class]]="A",WORKDAY(Main[[#This Row],[Tech Start Date]],2),""))))</f>
        <v/>
      </c>
      <c r="N1231" s="69" t="str">
        <f>IF(Main[[#This Row],[Tech Start Date]]&lt;1/1/1990,"",IF(Main[[#This Row],[Class]]="C",WORKDAY(Main[[#This Row],[Tech Start Date]],19),IF(Main[[#This Row],[Class]]="B", WORKDAY(Main[[#This Row],[Tech Start Date]],12),IF(Main[[#This Row],[Class]]="A",WORKDAY(Main[[#This Row],[Tech Start Date]],4),""))))</f>
        <v/>
      </c>
      <c r="O1231" s="69" t="str">
        <f>IF(Main[[#This Row],[Tech Start Date]]&lt;1/1/1990,"",IF(Main[[#This Row],[Class]]="C",WORKDAY(Main[[#This Row],[Tech Start Date]],23),IF(Main[[#This Row],[Class]]="B", WORKDAY(Main[[#This Row],[Tech Start Date]],15),IF(Main[[#This Row],[Class]]="A",WORKDAY(Main[[#This Row],[Tech Start Date]],5),""))))</f>
        <v/>
      </c>
      <c r="P1231" s="69" t="str">
        <f>IF(Main[[#This Row],[Tech Start Date]]&lt;1/1/1990,"",IF(Main[[#This Row],[Class]]="C",WORKDAY(Main[[#This Row],[Tech Start Date]],28),IF(Main[[#This Row],[Class]]="B", WORKDAY(Main[[#This Row],[Tech Start Date]],19),IF(Main[[#This Row],[Class]]="A",WORKDAY(Main[[#This Row],[Tech Start Date]],9),""))))</f>
        <v/>
      </c>
      <c r="Q1231" s="67">
        <v>40939</v>
      </c>
      <c r="R1231" s="67"/>
      <c r="S1231" s="65" t="s">
        <v>6</v>
      </c>
      <c r="T1231" s="70" t="s">
        <v>4</v>
      </c>
      <c r="U1231" s="65" t="s">
        <v>7</v>
      </c>
      <c r="V1231" s="65" t="s">
        <v>2288</v>
      </c>
      <c r="W1231" s="65" t="s">
        <v>4</v>
      </c>
      <c r="X1231" s="65" t="s">
        <v>2871</v>
      </c>
      <c r="Y1231" s="65" t="s">
        <v>3016</v>
      </c>
      <c r="Z1231" s="65" t="s">
        <v>4</v>
      </c>
      <c r="AA1231" s="65" t="s">
        <v>2871</v>
      </c>
    </row>
    <row r="1232" spans="1:27" ht="17.45" customHeight="1">
      <c r="A1232" s="131" t="str">
        <f>IF(priority(Main[[#This Row],[Comments]])&lt;&gt;0, priority(Main[[#This Row],[Comments]]),"")</f>
        <v/>
      </c>
      <c r="B1232" s="99" t="s">
        <v>3732</v>
      </c>
      <c r="C1232" s="65" t="s">
        <v>3559</v>
      </c>
      <c r="D1232" s="66" t="s">
        <v>3733</v>
      </c>
      <c r="E1232" s="67">
        <v>40967.587476851855</v>
      </c>
      <c r="F1232" s="67"/>
      <c r="G1232" s="64" t="str">
        <f>IF(stdProdLT(Main[[#This Row],[Comments]])=0.1,"N/A",IF(stdProdLT(Main[[#This Row],[Comments]])=0,"",stdProdLT(Main[[#This Row],[Comments]])))</f>
        <v/>
      </c>
      <c r="H1232" s="68" t="str">
        <f>IF(AND(Main[[#This Row],[In Stock Date]]&lt;&gt;"",Main[[#This Row],[Revised Due Date]]&lt;&gt;""),Main[[#This Row],[In Stock Date]]-Main[[#This Row],[Revised Due Date]],"")</f>
        <v/>
      </c>
      <c r="I1232" s="65" t="s">
        <v>4</v>
      </c>
      <c r="J1232" s="65" t="s">
        <v>4</v>
      </c>
      <c r="K1232" s="65" t="s">
        <v>4</v>
      </c>
      <c r="L1232" s="67"/>
      <c r="M1232" s="69" t="str">
        <f>IF(Main[[#This Row],[Tech Start Date]]&lt;1/1/1990,"",IF(Main[[#This Row],[Class]]="C",WORKDAY(Main[[#This Row],[Tech Start Date]],9),IF(Main[[#This Row],[Class]]="B", WORKDAY(Main[[#This Row],[Tech Start Date]],6),IF(Main[[#This Row],[Class]]="A",WORKDAY(Main[[#This Row],[Tech Start Date]],2),""))))</f>
        <v/>
      </c>
      <c r="N1232" s="69" t="str">
        <f>IF(Main[[#This Row],[Tech Start Date]]&lt;1/1/1990,"",IF(Main[[#This Row],[Class]]="C",WORKDAY(Main[[#This Row],[Tech Start Date]],19),IF(Main[[#This Row],[Class]]="B", WORKDAY(Main[[#This Row],[Tech Start Date]],12),IF(Main[[#This Row],[Class]]="A",WORKDAY(Main[[#This Row],[Tech Start Date]],4),""))))</f>
        <v/>
      </c>
      <c r="O1232" s="69" t="str">
        <f>IF(Main[[#This Row],[Tech Start Date]]&lt;1/1/1990,"",IF(Main[[#This Row],[Class]]="C",WORKDAY(Main[[#This Row],[Tech Start Date]],23),IF(Main[[#This Row],[Class]]="B", WORKDAY(Main[[#This Row],[Tech Start Date]],15),IF(Main[[#This Row],[Class]]="A",WORKDAY(Main[[#This Row],[Tech Start Date]],5),""))))</f>
        <v/>
      </c>
      <c r="P1232" s="69" t="str">
        <f>IF(Main[[#This Row],[Tech Start Date]]&lt;1/1/1990,"",IF(Main[[#This Row],[Class]]="C",WORKDAY(Main[[#This Row],[Tech Start Date]],28),IF(Main[[#This Row],[Class]]="B", WORKDAY(Main[[#This Row],[Tech Start Date]],19),IF(Main[[#This Row],[Class]]="A",WORKDAY(Main[[#This Row],[Tech Start Date]],9),""))))</f>
        <v/>
      </c>
      <c r="Q1232" s="67"/>
      <c r="R1232" s="67"/>
      <c r="S1232" s="65" t="s">
        <v>11</v>
      </c>
      <c r="T1232" s="70" t="s">
        <v>4</v>
      </c>
      <c r="U1232" s="65" t="s">
        <v>7</v>
      </c>
      <c r="V1232" s="65" t="s">
        <v>1917</v>
      </c>
      <c r="W1232" s="65" t="s">
        <v>1925</v>
      </c>
      <c r="X1232" s="65" t="s">
        <v>3483</v>
      </c>
      <c r="Y1232" s="65" t="s">
        <v>3498</v>
      </c>
      <c r="Z1232" s="65" t="s">
        <v>4</v>
      </c>
      <c r="AA1232" s="65" t="s">
        <v>3483</v>
      </c>
    </row>
    <row r="1233" spans="1:27" ht="17.45" customHeight="1">
      <c r="A1233" s="131" t="str">
        <f>IF(priority(Main[[#This Row],[Comments]])&lt;&gt;0, priority(Main[[#This Row],[Comments]]),"")</f>
        <v/>
      </c>
      <c r="B1233" s="99" t="s">
        <v>2541</v>
      </c>
      <c r="C1233" s="65" t="s">
        <v>4</v>
      </c>
      <c r="D1233" s="66" t="s">
        <v>3734</v>
      </c>
      <c r="E1233" s="67">
        <v>40861.6484837963</v>
      </c>
      <c r="F1233" s="67"/>
      <c r="G1233" s="64" t="str">
        <f>IF(stdProdLT(Main[[#This Row],[Comments]])=0.1,"N/A",IF(stdProdLT(Main[[#This Row],[Comments]])=0,"",stdProdLT(Main[[#This Row],[Comments]])))</f>
        <v/>
      </c>
      <c r="H1233" s="68" t="str">
        <f>IF(AND(Main[[#This Row],[In Stock Date]]&lt;&gt;"",Main[[#This Row],[Revised Due Date]]&lt;&gt;""),Main[[#This Row],[In Stock Date]]-Main[[#This Row],[Revised Due Date]],"")</f>
        <v/>
      </c>
      <c r="I1233" s="65" t="s">
        <v>4</v>
      </c>
      <c r="J1233" s="65" t="s">
        <v>4</v>
      </c>
      <c r="K1233" s="71" t="s">
        <v>4</v>
      </c>
      <c r="L1233" s="67"/>
      <c r="M1233" s="69" t="str">
        <f>IF(Main[[#This Row],[Tech Start Date]]&lt;1/1/1990,"",IF(Main[[#This Row],[Class]]="C",WORKDAY(Main[[#This Row],[Tech Start Date]],9),IF(Main[[#This Row],[Class]]="B", WORKDAY(Main[[#This Row],[Tech Start Date]],6),IF(Main[[#This Row],[Class]]="A",WORKDAY(Main[[#This Row],[Tech Start Date]],2),""))))</f>
        <v/>
      </c>
      <c r="N1233" s="69" t="str">
        <f>IF(Main[[#This Row],[Tech Start Date]]&lt;1/1/1990,"",IF(Main[[#This Row],[Class]]="C",WORKDAY(Main[[#This Row],[Tech Start Date]],19),IF(Main[[#This Row],[Class]]="B", WORKDAY(Main[[#This Row],[Tech Start Date]],12),IF(Main[[#This Row],[Class]]="A",WORKDAY(Main[[#This Row],[Tech Start Date]],4),""))))</f>
        <v/>
      </c>
      <c r="O1233" s="69" t="str">
        <f>IF(Main[[#This Row],[Tech Start Date]]&lt;1/1/1990,"",IF(Main[[#This Row],[Class]]="C",WORKDAY(Main[[#This Row],[Tech Start Date]],23),IF(Main[[#This Row],[Class]]="B", WORKDAY(Main[[#This Row],[Tech Start Date]],15),IF(Main[[#This Row],[Class]]="A",WORKDAY(Main[[#This Row],[Tech Start Date]],5),""))))</f>
        <v/>
      </c>
      <c r="P1233" s="69" t="str">
        <f>IF(Main[[#This Row],[Tech Start Date]]&lt;1/1/1990,"",IF(Main[[#This Row],[Class]]="C",WORKDAY(Main[[#This Row],[Tech Start Date]],28),IF(Main[[#This Row],[Class]]="B", WORKDAY(Main[[#This Row],[Tech Start Date]],19),IF(Main[[#This Row],[Class]]="A",WORKDAY(Main[[#This Row],[Tech Start Date]],9),""))))</f>
        <v/>
      </c>
      <c r="Q1233" s="67">
        <v>41372</v>
      </c>
      <c r="R1233" s="67"/>
      <c r="S1233" s="65" t="s">
        <v>17</v>
      </c>
      <c r="T1233" s="70" t="s">
        <v>4</v>
      </c>
      <c r="U1233" s="65" t="s">
        <v>29</v>
      </c>
      <c r="V1233" s="65" t="s">
        <v>1920</v>
      </c>
      <c r="W1233" s="65" t="s">
        <v>1922</v>
      </c>
      <c r="X1233" s="65" t="s">
        <v>654</v>
      </c>
      <c r="Y1233" s="65" t="s">
        <v>3132</v>
      </c>
      <c r="Z1233" s="65" t="s">
        <v>4</v>
      </c>
      <c r="AA1233" s="65" t="s">
        <v>654</v>
      </c>
    </row>
    <row r="1234" spans="1:27" ht="17.45" customHeight="1">
      <c r="A1234" s="131" t="str">
        <f>IF(priority(Main[[#This Row],[Comments]])&lt;&gt;0, priority(Main[[#This Row],[Comments]]),"")</f>
        <v/>
      </c>
      <c r="B1234" s="99" t="s">
        <v>3499</v>
      </c>
      <c r="C1234" s="65" t="s">
        <v>4</v>
      </c>
      <c r="D1234" s="66" t="s">
        <v>3500</v>
      </c>
      <c r="E1234" s="67">
        <v>40941.350555555553</v>
      </c>
      <c r="F1234" s="67"/>
      <c r="G1234" s="64" t="str">
        <f>IF(stdProdLT(Main[[#This Row],[Comments]])=0.1,"N/A",IF(stdProdLT(Main[[#This Row],[Comments]])=0,"",stdProdLT(Main[[#This Row],[Comments]])))</f>
        <v/>
      </c>
      <c r="H1234" s="68" t="str">
        <f>IF(AND(Main[[#This Row],[In Stock Date]]&lt;&gt;"",Main[[#This Row],[Revised Due Date]]&lt;&gt;""),Main[[#This Row],[In Stock Date]]-Main[[#This Row],[Revised Due Date]],"")</f>
        <v/>
      </c>
      <c r="I1234" s="65" t="s">
        <v>4</v>
      </c>
      <c r="J1234" s="65" t="s">
        <v>4</v>
      </c>
      <c r="K1234" s="65" t="s">
        <v>4</v>
      </c>
      <c r="L1234" s="67"/>
      <c r="M1234" s="69" t="str">
        <f>IF(Main[[#This Row],[Tech Start Date]]&lt;1/1/1990,"",IF(Main[[#This Row],[Class]]="C",WORKDAY(Main[[#This Row],[Tech Start Date]],9),IF(Main[[#This Row],[Class]]="B", WORKDAY(Main[[#This Row],[Tech Start Date]],6),IF(Main[[#This Row],[Class]]="A",WORKDAY(Main[[#This Row],[Tech Start Date]],2),""))))</f>
        <v/>
      </c>
      <c r="N1234" s="69" t="str">
        <f>IF(Main[[#This Row],[Tech Start Date]]&lt;1/1/1990,"",IF(Main[[#This Row],[Class]]="C",WORKDAY(Main[[#This Row],[Tech Start Date]],19),IF(Main[[#This Row],[Class]]="B", WORKDAY(Main[[#This Row],[Tech Start Date]],12),IF(Main[[#This Row],[Class]]="A",WORKDAY(Main[[#This Row],[Tech Start Date]],4),""))))</f>
        <v/>
      </c>
      <c r="O1234" s="69" t="str">
        <f>IF(Main[[#This Row],[Tech Start Date]]&lt;1/1/1990,"",IF(Main[[#This Row],[Class]]="C",WORKDAY(Main[[#This Row],[Tech Start Date]],23),IF(Main[[#This Row],[Class]]="B", WORKDAY(Main[[#This Row],[Tech Start Date]],15),IF(Main[[#This Row],[Class]]="A",WORKDAY(Main[[#This Row],[Tech Start Date]],5),""))))</f>
        <v/>
      </c>
      <c r="P1234" s="69" t="str">
        <f>IF(Main[[#This Row],[Tech Start Date]]&lt;1/1/1990,"",IF(Main[[#This Row],[Class]]="C",WORKDAY(Main[[#This Row],[Tech Start Date]],28),IF(Main[[#This Row],[Class]]="B", WORKDAY(Main[[#This Row],[Tech Start Date]],19),IF(Main[[#This Row],[Class]]="A",WORKDAY(Main[[#This Row],[Tech Start Date]],9),""))))</f>
        <v/>
      </c>
      <c r="Q1234" s="67"/>
      <c r="R1234" s="67"/>
      <c r="S1234" s="65" t="s">
        <v>6</v>
      </c>
      <c r="T1234" s="70" t="s">
        <v>4</v>
      </c>
      <c r="U1234" s="65" t="s">
        <v>29</v>
      </c>
      <c r="V1234" s="65" t="s">
        <v>1920</v>
      </c>
      <c r="W1234" s="65" t="s">
        <v>4</v>
      </c>
      <c r="X1234" s="65" t="s">
        <v>2828</v>
      </c>
      <c r="Y1234" s="65" t="s">
        <v>2944</v>
      </c>
      <c r="Z1234" s="65" t="s">
        <v>4</v>
      </c>
      <c r="AA1234" s="65" t="s">
        <v>2828</v>
      </c>
    </row>
    <row r="1235" spans="1:27" ht="17.45" customHeight="1">
      <c r="A1235" s="131" t="str">
        <f>IF(priority(Main[[#This Row],[Comments]])&lt;&gt;0, priority(Main[[#This Row],[Comments]]),"")</f>
        <v/>
      </c>
      <c r="B1235" s="99" t="s">
        <v>1585</v>
      </c>
      <c r="C1235" s="65" t="s">
        <v>4</v>
      </c>
      <c r="D1235" s="66" t="s">
        <v>2681</v>
      </c>
      <c r="E1235" s="67">
        <v>40455.90111111111</v>
      </c>
      <c r="F1235" s="67"/>
      <c r="G1235" s="64" t="str">
        <f>IF(stdProdLT(Main[[#This Row],[Comments]])=0.1,"N/A",IF(stdProdLT(Main[[#This Row],[Comments]])=0,"",stdProdLT(Main[[#This Row],[Comments]])))</f>
        <v/>
      </c>
      <c r="H1235" s="68" t="str">
        <f>IF(AND(Main[[#This Row],[In Stock Date]]&lt;&gt;"",Main[[#This Row],[Revised Due Date]]&lt;&gt;""),Main[[#This Row],[In Stock Date]]-Main[[#This Row],[Revised Due Date]],"")</f>
        <v/>
      </c>
      <c r="I1235" s="65" t="s">
        <v>4</v>
      </c>
      <c r="J1235" s="65" t="s">
        <v>28</v>
      </c>
      <c r="K1235" s="65" t="s">
        <v>1929</v>
      </c>
      <c r="L1235" s="67"/>
      <c r="M1235" s="69" t="str">
        <f>IF(Main[[#This Row],[Tech Start Date]]&lt;1/1/1990,"",IF(Main[[#This Row],[Class]]="C",WORKDAY(Main[[#This Row],[Tech Start Date]],9),IF(Main[[#This Row],[Class]]="B", WORKDAY(Main[[#This Row],[Tech Start Date]],6),IF(Main[[#This Row],[Class]]="A",WORKDAY(Main[[#This Row],[Tech Start Date]],2),""))))</f>
        <v/>
      </c>
      <c r="N1235" s="69" t="str">
        <f>IF(Main[[#This Row],[Tech Start Date]]&lt;1/1/1990,"",IF(Main[[#This Row],[Class]]="C",WORKDAY(Main[[#This Row],[Tech Start Date]],19),IF(Main[[#This Row],[Class]]="B", WORKDAY(Main[[#This Row],[Tech Start Date]],12),IF(Main[[#This Row],[Class]]="A",WORKDAY(Main[[#This Row],[Tech Start Date]],4),""))))</f>
        <v/>
      </c>
      <c r="O1235" s="69" t="str">
        <f>IF(Main[[#This Row],[Tech Start Date]]&lt;1/1/1990,"",IF(Main[[#This Row],[Class]]="C",WORKDAY(Main[[#This Row],[Tech Start Date]],23),IF(Main[[#This Row],[Class]]="B", WORKDAY(Main[[#This Row],[Tech Start Date]],15),IF(Main[[#This Row],[Class]]="A",WORKDAY(Main[[#This Row],[Tech Start Date]],5),""))))</f>
        <v/>
      </c>
      <c r="P1235" s="69" t="str">
        <f>IF(Main[[#This Row],[Tech Start Date]]&lt;1/1/1990,"",IF(Main[[#This Row],[Class]]="C",WORKDAY(Main[[#This Row],[Tech Start Date]],28),IF(Main[[#This Row],[Class]]="B", WORKDAY(Main[[#This Row],[Tech Start Date]],19),IF(Main[[#This Row],[Class]]="A",WORKDAY(Main[[#This Row],[Tech Start Date]],9),""))))</f>
        <v/>
      </c>
      <c r="Q1235" s="67">
        <v>41060</v>
      </c>
      <c r="R1235" s="67"/>
      <c r="S1235" s="65" t="s">
        <v>17</v>
      </c>
      <c r="T1235" s="70" t="s">
        <v>4</v>
      </c>
      <c r="U1235" s="65" t="s">
        <v>7</v>
      </c>
      <c r="V1235" s="65" t="s">
        <v>1917</v>
      </c>
      <c r="W1235" s="65" t="s">
        <v>1919</v>
      </c>
      <c r="X1235" s="65" t="s">
        <v>129</v>
      </c>
      <c r="Y1235" s="65" t="s">
        <v>2939</v>
      </c>
      <c r="Z1235" s="65" t="s">
        <v>129</v>
      </c>
      <c r="AA1235" s="65" t="s">
        <v>129</v>
      </c>
    </row>
    <row r="1236" spans="1:27" ht="17.45" customHeight="1">
      <c r="A1236" s="131" t="str">
        <f>IF(priority(Main[[#This Row],[Comments]])&lt;&gt;0, priority(Main[[#This Row],[Comments]]),"")</f>
        <v/>
      </c>
      <c r="B1236" s="99" t="s">
        <v>3735</v>
      </c>
      <c r="C1236" s="65" t="s">
        <v>4</v>
      </c>
      <c r="D1236" s="66" t="s">
        <v>3736</v>
      </c>
      <c r="E1236" s="67">
        <v>40962.794108796297</v>
      </c>
      <c r="F1236" s="67"/>
      <c r="G1236" s="64" t="str">
        <f>IF(stdProdLT(Main[[#This Row],[Comments]])=0.1,"N/A",IF(stdProdLT(Main[[#This Row],[Comments]])=0,"",stdProdLT(Main[[#This Row],[Comments]])))</f>
        <v/>
      </c>
      <c r="H1236" s="68" t="str">
        <f>IF(AND(Main[[#This Row],[In Stock Date]]&lt;&gt;"",Main[[#This Row],[Revised Due Date]]&lt;&gt;""),Main[[#This Row],[In Stock Date]]-Main[[#This Row],[Revised Due Date]],"")</f>
        <v/>
      </c>
      <c r="I1236" s="65" t="s">
        <v>2054</v>
      </c>
      <c r="J1236" s="65" t="s">
        <v>28</v>
      </c>
      <c r="K1236" s="65" t="s">
        <v>1926</v>
      </c>
      <c r="L1236" s="67"/>
      <c r="M1236" s="69" t="str">
        <f>IF(Main[[#This Row],[Tech Start Date]]&lt;1/1/1990,"",IF(Main[[#This Row],[Class]]="C",WORKDAY(Main[[#This Row],[Tech Start Date]],9),IF(Main[[#This Row],[Class]]="B", WORKDAY(Main[[#This Row],[Tech Start Date]],6),IF(Main[[#This Row],[Class]]="A",WORKDAY(Main[[#This Row],[Tech Start Date]],2),""))))</f>
        <v/>
      </c>
      <c r="N1236" s="69" t="str">
        <f>IF(Main[[#This Row],[Tech Start Date]]&lt;1/1/1990,"",IF(Main[[#This Row],[Class]]="C",WORKDAY(Main[[#This Row],[Tech Start Date]],19),IF(Main[[#This Row],[Class]]="B", WORKDAY(Main[[#This Row],[Tech Start Date]],12),IF(Main[[#This Row],[Class]]="A",WORKDAY(Main[[#This Row],[Tech Start Date]],4),""))))</f>
        <v/>
      </c>
      <c r="O1236" s="69" t="str">
        <f>IF(Main[[#This Row],[Tech Start Date]]&lt;1/1/1990,"",IF(Main[[#This Row],[Class]]="C",WORKDAY(Main[[#This Row],[Tech Start Date]],23),IF(Main[[#This Row],[Class]]="B", WORKDAY(Main[[#This Row],[Tech Start Date]],15),IF(Main[[#This Row],[Class]]="A",WORKDAY(Main[[#This Row],[Tech Start Date]],5),""))))</f>
        <v/>
      </c>
      <c r="P1236" s="69" t="str">
        <f>IF(Main[[#This Row],[Tech Start Date]]&lt;1/1/1990,"",IF(Main[[#This Row],[Class]]="C",WORKDAY(Main[[#This Row],[Tech Start Date]],28),IF(Main[[#This Row],[Class]]="B", WORKDAY(Main[[#This Row],[Tech Start Date]],19),IF(Main[[#This Row],[Class]]="A",WORKDAY(Main[[#This Row],[Tech Start Date]],9),""))))</f>
        <v/>
      </c>
      <c r="Q1236" s="67">
        <v>40999</v>
      </c>
      <c r="R1236" s="67"/>
      <c r="S1236" s="65" t="s">
        <v>6</v>
      </c>
      <c r="T1236" s="70" t="s">
        <v>4</v>
      </c>
      <c r="U1236" s="65" t="s">
        <v>29</v>
      </c>
      <c r="V1236" s="65" t="s">
        <v>1920</v>
      </c>
      <c r="W1236" s="65" t="s">
        <v>1921</v>
      </c>
      <c r="X1236" s="65" t="s">
        <v>30</v>
      </c>
      <c r="Y1236" s="65" t="s">
        <v>3737</v>
      </c>
      <c r="Z1236" s="65" t="s">
        <v>415</v>
      </c>
      <c r="AA1236" s="65" t="s">
        <v>3459</v>
      </c>
    </row>
    <row r="1237" spans="1:27" ht="17.45" customHeight="1">
      <c r="A1237" s="131" t="str">
        <f>IF(priority(Main[[#This Row],[Comments]])&lt;&gt;0, priority(Main[[#This Row],[Comments]]),"")</f>
        <v/>
      </c>
      <c r="B1237" s="99" t="s">
        <v>2557</v>
      </c>
      <c r="C1237" s="65" t="s">
        <v>4</v>
      </c>
      <c r="D1237" s="66" t="s">
        <v>3293</v>
      </c>
      <c r="E1237" s="67">
        <v>40876.276597222219</v>
      </c>
      <c r="F1237" s="67"/>
      <c r="G1237" s="64" t="str">
        <f>IF(stdProdLT(Main[[#This Row],[Comments]])=0.1,"N/A",IF(stdProdLT(Main[[#This Row],[Comments]])=0,"",stdProdLT(Main[[#This Row],[Comments]])))</f>
        <v/>
      </c>
      <c r="H1237" s="68" t="str">
        <f>IF(AND(Main[[#This Row],[In Stock Date]]&lt;&gt;"",Main[[#This Row],[Revised Due Date]]&lt;&gt;""),Main[[#This Row],[In Stock Date]]-Main[[#This Row],[Revised Due Date]],"")</f>
        <v/>
      </c>
      <c r="I1237" s="65" t="s">
        <v>69</v>
      </c>
      <c r="J1237" s="65" t="s">
        <v>70</v>
      </c>
      <c r="K1237" s="65" t="s">
        <v>1926</v>
      </c>
      <c r="L1237" s="67"/>
      <c r="M1237" s="69" t="str">
        <f>IF(Main[[#This Row],[Tech Start Date]]&lt;1/1/1990,"",IF(Main[[#This Row],[Class]]="C",WORKDAY(Main[[#This Row],[Tech Start Date]],9),IF(Main[[#This Row],[Class]]="B", WORKDAY(Main[[#This Row],[Tech Start Date]],6),IF(Main[[#This Row],[Class]]="A",WORKDAY(Main[[#This Row],[Tech Start Date]],2),""))))</f>
        <v/>
      </c>
      <c r="N1237" s="69" t="str">
        <f>IF(Main[[#This Row],[Tech Start Date]]&lt;1/1/1990,"",IF(Main[[#This Row],[Class]]="C",WORKDAY(Main[[#This Row],[Tech Start Date]],19),IF(Main[[#This Row],[Class]]="B", WORKDAY(Main[[#This Row],[Tech Start Date]],12),IF(Main[[#This Row],[Class]]="A",WORKDAY(Main[[#This Row],[Tech Start Date]],4),""))))</f>
        <v/>
      </c>
      <c r="O1237" s="69" t="str">
        <f>IF(Main[[#This Row],[Tech Start Date]]&lt;1/1/1990,"",IF(Main[[#This Row],[Class]]="C",WORKDAY(Main[[#This Row],[Tech Start Date]],23),IF(Main[[#This Row],[Class]]="B", WORKDAY(Main[[#This Row],[Tech Start Date]],15),IF(Main[[#This Row],[Class]]="A",WORKDAY(Main[[#This Row],[Tech Start Date]],5),""))))</f>
        <v/>
      </c>
      <c r="P1237" s="69" t="str">
        <f>IF(Main[[#This Row],[Tech Start Date]]&lt;1/1/1990,"",IF(Main[[#This Row],[Class]]="C",WORKDAY(Main[[#This Row],[Tech Start Date]],28),IF(Main[[#This Row],[Class]]="B", WORKDAY(Main[[#This Row],[Tech Start Date]],19),IF(Main[[#This Row],[Class]]="A",WORKDAY(Main[[#This Row],[Tech Start Date]],9),""))))</f>
        <v/>
      </c>
      <c r="Q1237" s="67">
        <v>40907</v>
      </c>
      <c r="R1237" s="67"/>
      <c r="S1237" s="65" t="s">
        <v>6</v>
      </c>
      <c r="T1237" s="70" t="s">
        <v>4</v>
      </c>
      <c r="U1237" s="65" t="s">
        <v>29</v>
      </c>
      <c r="V1237" s="65" t="s">
        <v>1927</v>
      </c>
      <c r="W1237" s="65" t="s">
        <v>1921</v>
      </c>
      <c r="X1237" s="65" t="s">
        <v>2824</v>
      </c>
      <c r="Y1237" s="65" t="s">
        <v>2935</v>
      </c>
      <c r="Z1237" s="65" t="s">
        <v>30</v>
      </c>
      <c r="AA1237" s="65" t="s">
        <v>2824</v>
      </c>
    </row>
    <row r="1238" spans="1:27" ht="17.45" customHeight="1">
      <c r="A1238" s="131" t="str">
        <f>IF(priority(Main[[#This Row],[Comments]])&lt;&gt;0, priority(Main[[#This Row],[Comments]]),"")</f>
        <v/>
      </c>
      <c r="B1238" s="99" t="s">
        <v>2276</v>
      </c>
      <c r="C1238" s="65" t="s">
        <v>4</v>
      </c>
      <c r="D1238" s="66" t="s">
        <v>2561</v>
      </c>
      <c r="E1238" s="67">
        <v>40809.3827662037</v>
      </c>
      <c r="F1238" s="67"/>
      <c r="G1238" s="64" t="str">
        <f>IF(stdProdLT(Main[[#This Row],[Comments]])=0.1,"N/A",IF(stdProdLT(Main[[#This Row],[Comments]])=0,"",stdProdLT(Main[[#This Row],[Comments]])))</f>
        <v/>
      </c>
      <c r="H1238" s="68" t="str">
        <f>IF(AND(Main[[#This Row],[In Stock Date]]&lt;&gt;"",Main[[#This Row],[Revised Due Date]]&lt;&gt;""),Main[[#This Row],[In Stock Date]]-Main[[#This Row],[Revised Due Date]],"")</f>
        <v/>
      </c>
      <c r="I1238" s="65" t="s">
        <v>914</v>
      </c>
      <c r="J1238" s="65" t="s">
        <v>52</v>
      </c>
      <c r="K1238" s="65" t="s">
        <v>4</v>
      </c>
      <c r="L1238" s="67"/>
      <c r="M1238" s="69" t="str">
        <f>IF(Main[[#This Row],[Tech Start Date]]&lt;1/1/1990,"",IF(Main[[#This Row],[Class]]="C",WORKDAY(Main[[#This Row],[Tech Start Date]],9),IF(Main[[#This Row],[Class]]="B", WORKDAY(Main[[#This Row],[Tech Start Date]],6),IF(Main[[#This Row],[Class]]="A",WORKDAY(Main[[#This Row],[Tech Start Date]],2),""))))</f>
        <v/>
      </c>
      <c r="N1238" s="69" t="str">
        <f>IF(Main[[#This Row],[Tech Start Date]]&lt;1/1/1990,"",IF(Main[[#This Row],[Class]]="C",WORKDAY(Main[[#This Row],[Tech Start Date]],19),IF(Main[[#This Row],[Class]]="B", WORKDAY(Main[[#This Row],[Tech Start Date]],12),IF(Main[[#This Row],[Class]]="A",WORKDAY(Main[[#This Row],[Tech Start Date]],4),""))))</f>
        <v/>
      </c>
      <c r="O1238" s="69" t="str">
        <f>IF(Main[[#This Row],[Tech Start Date]]&lt;1/1/1990,"",IF(Main[[#This Row],[Class]]="C",WORKDAY(Main[[#This Row],[Tech Start Date]],23),IF(Main[[#This Row],[Class]]="B", WORKDAY(Main[[#This Row],[Tech Start Date]],15),IF(Main[[#This Row],[Class]]="A",WORKDAY(Main[[#This Row],[Tech Start Date]],5),""))))</f>
        <v/>
      </c>
      <c r="P1238" s="69" t="str">
        <f>IF(Main[[#This Row],[Tech Start Date]]&lt;1/1/1990,"",IF(Main[[#This Row],[Class]]="C",WORKDAY(Main[[#This Row],[Tech Start Date]],28),IF(Main[[#This Row],[Class]]="B", WORKDAY(Main[[#This Row],[Tech Start Date]],19),IF(Main[[#This Row],[Class]]="A",WORKDAY(Main[[#This Row],[Tech Start Date]],9),""))))</f>
        <v/>
      </c>
      <c r="Q1238" s="67"/>
      <c r="R1238" s="67">
        <v>40840</v>
      </c>
      <c r="S1238" s="65" t="s">
        <v>6</v>
      </c>
      <c r="T1238" s="70" t="s">
        <v>4</v>
      </c>
      <c r="U1238" s="65" t="s">
        <v>29</v>
      </c>
      <c r="V1238" s="65" t="s">
        <v>1917</v>
      </c>
      <c r="W1238" s="65" t="s">
        <v>1921</v>
      </c>
      <c r="X1238" s="65" t="s">
        <v>306</v>
      </c>
      <c r="Y1238" s="65" t="s">
        <v>4</v>
      </c>
      <c r="Z1238" s="65" t="s">
        <v>129</v>
      </c>
      <c r="AA1238" s="65" t="s">
        <v>50</v>
      </c>
    </row>
    <row r="1239" spans="1:27" ht="17.45" customHeight="1">
      <c r="A1239" s="131" t="str">
        <f>IF(priority(Main[[#This Row],[Comments]])&lt;&gt;0, priority(Main[[#This Row],[Comments]]),"")</f>
        <v/>
      </c>
      <c r="B1239" s="99" t="s">
        <v>1843</v>
      </c>
      <c r="C1239" s="65" t="s">
        <v>4</v>
      </c>
      <c r="D1239" s="66" t="s">
        <v>898</v>
      </c>
      <c r="E1239" s="67">
        <v>40241.453090277777</v>
      </c>
      <c r="F1239" s="67"/>
      <c r="G1239" s="64" t="str">
        <f>IF(stdProdLT(Main[[#This Row],[Comments]])=0.1,"N/A",IF(stdProdLT(Main[[#This Row],[Comments]])=0,"",stdProdLT(Main[[#This Row],[Comments]])))</f>
        <v/>
      </c>
      <c r="H1239" s="68" t="str">
        <f>IF(AND(Main[[#This Row],[In Stock Date]]&lt;&gt;"",Main[[#This Row],[Revised Due Date]]&lt;&gt;""),Main[[#This Row],[In Stock Date]]-Main[[#This Row],[Revised Due Date]],"")</f>
        <v/>
      </c>
      <c r="I1239" s="65" t="s">
        <v>74</v>
      </c>
      <c r="J1239" s="65" t="s">
        <v>4</v>
      </c>
      <c r="K1239" s="65" t="s">
        <v>1929</v>
      </c>
      <c r="L1239" s="67"/>
      <c r="M1239" s="69" t="str">
        <f>IF(Main[[#This Row],[Tech Start Date]]&lt;1/1/1990,"",IF(Main[[#This Row],[Class]]="C",WORKDAY(Main[[#This Row],[Tech Start Date]],9),IF(Main[[#This Row],[Class]]="B", WORKDAY(Main[[#This Row],[Tech Start Date]],6),IF(Main[[#This Row],[Class]]="A",WORKDAY(Main[[#This Row],[Tech Start Date]],2),""))))</f>
        <v/>
      </c>
      <c r="N1239" s="69" t="str">
        <f>IF(Main[[#This Row],[Tech Start Date]]&lt;1/1/1990,"",IF(Main[[#This Row],[Class]]="C",WORKDAY(Main[[#This Row],[Tech Start Date]],19),IF(Main[[#This Row],[Class]]="B", WORKDAY(Main[[#This Row],[Tech Start Date]],12),IF(Main[[#This Row],[Class]]="A",WORKDAY(Main[[#This Row],[Tech Start Date]],4),""))))</f>
        <v/>
      </c>
      <c r="O1239" s="69" t="str">
        <f>IF(Main[[#This Row],[Tech Start Date]]&lt;1/1/1990,"",IF(Main[[#This Row],[Class]]="C",WORKDAY(Main[[#This Row],[Tech Start Date]],23),IF(Main[[#This Row],[Class]]="B", WORKDAY(Main[[#This Row],[Tech Start Date]],15),IF(Main[[#This Row],[Class]]="A",WORKDAY(Main[[#This Row],[Tech Start Date]],5),""))))</f>
        <v/>
      </c>
      <c r="P1239" s="69" t="str">
        <f>IF(Main[[#This Row],[Tech Start Date]]&lt;1/1/1990,"",IF(Main[[#This Row],[Class]]="C",WORKDAY(Main[[#This Row],[Tech Start Date]],28),IF(Main[[#This Row],[Class]]="B", WORKDAY(Main[[#This Row],[Tech Start Date]],19),IF(Main[[#This Row],[Class]]="A",WORKDAY(Main[[#This Row],[Tech Start Date]],9),""))))</f>
        <v/>
      </c>
      <c r="Q1239" s="67"/>
      <c r="R1239" s="67">
        <v>40967</v>
      </c>
      <c r="S1239" s="65" t="s">
        <v>17</v>
      </c>
      <c r="T1239" s="70" t="s">
        <v>4</v>
      </c>
      <c r="U1239" s="65" t="s">
        <v>29</v>
      </c>
      <c r="V1239" s="65" t="s">
        <v>1920</v>
      </c>
      <c r="W1239" s="65" t="s">
        <v>4</v>
      </c>
      <c r="X1239" s="65" t="s">
        <v>306</v>
      </c>
      <c r="Y1239" s="65" t="s">
        <v>2955</v>
      </c>
      <c r="Z1239" s="65" t="s">
        <v>415</v>
      </c>
      <c r="AA1239" s="65" t="s">
        <v>3446</v>
      </c>
    </row>
    <row r="1240" spans="1:27" ht="17.45" customHeight="1">
      <c r="A1240" s="131" t="str">
        <f>IF(priority(Main[[#This Row],[Comments]])&lt;&gt;0, priority(Main[[#This Row],[Comments]]),"")</f>
        <v/>
      </c>
      <c r="B1240" s="99" t="s">
        <v>2672</v>
      </c>
      <c r="C1240" s="65" t="s">
        <v>47</v>
      </c>
      <c r="D1240" s="66" t="s">
        <v>3359</v>
      </c>
      <c r="E1240" s="67">
        <v>40938.399201388886</v>
      </c>
      <c r="F1240" s="67"/>
      <c r="G1240" s="64" t="str">
        <f>IF(stdProdLT(Main[[#This Row],[Comments]])=0.1,"N/A",IF(stdProdLT(Main[[#This Row],[Comments]])=0,"",stdProdLT(Main[[#This Row],[Comments]])))</f>
        <v/>
      </c>
      <c r="H1240" s="68" t="str">
        <f>IF(AND(Main[[#This Row],[In Stock Date]]&lt;&gt;"",Main[[#This Row],[Revised Due Date]]&lt;&gt;""),Main[[#This Row],[In Stock Date]]-Main[[#This Row],[Revised Due Date]],"")</f>
        <v/>
      </c>
      <c r="I1240" s="65" t="s">
        <v>4</v>
      </c>
      <c r="J1240" s="65" t="s">
        <v>4</v>
      </c>
      <c r="K1240" s="65" t="s">
        <v>4</v>
      </c>
      <c r="L1240" s="67"/>
      <c r="M1240" s="69" t="str">
        <f>IF(Main[[#This Row],[Tech Start Date]]&lt;1/1/1990,"",IF(Main[[#This Row],[Class]]="C",WORKDAY(Main[[#This Row],[Tech Start Date]],9),IF(Main[[#This Row],[Class]]="B", WORKDAY(Main[[#This Row],[Tech Start Date]],6),IF(Main[[#This Row],[Class]]="A",WORKDAY(Main[[#This Row],[Tech Start Date]],2),""))))</f>
        <v/>
      </c>
      <c r="N1240" s="69" t="str">
        <f>IF(Main[[#This Row],[Tech Start Date]]&lt;1/1/1990,"",IF(Main[[#This Row],[Class]]="C",WORKDAY(Main[[#This Row],[Tech Start Date]],19),IF(Main[[#This Row],[Class]]="B", WORKDAY(Main[[#This Row],[Tech Start Date]],12),IF(Main[[#This Row],[Class]]="A",WORKDAY(Main[[#This Row],[Tech Start Date]],4),""))))</f>
        <v/>
      </c>
      <c r="O1240" s="69" t="str">
        <f>IF(Main[[#This Row],[Tech Start Date]]&lt;1/1/1990,"",IF(Main[[#This Row],[Class]]="C",WORKDAY(Main[[#This Row],[Tech Start Date]],23),IF(Main[[#This Row],[Class]]="B", WORKDAY(Main[[#This Row],[Tech Start Date]],15),IF(Main[[#This Row],[Class]]="A",WORKDAY(Main[[#This Row],[Tech Start Date]],5),""))))</f>
        <v/>
      </c>
      <c r="P1240" s="69" t="str">
        <f>IF(Main[[#This Row],[Tech Start Date]]&lt;1/1/1990,"",IF(Main[[#This Row],[Class]]="C",WORKDAY(Main[[#This Row],[Tech Start Date]],28),IF(Main[[#This Row],[Class]]="B", WORKDAY(Main[[#This Row],[Tech Start Date]],19),IF(Main[[#This Row],[Class]]="A",WORKDAY(Main[[#This Row],[Tech Start Date]],9),""))))</f>
        <v/>
      </c>
      <c r="Q1240" s="67">
        <v>40913</v>
      </c>
      <c r="R1240" s="67"/>
      <c r="S1240" s="65" t="s">
        <v>6</v>
      </c>
      <c r="T1240" s="70" t="s">
        <v>4</v>
      </c>
      <c r="U1240" s="65" t="s">
        <v>7</v>
      </c>
      <c r="V1240" s="65" t="s">
        <v>2288</v>
      </c>
      <c r="W1240" s="65" t="s">
        <v>4</v>
      </c>
      <c r="X1240" s="65" t="s">
        <v>2871</v>
      </c>
      <c r="Y1240" s="65" t="s">
        <v>3016</v>
      </c>
      <c r="Z1240" s="65" t="s">
        <v>4</v>
      </c>
      <c r="AA1240" s="65" t="s">
        <v>2871</v>
      </c>
    </row>
    <row r="1241" spans="1:27" ht="17.45" customHeight="1">
      <c r="A1241" s="131" t="str">
        <f>IF(priority(Main[[#This Row],[Comments]])&lt;&gt;0, priority(Main[[#This Row],[Comments]]),"")</f>
        <v/>
      </c>
      <c r="B1241" s="99" t="s">
        <v>3360</v>
      </c>
      <c r="C1241" s="65" t="s">
        <v>4</v>
      </c>
      <c r="D1241" s="66" t="s">
        <v>3723</v>
      </c>
      <c r="E1241" s="67">
        <v>40938.460613425923</v>
      </c>
      <c r="F1241" s="67"/>
      <c r="G1241" s="64" t="str">
        <f>IF(stdProdLT(Main[[#This Row],[Comments]])=0.1,"N/A",IF(stdProdLT(Main[[#This Row],[Comments]])=0,"",stdProdLT(Main[[#This Row],[Comments]])))</f>
        <v/>
      </c>
      <c r="H1241" s="68" t="str">
        <f>IF(AND(Main[[#This Row],[In Stock Date]]&lt;&gt;"",Main[[#This Row],[Revised Due Date]]&lt;&gt;""),Main[[#This Row],[In Stock Date]]-Main[[#This Row],[Revised Due Date]],"")</f>
        <v/>
      </c>
      <c r="I1241" s="65" t="s">
        <v>69</v>
      </c>
      <c r="J1241" s="65" t="s">
        <v>70</v>
      </c>
      <c r="K1241" s="65" t="s">
        <v>4</v>
      </c>
      <c r="L1241" s="67"/>
      <c r="M1241" s="69" t="str">
        <f>IF(Main[[#This Row],[Tech Start Date]]&lt;1/1/1990,"",IF(Main[[#This Row],[Class]]="C",WORKDAY(Main[[#This Row],[Tech Start Date]],9),IF(Main[[#This Row],[Class]]="B", WORKDAY(Main[[#This Row],[Tech Start Date]],6),IF(Main[[#This Row],[Class]]="A",WORKDAY(Main[[#This Row],[Tech Start Date]],2),""))))</f>
        <v/>
      </c>
      <c r="N1241" s="69" t="str">
        <f>IF(Main[[#This Row],[Tech Start Date]]&lt;1/1/1990,"",IF(Main[[#This Row],[Class]]="C",WORKDAY(Main[[#This Row],[Tech Start Date]],19),IF(Main[[#This Row],[Class]]="B", WORKDAY(Main[[#This Row],[Tech Start Date]],12),IF(Main[[#This Row],[Class]]="A",WORKDAY(Main[[#This Row],[Tech Start Date]],4),""))))</f>
        <v/>
      </c>
      <c r="O1241" s="69" t="str">
        <f>IF(Main[[#This Row],[Tech Start Date]]&lt;1/1/1990,"",IF(Main[[#This Row],[Class]]="C",WORKDAY(Main[[#This Row],[Tech Start Date]],23),IF(Main[[#This Row],[Class]]="B", WORKDAY(Main[[#This Row],[Tech Start Date]],15),IF(Main[[#This Row],[Class]]="A",WORKDAY(Main[[#This Row],[Tech Start Date]],5),""))))</f>
        <v/>
      </c>
      <c r="P1241" s="69" t="str">
        <f>IF(Main[[#This Row],[Tech Start Date]]&lt;1/1/1990,"",IF(Main[[#This Row],[Class]]="C",WORKDAY(Main[[#This Row],[Tech Start Date]],28),IF(Main[[#This Row],[Class]]="B", WORKDAY(Main[[#This Row],[Tech Start Date]],19),IF(Main[[#This Row],[Class]]="A",WORKDAY(Main[[#This Row],[Tech Start Date]],9),""))))</f>
        <v/>
      </c>
      <c r="Q1241" s="67"/>
      <c r="R1241" s="67"/>
      <c r="S1241" s="65" t="s">
        <v>6</v>
      </c>
      <c r="T1241" s="70" t="s">
        <v>4</v>
      </c>
      <c r="U1241" s="65" t="s">
        <v>29</v>
      </c>
      <c r="V1241" s="65" t="s">
        <v>1920</v>
      </c>
      <c r="W1241" s="65" t="s">
        <v>4</v>
      </c>
      <c r="X1241" s="65" t="s">
        <v>2847</v>
      </c>
      <c r="Y1241" s="65" t="s">
        <v>2977</v>
      </c>
      <c r="Z1241" s="65" t="s">
        <v>4</v>
      </c>
      <c r="AA1241" s="65" t="s">
        <v>2847</v>
      </c>
    </row>
    <row r="1242" spans="1:27" ht="17.45" customHeight="1">
      <c r="A1242" s="131" t="str">
        <f>IF(priority(Main[[#This Row],[Comments]])&lt;&gt;0, priority(Main[[#This Row],[Comments]]),"")</f>
        <v/>
      </c>
      <c r="B1242" s="99" t="s">
        <v>3356</v>
      </c>
      <c r="C1242" s="65" t="s">
        <v>148</v>
      </c>
      <c r="D1242" s="66" t="s">
        <v>3357</v>
      </c>
      <c r="E1242" s="67">
        <v>40967.389756944445</v>
      </c>
      <c r="F1242" s="67">
        <v>41128</v>
      </c>
      <c r="G1242" s="64">
        <f>IF(stdProdLT(Main[[#This Row],[Comments]])=0.1,"N/A",IF(stdProdLT(Main[[#This Row],[Comments]])=0,"",stdProdLT(Main[[#This Row],[Comments]])))</f>
        <v>168</v>
      </c>
      <c r="H1242" s="68" t="str">
        <f>IF(AND(Main[[#This Row],[In Stock Date]]&lt;&gt;"",Main[[#This Row],[Revised Due Date]]&lt;&gt;""),Main[[#This Row],[In Stock Date]]-Main[[#This Row],[Revised Due Date]],"")</f>
        <v/>
      </c>
      <c r="I1242" s="65" t="s">
        <v>4</v>
      </c>
      <c r="J1242" s="65" t="s">
        <v>4</v>
      </c>
      <c r="K1242" s="65" t="s">
        <v>4</v>
      </c>
      <c r="L1242" s="67"/>
      <c r="M1242" s="69" t="str">
        <f>IF(Main[[#This Row],[Tech Start Date]]&lt;1/1/1990,"",IF(Main[[#This Row],[Class]]="C",WORKDAY(Main[[#This Row],[Tech Start Date]],9),IF(Main[[#This Row],[Class]]="B", WORKDAY(Main[[#This Row],[Tech Start Date]],6),IF(Main[[#This Row],[Class]]="A",WORKDAY(Main[[#This Row],[Tech Start Date]],2),""))))</f>
        <v/>
      </c>
      <c r="N1242" s="69" t="str">
        <f>IF(Main[[#This Row],[Tech Start Date]]&lt;1/1/1990,"",IF(Main[[#This Row],[Class]]="C",WORKDAY(Main[[#This Row],[Tech Start Date]],19),IF(Main[[#This Row],[Class]]="B", WORKDAY(Main[[#This Row],[Tech Start Date]],12),IF(Main[[#This Row],[Class]]="A",WORKDAY(Main[[#This Row],[Tech Start Date]],4),""))))</f>
        <v/>
      </c>
      <c r="O1242" s="69" t="str">
        <f>IF(Main[[#This Row],[Tech Start Date]]&lt;1/1/1990,"",IF(Main[[#This Row],[Class]]="C",WORKDAY(Main[[#This Row],[Tech Start Date]],23),IF(Main[[#This Row],[Class]]="B", WORKDAY(Main[[#This Row],[Tech Start Date]],15),IF(Main[[#This Row],[Class]]="A",WORKDAY(Main[[#This Row],[Tech Start Date]],5),""))))</f>
        <v/>
      </c>
      <c r="P1242" s="69" t="str">
        <f>IF(Main[[#This Row],[Tech Start Date]]&lt;1/1/1990,"",IF(Main[[#This Row],[Class]]="C",WORKDAY(Main[[#This Row],[Tech Start Date]],28),IF(Main[[#This Row],[Class]]="B", WORKDAY(Main[[#This Row],[Tech Start Date]],19),IF(Main[[#This Row],[Class]]="A",WORKDAY(Main[[#This Row],[Tech Start Date]],9),""))))</f>
        <v/>
      </c>
      <c r="Q1242" s="67"/>
      <c r="R1242" s="67"/>
      <c r="S1242" s="65" t="s">
        <v>11</v>
      </c>
      <c r="T1242" s="70" t="s">
        <v>3724</v>
      </c>
      <c r="U1242" s="65" t="s">
        <v>7</v>
      </c>
      <c r="V1242" s="65" t="s">
        <v>1920</v>
      </c>
      <c r="W1242" s="65" t="s">
        <v>1925</v>
      </c>
      <c r="X1242" s="65" t="s">
        <v>2899</v>
      </c>
      <c r="Y1242" s="65" t="s">
        <v>3061</v>
      </c>
      <c r="Z1242" s="65" t="s">
        <v>4</v>
      </c>
      <c r="AA1242" s="65" t="s">
        <v>2899</v>
      </c>
    </row>
    <row r="1243" spans="1:27" ht="17.45" customHeight="1">
      <c r="A1243" s="131" t="str">
        <f>IF(priority(Main[[#This Row],[Comments]])&lt;&gt;0, priority(Main[[#This Row],[Comments]]),"")</f>
        <v/>
      </c>
      <c r="B1243" s="99" t="s">
        <v>2783</v>
      </c>
      <c r="C1243" s="65" t="s">
        <v>47</v>
      </c>
      <c r="D1243" s="66" t="s">
        <v>2784</v>
      </c>
      <c r="E1243" s="67"/>
      <c r="F1243" s="67"/>
      <c r="G1243" s="64" t="str">
        <f>IF(stdProdLT(Main[[#This Row],[Comments]])=0.1,"N/A",IF(stdProdLT(Main[[#This Row],[Comments]])=0,"",stdProdLT(Main[[#This Row],[Comments]])))</f>
        <v/>
      </c>
      <c r="H1243" s="68" t="str">
        <f>IF(AND(Main[[#This Row],[In Stock Date]]&lt;&gt;"",Main[[#This Row],[Revised Due Date]]&lt;&gt;""),Main[[#This Row],[In Stock Date]]-Main[[#This Row],[Revised Due Date]],"")</f>
        <v/>
      </c>
      <c r="I1243" s="65" t="s">
        <v>4</v>
      </c>
      <c r="J1243" s="65" t="s">
        <v>4</v>
      </c>
      <c r="K1243" s="65" t="s">
        <v>4</v>
      </c>
      <c r="L1243" s="67"/>
      <c r="M1243" s="69" t="str">
        <f>IF(Main[[#This Row],[Tech Start Date]]&lt;1/1/1990,"",IF(Main[[#This Row],[Class]]="C",WORKDAY(Main[[#This Row],[Tech Start Date]],9),IF(Main[[#This Row],[Class]]="B", WORKDAY(Main[[#This Row],[Tech Start Date]],6),IF(Main[[#This Row],[Class]]="A",WORKDAY(Main[[#This Row],[Tech Start Date]],2),""))))</f>
        <v/>
      </c>
      <c r="N1243" s="69" t="str">
        <f>IF(Main[[#This Row],[Tech Start Date]]&lt;1/1/1990,"",IF(Main[[#This Row],[Class]]="C",WORKDAY(Main[[#This Row],[Tech Start Date]],19),IF(Main[[#This Row],[Class]]="B", WORKDAY(Main[[#This Row],[Tech Start Date]],12),IF(Main[[#This Row],[Class]]="A",WORKDAY(Main[[#This Row],[Tech Start Date]],4),""))))</f>
        <v/>
      </c>
      <c r="O1243" s="69" t="str">
        <f>IF(Main[[#This Row],[Tech Start Date]]&lt;1/1/1990,"",IF(Main[[#This Row],[Class]]="C",WORKDAY(Main[[#This Row],[Tech Start Date]],23),IF(Main[[#This Row],[Class]]="B", WORKDAY(Main[[#This Row],[Tech Start Date]],15),IF(Main[[#This Row],[Class]]="A",WORKDAY(Main[[#This Row],[Tech Start Date]],5),""))))</f>
        <v/>
      </c>
      <c r="P1243" s="69" t="str">
        <f>IF(Main[[#This Row],[Tech Start Date]]&lt;1/1/1990,"",IF(Main[[#This Row],[Class]]="C",WORKDAY(Main[[#This Row],[Tech Start Date]],28),IF(Main[[#This Row],[Class]]="B", WORKDAY(Main[[#This Row],[Tech Start Date]],19),IF(Main[[#This Row],[Class]]="A",WORKDAY(Main[[#This Row],[Tech Start Date]],9),""))))</f>
        <v/>
      </c>
      <c r="Q1243" s="67">
        <v>40907</v>
      </c>
      <c r="R1243" s="67"/>
      <c r="S1243" s="65" t="s">
        <v>6</v>
      </c>
      <c r="T1243" s="70" t="s">
        <v>4</v>
      </c>
      <c r="U1243" s="65" t="s">
        <v>12</v>
      </c>
      <c r="V1243" s="65" t="s">
        <v>1920</v>
      </c>
      <c r="W1243" s="65" t="s">
        <v>4</v>
      </c>
      <c r="X1243" s="65" t="s">
        <v>2871</v>
      </c>
      <c r="Y1243" s="65" t="s">
        <v>3016</v>
      </c>
      <c r="Z1243" s="65" t="s">
        <v>4</v>
      </c>
      <c r="AA1243" s="65" t="s">
        <v>2871</v>
      </c>
    </row>
    <row r="1244" spans="1:27" ht="17.45" customHeight="1">
      <c r="A1244" s="131" t="str">
        <f>IF(priority(Main[[#This Row],[Comments]])&lt;&gt;0, priority(Main[[#This Row],[Comments]]),"")</f>
        <v/>
      </c>
      <c r="B1244" s="99" t="s">
        <v>1827</v>
      </c>
      <c r="C1244" s="65" t="s">
        <v>47</v>
      </c>
      <c r="D1244" s="66" t="s">
        <v>877</v>
      </c>
      <c r="E1244" s="67"/>
      <c r="F1244" s="67"/>
      <c r="G1244" s="64" t="str">
        <f>IF(stdProdLT(Main[[#This Row],[Comments]])=0.1,"N/A",IF(stdProdLT(Main[[#This Row],[Comments]])=0,"",stdProdLT(Main[[#This Row],[Comments]])))</f>
        <v/>
      </c>
      <c r="H1244" s="68" t="str">
        <f>IF(AND(Main[[#This Row],[In Stock Date]]&lt;&gt;"",Main[[#This Row],[Revised Due Date]]&lt;&gt;""),Main[[#This Row],[In Stock Date]]-Main[[#This Row],[Revised Due Date]],"")</f>
        <v/>
      </c>
      <c r="I1244" s="65" t="s">
        <v>4</v>
      </c>
      <c r="J1244" s="65" t="s">
        <v>4</v>
      </c>
      <c r="K1244" s="65" t="s">
        <v>1929</v>
      </c>
      <c r="L1244" s="67"/>
      <c r="M1244" s="69" t="str">
        <f>IF(Main[[#This Row],[Tech Start Date]]&lt;1/1/1990,"",IF(Main[[#This Row],[Class]]="C",WORKDAY(Main[[#This Row],[Tech Start Date]],9),IF(Main[[#This Row],[Class]]="B", WORKDAY(Main[[#This Row],[Tech Start Date]],6),IF(Main[[#This Row],[Class]]="A",WORKDAY(Main[[#This Row],[Tech Start Date]],2),""))))</f>
        <v/>
      </c>
      <c r="N1244" s="69" t="str">
        <f>IF(Main[[#This Row],[Tech Start Date]]&lt;1/1/1990,"",IF(Main[[#This Row],[Class]]="C",WORKDAY(Main[[#This Row],[Tech Start Date]],19),IF(Main[[#This Row],[Class]]="B", WORKDAY(Main[[#This Row],[Tech Start Date]],12),IF(Main[[#This Row],[Class]]="A",WORKDAY(Main[[#This Row],[Tech Start Date]],4),""))))</f>
        <v/>
      </c>
      <c r="O1244" s="69" t="str">
        <f>IF(Main[[#This Row],[Tech Start Date]]&lt;1/1/1990,"",IF(Main[[#This Row],[Class]]="C",WORKDAY(Main[[#This Row],[Tech Start Date]],23),IF(Main[[#This Row],[Class]]="B", WORKDAY(Main[[#This Row],[Tech Start Date]],15),IF(Main[[#This Row],[Class]]="A",WORKDAY(Main[[#This Row],[Tech Start Date]],5),""))))</f>
        <v/>
      </c>
      <c r="P1244" s="69" t="str">
        <f>IF(Main[[#This Row],[Tech Start Date]]&lt;1/1/1990,"",IF(Main[[#This Row],[Class]]="C",WORKDAY(Main[[#This Row],[Tech Start Date]],28),IF(Main[[#This Row],[Class]]="B", WORKDAY(Main[[#This Row],[Tech Start Date]],19),IF(Main[[#This Row],[Class]]="A",WORKDAY(Main[[#This Row],[Tech Start Date]],9),""))))</f>
        <v/>
      </c>
      <c r="Q1244" s="67"/>
      <c r="R1244" s="67">
        <v>40359</v>
      </c>
      <c r="S1244" s="65" t="s">
        <v>17</v>
      </c>
      <c r="T1244" s="70" t="s">
        <v>4</v>
      </c>
      <c r="U1244" s="65" t="s">
        <v>14</v>
      </c>
      <c r="V1244" s="65" t="s">
        <v>1917</v>
      </c>
      <c r="W1244" s="65" t="s">
        <v>1922</v>
      </c>
      <c r="X1244" s="65" t="s">
        <v>2827</v>
      </c>
      <c r="Y1244" s="65" t="s">
        <v>2942</v>
      </c>
      <c r="Z1244" s="65" t="s">
        <v>4</v>
      </c>
      <c r="AA1244" s="65" t="s">
        <v>2827</v>
      </c>
    </row>
    <row r="1245" spans="1:27" ht="17.45" customHeight="1">
      <c r="A1245" s="131" t="str">
        <f>IF(priority(Main[[#This Row],[Comments]])&lt;&gt;0, priority(Main[[#This Row],[Comments]]),"")</f>
        <v/>
      </c>
      <c r="B1245" s="99" t="s">
        <v>1637</v>
      </c>
      <c r="C1245" s="65" t="s">
        <v>4</v>
      </c>
      <c r="D1245" s="66" t="s">
        <v>708</v>
      </c>
      <c r="E1245" s="67"/>
      <c r="F1245" s="67"/>
      <c r="G1245" s="64" t="str">
        <f>IF(stdProdLT(Main[[#This Row],[Comments]])=0.1,"N/A",IF(stdProdLT(Main[[#This Row],[Comments]])=0,"",stdProdLT(Main[[#This Row],[Comments]])))</f>
        <v/>
      </c>
      <c r="H1245" s="68" t="str">
        <f>IF(AND(Main[[#This Row],[In Stock Date]]&lt;&gt;"",Main[[#This Row],[Revised Due Date]]&lt;&gt;""),Main[[#This Row],[In Stock Date]]-Main[[#This Row],[Revised Due Date]],"")</f>
        <v/>
      </c>
      <c r="I1245" s="65" t="s">
        <v>4</v>
      </c>
      <c r="J1245" s="65" t="s">
        <v>28</v>
      </c>
      <c r="K1245" s="65" t="s">
        <v>1926</v>
      </c>
      <c r="L1245" s="67"/>
      <c r="M1245" s="69" t="str">
        <f>IF(Main[[#This Row],[Tech Start Date]]&lt;1/1/1990,"",IF(Main[[#This Row],[Class]]="C",WORKDAY(Main[[#This Row],[Tech Start Date]],9),IF(Main[[#This Row],[Class]]="B", WORKDAY(Main[[#This Row],[Tech Start Date]],6),IF(Main[[#This Row],[Class]]="A",WORKDAY(Main[[#This Row],[Tech Start Date]],2),""))))</f>
        <v/>
      </c>
      <c r="N1245" s="69" t="str">
        <f>IF(Main[[#This Row],[Tech Start Date]]&lt;1/1/1990,"",IF(Main[[#This Row],[Class]]="C",WORKDAY(Main[[#This Row],[Tech Start Date]],19),IF(Main[[#This Row],[Class]]="B", WORKDAY(Main[[#This Row],[Tech Start Date]],12),IF(Main[[#This Row],[Class]]="A",WORKDAY(Main[[#This Row],[Tech Start Date]],4),""))))</f>
        <v/>
      </c>
      <c r="O1245" s="69" t="str">
        <f>IF(Main[[#This Row],[Tech Start Date]]&lt;1/1/1990,"",IF(Main[[#This Row],[Class]]="C",WORKDAY(Main[[#This Row],[Tech Start Date]],23),IF(Main[[#This Row],[Class]]="B", WORKDAY(Main[[#This Row],[Tech Start Date]],15),IF(Main[[#This Row],[Class]]="A",WORKDAY(Main[[#This Row],[Tech Start Date]],5),""))))</f>
        <v/>
      </c>
      <c r="P1245" s="69" t="str">
        <f>IF(Main[[#This Row],[Tech Start Date]]&lt;1/1/1990,"",IF(Main[[#This Row],[Class]]="C",WORKDAY(Main[[#This Row],[Tech Start Date]],28),IF(Main[[#This Row],[Class]]="B", WORKDAY(Main[[#This Row],[Tech Start Date]],19),IF(Main[[#This Row],[Class]]="A",WORKDAY(Main[[#This Row],[Tech Start Date]],9),""))))</f>
        <v/>
      </c>
      <c r="Q1245" s="67"/>
      <c r="R1245" s="67"/>
      <c r="S1245" s="65" t="s">
        <v>6</v>
      </c>
      <c r="T1245" s="70" t="s">
        <v>4</v>
      </c>
      <c r="U1245" s="65" t="s">
        <v>14</v>
      </c>
      <c r="V1245" s="65" t="s">
        <v>1917</v>
      </c>
      <c r="W1245" s="65" t="s">
        <v>1921</v>
      </c>
      <c r="X1245" s="65" t="s">
        <v>306</v>
      </c>
      <c r="Y1245" s="65" t="s">
        <v>3139</v>
      </c>
      <c r="Z1245" s="65" t="s">
        <v>129</v>
      </c>
      <c r="AA1245" s="65" t="s">
        <v>3469</v>
      </c>
    </row>
    <row r="1246" spans="1:27" ht="17.45" customHeight="1">
      <c r="A1246" s="131" t="str">
        <f>IF(priority(Main[[#This Row],[Comments]])&lt;&gt;0, priority(Main[[#This Row],[Comments]]),"")</f>
        <v/>
      </c>
      <c r="B1246" s="99" t="s">
        <v>3739</v>
      </c>
      <c r="C1246" s="65" t="s">
        <v>4</v>
      </c>
      <c r="D1246" s="66" t="s">
        <v>3740</v>
      </c>
      <c r="E1246" s="67"/>
      <c r="F1246" s="67"/>
      <c r="G1246" s="64" t="str">
        <f>IF(stdProdLT(Main[[#This Row],[Comments]])=0.1,"N/A",IF(stdProdLT(Main[[#This Row],[Comments]])=0,"",stdProdLT(Main[[#This Row],[Comments]])))</f>
        <v/>
      </c>
      <c r="H1246" s="68" t="str">
        <f>IF(AND(Main[[#This Row],[In Stock Date]]&lt;&gt;"",Main[[#This Row],[Revised Due Date]]&lt;&gt;""),Main[[#This Row],[In Stock Date]]-Main[[#This Row],[Revised Due Date]],"")</f>
        <v/>
      </c>
      <c r="I1246" s="65" t="s">
        <v>4</v>
      </c>
      <c r="J1246" s="65" t="s">
        <v>28</v>
      </c>
      <c r="K1246" s="65" t="s">
        <v>4</v>
      </c>
      <c r="L1246" s="67"/>
      <c r="M1246" s="69" t="str">
        <f>IF(Main[[#This Row],[Tech Start Date]]&lt;1/1/1990,"",IF(Main[[#This Row],[Class]]="C",WORKDAY(Main[[#This Row],[Tech Start Date]],9),IF(Main[[#This Row],[Class]]="B", WORKDAY(Main[[#This Row],[Tech Start Date]],6),IF(Main[[#This Row],[Class]]="A",WORKDAY(Main[[#This Row],[Tech Start Date]],2),""))))</f>
        <v/>
      </c>
      <c r="N1246" s="69" t="str">
        <f>IF(Main[[#This Row],[Tech Start Date]]&lt;1/1/1990,"",IF(Main[[#This Row],[Class]]="C",WORKDAY(Main[[#This Row],[Tech Start Date]],19),IF(Main[[#This Row],[Class]]="B", WORKDAY(Main[[#This Row],[Tech Start Date]],12),IF(Main[[#This Row],[Class]]="A",WORKDAY(Main[[#This Row],[Tech Start Date]],4),""))))</f>
        <v/>
      </c>
      <c r="O1246" s="69" t="str">
        <f>IF(Main[[#This Row],[Tech Start Date]]&lt;1/1/1990,"",IF(Main[[#This Row],[Class]]="C",WORKDAY(Main[[#This Row],[Tech Start Date]],23),IF(Main[[#This Row],[Class]]="B", WORKDAY(Main[[#This Row],[Tech Start Date]],15),IF(Main[[#This Row],[Class]]="A",WORKDAY(Main[[#This Row],[Tech Start Date]],5),""))))</f>
        <v/>
      </c>
      <c r="P1246" s="69" t="str">
        <f>IF(Main[[#This Row],[Tech Start Date]]&lt;1/1/1990,"",IF(Main[[#This Row],[Class]]="C",WORKDAY(Main[[#This Row],[Tech Start Date]],28),IF(Main[[#This Row],[Class]]="B", WORKDAY(Main[[#This Row],[Tech Start Date]],19),IF(Main[[#This Row],[Class]]="A",WORKDAY(Main[[#This Row],[Tech Start Date]],9),""))))</f>
        <v/>
      </c>
      <c r="Q1246" s="67">
        <v>40724</v>
      </c>
      <c r="R1246" s="67"/>
      <c r="S1246" s="65" t="s">
        <v>17</v>
      </c>
      <c r="T1246" s="70" t="s">
        <v>2469</v>
      </c>
      <c r="U1246" s="65" t="s">
        <v>12</v>
      </c>
      <c r="V1246" s="65" t="s">
        <v>1917</v>
      </c>
      <c r="W1246" s="65" t="s">
        <v>1922</v>
      </c>
      <c r="X1246" s="65" t="s">
        <v>129</v>
      </c>
      <c r="Y1246" s="65" t="s">
        <v>2939</v>
      </c>
      <c r="Z1246" s="65" t="s">
        <v>129</v>
      </c>
      <c r="AA1246" s="65" t="s">
        <v>129</v>
      </c>
    </row>
    <row r="1247" spans="1:27" ht="17.45" customHeight="1">
      <c r="A1247" s="131" t="str">
        <f>IF(priority(Main[[#This Row],[Comments]])&lt;&gt;0, priority(Main[[#This Row],[Comments]]),"")</f>
        <v/>
      </c>
      <c r="B1247" s="99" t="s">
        <v>3200</v>
      </c>
      <c r="C1247" s="65" t="s">
        <v>4</v>
      </c>
      <c r="D1247" s="66" t="s">
        <v>3741</v>
      </c>
      <c r="E1247" s="67">
        <v>40921.403067129628</v>
      </c>
      <c r="F1247" s="67"/>
      <c r="G1247" s="64" t="str">
        <f>IF(stdProdLT(Main[[#This Row],[Comments]])=0.1,"N/A",IF(stdProdLT(Main[[#This Row],[Comments]])=0,"",stdProdLT(Main[[#This Row],[Comments]])))</f>
        <v/>
      </c>
      <c r="H1247" s="68" t="str">
        <f>IF(AND(Main[[#This Row],[In Stock Date]]&lt;&gt;"",Main[[#This Row],[Revised Due Date]]&lt;&gt;""),Main[[#This Row],[In Stock Date]]-Main[[#This Row],[Revised Due Date]],"")</f>
        <v/>
      </c>
      <c r="I1247" s="65" t="s">
        <v>2054</v>
      </c>
      <c r="J1247" s="65" t="s">
        <v>28</v>
      </c>
      <c r="K1247" s="65" t="s">
        <v>1926</v>
      </c>
      <c r="L1247" s="67"/>
      <c r="M1247" s="69" t="str">
        <f>IF(Main[[#This Row],[Tech Start Date]]&lt;1/1/1990,"",IF(Main[[#This Row],[Class]]="C",WORKDAY(Main[[#This Row],[Tech Start Date]],9),IF(Main[[#This Row],[Class]]="B", WORKDAY(Main[[#This Row],[Tech Start Date]],6),IF(Main[[#This Row],[Class]]="A",WORKDAY(Main[[#This Row],[Tech Start Date]],2),""))))</f>
        <v/>
      </c>
      <c r="N1247" s="69" t="str">
        <f>IF(Main[[#This Row],[Tech Start Date]]&lt;1/1/1990,"",IF(Main[[#This Row],[Class]]="C",WORKDAY(Main[[#This Row],[Tech Start Date]],19),IF(Main[[#This Row],[Class]]="B", WORKDAY(Main[[#This Row],[Tech Start Date]],12),IF(Main[[#This Row],[Class]]="A",WORKDAY(Main[[#This Row],[Tech Start Date]],4),""))))</f>
        <v/>
      </c>
      <c r="O1247" s="69" t="str">
        <f>IF(Main[[#This Row],[Tech Start Date]]&lt;1/1/1990,"",IF(Main[[#This Row],[Class]]="C",WORKDAY(Main[[#This Row],[Tech Start Date]],23),IF(Main[[#This Row],[Class]]="B", WORKDAY(Main[[#This Row],[Tech Start Date]],15),IF(Main[[#This Row],[Class]]="A",WORKDAY(Main[[#This Row],[Tech Start Date]],5),""))))</f>
        <v/>
      </c>
      <c r="P1247" s="69" t="str">
        <f>IF(Main[[#This Row],[Tech Start Date]]&lt;1/1/1990,"",IF(Main[[#This Row],[Class]]="C",WORKDAY(Main[[#This Row],[Tech Start Date]],28),IF(Main[[#This Row],[Class]]="B", WORKDAY(Main[[#This Row],[Tech Start Date]],19),IF(Main[[#This Row],[Class]]="A",WORKDAY(Main[[#This Row],[Tech Start Date]],9),""))))</f>
        <v/>
      </c>
      <c r="Q1247" s="67"/>
      <c r="R1247" s="67"/>
      <c r="S1247" s="65" t="s">
        <v>6</v>
      </c>
      <c r="T1247" s="70" t="s">
        <v>4</v>
      </c>
      <c r="U1247" s="65" t="s">
        <v>29</v>
      </c>
      <c r="V1247" s="65" t="s">
        <v>1920</v>
      </c>
      <c r="W1247" s="65" t="s">
        <v>1925</v>
      </c>
      <c r="X1247" s="65" t="s">
        <v>306</v>
      </c>
      <c r="Y1247" s="65" t="s">
        <v>4</v>
      </c>
      <c r="Z1247" s="65" t="s">
        <v>30</v>
      </c>
      <c r="AA1247" s="65" t="s">
        <v>4</v>
      </c>
    </row>
    <row r="1248" spans="1:27" ht="17.45" customHeight="1">
      <c r="A1248" s="131" t="str">
        <f>IF(priority(Main[[#This Row],[Comments]])&lt;&gt;0, priority(Main[[#This Row],[Comments]]),"")</f>
        <v/>
      </c>
      <c r="B1248" s="99" t="s">
        <v>3742</v>
      </c>
      <c r="C1248" s="65" t="s">
        <v>3619</v>
      </c>
      <c r="D1248" s="66" t="s">
        <v>3743</v>
      </c>
      <c r="E1248" s="67">
        <v>40960.202187499999</v>
      </c>
      <c r="F1248" s="67">
        <v>41146</v>
      </c>
      <c r="G1248" s="64">
        <f>IF(stdProdLT(Main[[#This Row],[Comments]])=0.1,"N/A",IF(stdProdLT(Main[[#This Row],[Comments]])=0,"",stdProdLT(Main[[#This Row],[Comments]])))</f>
        <v>126</v>
      </c>
      <c r="H1248" s="68" t="str">
        <f>IF(AND(Main[[#This Row],[In Stock Date]]&lt;&gt;"",Main[[#This Row],[Revised Due Date]]&lt;&gt;""),Main[[#This Row],[In Stock Date]]-Main[[#This Row],[Revised Due Date]],"")</f>
        <v/>
      </c>
      <c r="I1248" s="65" t="s">
        <v>4</v>
      </c>
      <c r="J1248" s="65" t="s">
        <v>4</v>
      </c>
      <c r="K1248" s="65" t="s">
        <v>4</v>
      </c>
      <c r="L1248" s="67"/>
      <c r="M1248" s="69" t="str">
        <f>IF(Main[[#This Row],[Tech Start Date]]&lt;1/1/1990,"",IF(Main[[#This Row],[Class]]="C",WORKDAY(Main[[#This Row],[Tech Start Date]],9),IF(Main[[#This Row],[Class]]="B", WORKDAY(Main[[#This Row],[Tech Start Date]],6),IF(Main[[#This Row],[Class]]="A",WORKDAY(Main[[#This Row],[Tech Start Date]],2),""))))</f>
        <v/>
      </c>
      <c r="N1248" s="69" t="str">
        <f>IF(Main[[#This Row],[Tech Start Date]]&lt;1/1/1990,"",IF(Main[[#This Row],[Class]]="C",WORKDAY(Main[[#This Row],[Tech Start Date]],19),IF(Main[[#This Row],[Class]]="B", WORKDAY(Main[[#This Row],[Tech Start Date]],12),IF(Main[[#This Row],[Class]]="A",WORKDAY(Main[[#This Row],[Tech Start Date]],4),""))))</f>
        <v/>
      </c>
      <c r="O1248" s="69" t="str">
        <f>IF(Main[[#This Row],[Tech Start Date]]&lt;1/1/1990,"",IF(Main[[#This Row],[Class]]="C",WORKDAY(Main[[#This Row],[Tech Start Date]],23),IF(Main[[#This Row],[Class]]="B", WORKDAY(Main[[#This Row],[Tech Start Date]],15),IF(Main[[#This Row],[Class]]="A",WORKDAY(Main[[#This Row],[Tech Start Date]],5),""))))</f>
        <v/>
      </c>
      <c r="P1248" s="69" t="str">
        <f>IF(Main[[#This Row],[Tech Start Date]]&lt;1/1/1990,"",IF(Main[[#This Row],[Class]]="C",WORKDAY(Main[[#This Row],[Tech Start Date]],28),IF(Main[[#This Row],[Class]]="B", WORKDAY(Main[[#This Row],[Tech Start Date]],19),IF(Main[[#This Row],[Class]]="A",WORKDAY(Main[[#This Row],[Tech Start Date]],9),""))))</f>
        <v/>
      </c>
      <c r="Q1248" s="67"/>
      <c r="R1248" s="67"/>
      <c r="S1248" s="65" t="s">
        <v>11</v>
      </c>
      <c r="T1248" s="70" t="s">
        <v>3744</v>
      </c>
      <c r="U1248" s="65" t="s">
        <v>7</v>
      </c>
      <c r="V1248" s="65" t="s">
        <v>1920</v>
      </c>
      <c r="W1248" s="65" t="s">
        <v>1922</v>
      </c>
      <c r="X1248" s="65" t="s">
        <v>2899</v>
      </c>
      <c r="Y1248" s="65" t="s">
        <v>3061</v>
      </c>
      <c r="Z1248" s="65" t="s">
        <v>4</v>
      </c>
      <c r="AA1248" s="65" t="s">
        <v>2899</v>
      </c>
    </row>
    <row r="1249" spans="1:27" ht="17.45" customHeight="1">
      <c r="A1249" s="131" t="str">
        <f>IF(priority(Main[[#This Row],[Comments]])&lt;&gt;0, priority(Main[[#This Row],[Comments]]),"")</f>
        <v/>
      </c>
      <c r="B1249" s="99" t="s">
        <v>2291</v>
      </c>
      <c r="C1249" s="65" t="s">
        <v>4</v>
      </c>
      <c r="D1249" s="66" t="s">
        <v>2739</v>
      </c>
      <c r="E1249" s="67">
        <v>40814.080497685187</v>
      </c>
      <c r="F1249" s="67"/>
      <c r="G1249" s="64" t="str">
        <f>IF(stdProdLT(Main[[#This Row],[Comments]])=0.1,"N/A",IF(stdProdLT(Main[[#This Row],[Comments]])=0,"",stdProdLT(Main[[#This Row],[Comments]])))</f>
        <v/>
      </c>
      <c r="H1249" s="68" t="str">
        <f>IF(AND(Main[[#This Row],[In Stock Date]]&lt;&gt;"",Main[[#This Row],[Revised Due Date]]&lt;&gt;""),Main[[#This Row],[In Stock Date]]-Main[[#This Row],[Revised Due Date]],"")</f>
        <v/>
      </c>
      <c r="I1249" s="65" t="s">
        <v>370</v>
      </c>
      <c r="J1249" s="65" t="s">
        <v>28</v>
      </c>
      <c r="K1249" s="65" t="s">
        <v>1926</v>
      </c>
      <c r="L1249" s="67"/>
      <c r="M1249" s="69" t="str">
        <f>IF(Main[[#This Row],[Tech Start Date]]&lt;1/1/1990,"",IF(Main[[#This Row],[Class]]="C",WORKDAY(Main[[#This Row],[Tech Start Date]],9),IF(Main[[#This Row],[Class]]="B", WORKDAY(Main[[#This Row],[Tech Start Date]],6),IF(Main[[#This Row],[Class]]="A",WORKDAY(Main[[#This Row],[Tech Start Date]],2),""))))</f>
        <v/>
      </c>
      <c r="N1249" s="69" t="str">
        <f>IF(Main[[#This Row],[Tech Start Date]]&lt;1/1/1990,"",IF(Main[[#This Row],[Class]]="C",WORKDAY(Main[[#This Row],[Tech Start Date]],19),IF(Main[[#This Row],[Class]]="B", WORKDAY(Main[[#This Row],[Tech Start Date]],12),IF(Main[[#This Row],[Class]]="A",WORKDAY(Main[[#This Row],[Tech Start Date]],4),""))))</f>
        <v/>
      </c>
      <c r="O1249" s="69" t="str">
        <f>IF(Main[[#This Row],[Tech Start Date]]&lt;1/1/1990,"",IF(Main[[#This Row],[Class]]="C",WORKDAY(Main[[#This Row],[Tech Start Date]],23),IF(Main[[#This Row],[Class]]="B", WORKDAY(Main[[#This Row],[Tech Start Date]],15),IF(Main[[#This Row],[Class]]="A",WORKDAY(Main[[#This Row],[Tech Start Date]],5),""))))</f>
        <v/>
      </c>
      <c r="P1249" s="69" t="str">
        <f>IF(Main[[#This Row],[Tech Start Date]]&lt;1/1/1990,"",IF(Main[[#This Row],[Class]]="C",WORKDAY(Main[[#This Row],[Tech Start Date]],28),IF(Main[[#This Row],[Class]]="B", WORKDAY(Main[[#This Row],[Tech Start Date]],19),IF(Main[[#This Row],[Class]]="A",WORKDAY(Main[[#This Row],[Tech Start Date]],9),""))))</f>
        <v/>
      </c>
      <c r="Q1249" s="67">
        <v>40905</v>
      </c>
      <c r="R1249" s="67"/>
      <c r="S1249" s="65" t="s">
        <v>6</v>
      </c>
      <c r="T1249" s="70" t="s">
        <v>4</v>
      </c>
      <c r="U1249" s="65" t="s">
        <v>29</v>
      </c>
      <c r="V1249" s="65" t="s">
        <v>1920</v>
      </c>
      <c r="W1249" s="65" t="s">
        <v>1921</v>
      </c>
      <c r="X1249" s="65" t="s">
        <v>2901</v>
      </c>
      <c r="Y1249" s="65" t="s">
        <v>3066</v>
      </c>
      <c r="Z1249" s="65" t="s">
        <v>30</v>
      </c>
      <c r="AA1249" s="65" t="s">
        <v>2901</v>
      </c>
    </row>
    <row r="1250" spans="1:27" ht="17.45" customHeight="1">
      <c r="A1250" s="131" t="str">
        <f>IF(priority(Main[[#This Row],[Comments]])&lt;&gt;0, priority(Main[[#This Row],[Comments]]),"")</f>
        <v/>
      </c>
      <c r="B1250" s="99" t="s">
        <v>1859</v>
      </c>
      <c r="C1250" s="65" t="s">
        <v>95</v>
      </c>
      <c r="D1250" s="66" t="s">
        <v>915</v>
      </c>
      <c r="E1250" s="67">
        <v>40428.412002314813</v>
      </c>
      <c r="F1250" s="67"/>
      <c r="G1250" s="64" t="str">
        <f>IF(stdProdLT(Main[[#This Row],[Comments]])=0.1,"N/A",IF(stdProdLT(Main[[#This Row],[Comments]])=0,"",stdProdLT(Main[[#This Row],[Comments]])))</f>
        <v/>
      </c>
      <c r="H1250" s="68" t="str">
        <f>IF(AND(Main[[#This Row],[In Stock Date]]&lt;&gt;"",Main[[#This Row],[Revised Due Date]]&lt;&gt;""),Main[[#This Row],[In Stock Date]]-Main[[#This Row],[Revised Due Date]],"")</f>
        <v/>
      </c>
      <c r="I1250" s="65" t="s">
        <v>415</v>
      </c>
      <c r="J1250" s="65" t="s">
        <v>28</v>
      </c>
      <c r="K1250" s="65" t="s">
        <v>1929</v>
      </c>
      <c r="L1250" s="67"/>
      <c r="M1250" s="69" t="str">
        <f>IF(Main[[#This Row],[Tech Start Date]]&lt;1/1/1990,"",IF(Main[[#This Row],[Class]]="C",WORKDAY(Main[[#This Row],[Tech Start Date]],9),IF(Main[[#This Row],[Class]]="B", WORKDAY(Main[[#This Row],[Tech Start Date]],6),IF(Main[[#This Row],[Class]]="A",WORKDAY(Main[[#This Row],[Tech Start Date]],2),""))))</f>
        <v/>
      </c>
      <c r="N1250" s="69" t="str">
        <f>IF(Main[[#This Row],[Tech Start Date]]&lt;1/1/1990,"",IF(Main[[#This Row],[Class]]="C",WORKDAY(Main[[#This Row],[Tech Start Date]],19),IF(Main[[#This Row],[Class]]="B", WORKDAY(Main[[#This Row],[Tech Start Date]],12),IF(Main[[#This Row],[Class]]="A",WORKDAY(Main[[#This Row],[Tech Start Date]],4),""))))</f>
        <v/>
      </c>
      <c r="O1250" s="69" t="str">
        <f>IF(Main[[#This Row],[Tech Start Date]]&lt;1/1/1990,"",IF(Main[[#This Row],[Class]]="C",WORKDAY(Main[[#This Row],[Tech Start Date]],23),IF(Main[[#This Row],[Class]]="B", WORKDAY(Main[[#This Row],[Tech Start Date]],15),IF(Main[[#This Row],[Class]]="A",WORKDAY(Main[[#This Row],[Tech Start Date]],5),""))))</f>
        <v/>
      </c>
      <c r="P1250" s="69" t="str">
        <f>IF(Main[[#This Row],[Tech Start Date]]&lt;1/1/1990,"",IF(Main[[#This Row],[Class]]="C",WORKDAY(Main[[#This Row],[Tech Start Date]],28),IF(Main[[#This Row],[Class]]="B", WORKDAY(Main[[#This Row],[Tech Start Date]],19),IF(Main[[#This Row],[Class]]="A",WORKDAY(Main[[#This Row],[Tech Start Date]],9),""))))</f>
        <v/>
      </c>
      <c r="Q1250" s="67">
        <v>40574</v>
      </c>
      <c r="R1250" s="67">
        <v>41046</v>
      </c>
      <c r="S1250" s="65" t="s">
        <v>17</v>
      </c>
      <c r="T1250" s="70" t="s">
        <v>4</v>
      </c>
      <c r="U1250" s="65" t="s">
        <v>29</v>
      </c>
      <c r="V1250" s="65" t="s">
        <v>1920</v>
      </c>
      <c r="W1250" s="65" t="s">
        <v>1923</v>
      </c>
      <c r="X1250" s="65" t="s">
        <v>415</v>
      </c>
      <c r="Y1250" s="65" t="s">
        <v>2981</v>
      </c>
      <c r="Z1250" s="65" t="s">
        <v>970</v>
      </c>
      <c r="AA1250" s="65" t="s">
        <v>415</v>
      </c>
    </row>
    <row r="1251" spans="1:27" ht="17.45" customHeight="1">
      <c r="A1251" s="131" t="str">
        <f>IF(priority(Main[[#This Row],[Comments]])&lt;&gt;0, priority(Main[[#This Row],[Comments]]),"")</f>
        <v/>
      </c>
      <c r="B1251" s="99" t="s">
        <v>3297</v>
      </c>
      <c r="C1251" s="65" t="s">
        <v>4</v>
      </c>
      <c r="D1251" s="66" t="s">
        <v>3298</v>
      </c>
      <c r="E1251" s="67">
        <v>40931.434317129628</v>
      </c>
      <c r="F1251" s="67"/>
      <c r="G1251" s="64" t="str">
        <f>IF(stdProdLT(Main[[#This Row],[Comments]])=0.1,"N/A",IF(stdProdLT(Main[[#This Row],[Comments]])=0,"",stdProdLT(Main[[#This Row],[Comments]])))</f>
        <v/>
      </c>
      <c r="H1251" s="68" t="str">
        <f>IF(AND(Main[[#This Row],[In Stock Date]]&lt;&gt;"",Main[[#This Row],[Revised Due Date]]&lt;&gt;""),Main[[#This Row],[In Stock Date]]-Main[[#This Row],[Revised Due Date]],"")</f>
        <v/>
      </c>
      <c r="I1251" s="65" t="s">
        <v>4</v>
      </c>
      <c r="J1251" s="65" t="s">
        <v>4</v>
      </c>
      <c r="K1251" s="65" t="s">
        <v>4</v>
      </c>
      <c r="L1251" s="67"/>
      <c r="M1251" s="69" t="str">
        <f>IF(Main[[#This Row],[Tech Start Date]]&lt;1/1/1990,"",IF(Main[[#This Row],[Class]]="C",WORKDAY(Main[[#This Row],[Tech Start Date]],9),IF(Main[[#This Row],[Class]]="B", WORKDAY(Main[[#This Row],[Tech Start Date]],6),IF(Main[[#This Row],[Class]]="A",WORKDAY(Main[[#This Row],[Tech Start Date]],2),""))))</f>
        <v/>
      </c>
      <c r="N1251" s="69" t="str">
        <f>IF(Main[[#This Row],[Tech Start Date]]&lt;1/1/1990,"",IF(Main[[#This Row],[Class]]="C",WORKDAY(Main[[#This Row],[Tech Start Date]],19),IF(Main[[#This Row],[Class]]="B", WORKDAY(Main[[#This Row],[Tech Start Date]],12),IF(Main[[#This Row],[Class]]="A",WORKDAY(Main[[#This Row],[Tech Start Date]],4),""))))</f>
        <v/>
      </c>
      <c r="O1251" s="69" t="str">
        <f>IF(Main[[#This Row],[Tech Start Date]]&lt;1/1/1990,"",IF(Main[[#This Row],[Class]]="C",WORKDAY(Main[[#This Row],[Tech Start Date]],23),IF(Main[[#This Row],[Class]]="B", WORKDAY(Main[[#This Row],[Tech Start Date]],15),IF(Main[[#This Row],[Class]]="A",WORKDAY(Main[[#This Row],[Tech Start Date]],5),""))))</f>
        <v/>
      </c>
      <c r="P1251" s="69" t="str">
        <f>IF(Main[[#This Row],[Tech Start Date]]&lt;1/1/1990,"",IF(Main[[#This Row],[Class]]="C",WORKDAY(Main[[#This Row],[Tech Start Date]],28),IF(Main[[#This Row],[Class]]="B", WORKDAY(Main[[#This Row],[Tech Start Date]],19),IF(Main[[#This Row],[Class]]="A",WORKDAY(Main[[#This Row],[Tech Start Date]],9),""))))</f>
        <v/>
      </c>
      <c r="Q1251" s="67"/>
      <c r="R1251" s="67"/>
      <c r="S1251" s="65" t="s">
        <v>6</v>
      </c>
      <c r="T1251" s="70" t="s">
        <v>4</v>
      </c>
      <c r="U1251" s="65" t="s">
        <v>7</v>
      </c>
      <c r="V1251" s="65" t="s">
        <v>1917</v>
      </c>
      <c r="W1251" s="65" t="s">
        <v>1921</v>
      </c>
      <c r="X1251" s="65" t="s">
        <v>2908</v>
      </c>
      <c r="Y1251" s="65" t="s">
        <v>3087</v>
      </c>
      <c r="Z1251" s="65" t="s">
        <v>4</v>
      </c>
      <c r="AA1251" s="65" t="s">
        <v>2908</v>
      </c>
    </row>
    <row r="1252" spans="1:27" ht="17.45" customHeight="1">
      <c r="A1252" s="131" t="str">
        <f>IF(priority(Main[[#This Row],[Comments]])&lt;&gt;0, priority(Main[[#This Row],[Comments]]),"")</f>
        <v/>
      </c>
      <c r="B1252" s="99" t="s">
        <v>1110</v>
      </c>
      <c r="C1252" s="65" t="s">
        <v>4</v>
      </c>
      <c r="D1252" s="66" t="s">
        <v>154</v>
      </c>
      <c r="E1252" s="67"/>
      <c r="F1252" s="67"/>
      <c r="G1252" s="64" t="str">
        <f>IF(stdProdLT(Main[[#This Row],[Comments]])=0.1,"N/A",IF(stdProdLT(Main[[#This Row],[Comments]])=0,"",stdProdLT(Main[[#This Row],[Comments]])))</f>
        <v/>
      </c>
      <c r="H1252" s="68" t="str">
        <f>IF(AND(Main[[#This Row],[In Stock Date]]&lt;&gt;"",Main[[#This Row],[Revised Due Date]]&lt;&gt;""),Main[[#This Row],[In Stock Date]]-Main[[#This Row],[Revised Due Date]],"")</f>
        <v/>
      </c>
      <c r="I1252" s="65" t="s">
        <v>4</v>
      </c>
      <c r="J1252" s="65" t="s">
        <v>4</v>
      </c>
      <c r="K1252" s="65" t="s">
        <v>4</v>
      </c>
      <c r="L1252" s="67"/>
      <c r="M1252" s="69" t="str">
        <f>IF(Main[[#This Row],[Tech Start Date]]&lt;1/1/1990,"",IF(Main[[#This Row],[Class]]="C",WORKDAY(Main[[#This Row],[Tech Start Date]],9),IF(Main[[#This Row],[Class]]="B", WORKDAY(Main[[#This Row],[Tech Start Date]],6),IF(Main[[#This Row],[Class]]="A",WORKDAY(Main[[#This Row],[Tech Start Date]],2),""))))</f>
        <v/>
      </c>
      <c r="N1252" s="69" t="str">
        <f>IF(Main[[#This Row],[Tech Start Date]]&lt;1/1/1990,"",IF(Main[[#This Row],[Class]]="C",WORKDAY(Main[[#This Row],[Tech Start Date]],19),IF(Main[[#This Row],[Class]]="B", WORKDAY(Main[[#This Row],[Tech Start Date]],12),IF(Main[[#This Row],[Class]]="A",WORKDAY(Main[[#This Row],[Tech Start Date]],4),""))))</f>
        <v/>
      </c>
      <c r="O1252" s="69" t="str">
        <f>IF(Main[[#This Row],[Tech Start Date]]&lt;1/1/1990,"",IF(Main[[#This Row],[Class]]="C",WORKDAY(Main[[#This Row],[Tech Start Date]],23),IF(Main[[#This Row],[Class]]="B", WORKDAY(Main[[#This Row],[Tech Start Date]],15),IF(Main[[#This Row],[Class]]="A",WORKDAY(Main[[#This Row],[Tech Start Date]],5),""))))</f>
        <v/>
      </c>
      <c r="P1252" s="69" t="str">
        <f>IF(Main[[#This Row],[Tech Start Date]]&lt;1/1/1990,"",IF(Main[[#This Row],[Class]]="C",WORKDAY(Main[[#This Row],[Tech Start Date]],28),IF(Main[[#This Row],[Class]]="B", WORKDAY(Main[[#This Row],[Tech Start Date]],19),IF(Main[[#This Row],[Class]]="A",WORKDAY(Main[[#This Row],[Tech Start Date]],9),""))))</f>
        <v/>
      </c>
      <c r="Q1252" s="67">
        <v>40619</v>
      </c>
      <c r="R1252" s="67"/>
      <c r="S1252" s="65" t="s">
        <v>49</v>
      </c>
      <c r="T1252" s="70" t="s">
        <v>4</v>
      </c>
      <c r="U1252" s="65" t="s">
        <v>14</v>
      </c>
      <c r="V1252" s="65" t="s">
        <v>1920</v>
      </c>
      <c r="W1252" s="65" t="s">
        <v>1925</v>
      </c>
      <c r="X1252" s="65" t="s">
        <v>50</v>
      </c>
      <c r="Y1252" s="65" t="s">
        <v>3002</v>
      </c>
      <c r="Z1252" s="65" t="s">
        <v>4</v>
      </c>
      <c r="AA1252" s="65" t="s">
        <v>2878</v>
      </c>
    </row>
    <row r="1253" spans="1:27" ht="17.45" customHeight="1">
      <c r="A1253" s="131" t="str">
        <f>IF(priority(Main[[#This Row],[Comments]])&lt;&gt;0, priority(Main[[#This Row],[Comments]]),"")</f>
        <v/>
      </c>
      <c r="B1253" s="99" t="s">
        <v>3358</v>
      </c>
      <c r="C1253" s="65" t="s">
        <v>4</v>
      </c>
      <c r="D1253" s="66" t="s">
        <v>3750</v>
      </c>
      <c r="E1253" s="67">
        <v>40939.297210648147</v>
      </c>
      <c r="F1253" s="67"/>
      <c r="G1253" s="64" t="str">
        <f>IF(stdProdLT(Main[[#This Row],[Comments]])=0.1,"N/A",IF(stdProdLT(Main[[#This Row],[Comments]])=0,"",stdProdLT(Main[[#This Row],[Comments]])))</f>
        <v/>
      </c>
      <c r="H1253" s="68" t="str">
        <f>IF(AND(Main[[#This Row],[In Stock Date]]&lt;&gt;"",Main[[#This Row],[Revised Due Date]]&lt;&gt;""),Main[[#This Row],[In Stock Date]]-Main[[#This Row],[Revised Due Date]],"")</f>
        <v/>
      </c>
      <c r="I1253" s="65" t="s">
        <v>69</v>
      </c>
      <c r="J1253" s="65" t="s">
        <v>70</v>
      </c>
      <c r="K1253" s="71" t="s">
        <v>1926</v>
      </c>
      <c r="L1253" s="67"/>
      <c r="M1253" s="69" t="str">
        <f>IF(Main[[#This Row],[Tech Start Date]]&lt;1/1/1990,"",IF(Main[[#This Row],[Class]]="C",WORKDAY(Main[[#This Row],[Tech Start Date]],9),IF(Main[[#This Row],[Class]]="B", WORKDAY(Main[[#This Row],[Tech Start Date]],6),IF(Main[[#This Row],[Class]]="A",WORKDAY(Main[[#This Row],[Tech Start Date]],2),""))))</f>
        <v/>
      </c>
      <c r="N1253" s="69" t="str">
        <f>IF(Main[[#This Row],[Tech Start Date]]&lt;1/1/1990,"",IF(Main[[#This Row],[Class]]="C",WORKDAY(Main[[#This Row],[Tech Start Date]],19),IF(Main[[#This Row],[Class]]="B", WORKDAY(Main[[#This Row],[Tech Start Date]],12),IF(Main[[#This Row],[Class]]="A",WORKDAY(Main[[#This Row],[Tech Start Date]],4),""))))</f>
        <v/>
      </c>
      <c r="O1253" s="69" t="str">
        <f>IF(Main[[#This Row],[Tech Start Date]]&lt;1/1/1990,"",IF(Main[[#This Row],[Class]]="C",WORKDAY(Main[[#This Row],[Tech Start Date]],23),IF(Main[[#This Row],[Class]]="B", WORKDAY(Main[[#This Row],[Tech Start Date]],15),IF(Main[[#This Row],[Class]]="A",WORKDAY(Main[[#This Row],[Tech Start Date]],5),""))))</f>
        <v/>
      </c>
      <c r="P1253" s="69" t="str">
        <f>IF(Main[[#This Row],[Tech Start Date]]&lt;1/1/1990,"",IF(Main[[#This Row],[Class]]="C",WORKDAY(Main[[#This Row],[Tech Start Date]],28),IF(Main[[#This Row],[Class]]="B", WORKDAY(Main[[#This Row],[Tech Start Date]],19),IF(Main[[#This Row],[Class]]="A",WORKDAY(Main[[#This Row],[Tech Start Date]],9),""))))</f>
        <v/>
      </c>
      <c r="Q1253" s="67">
        <v>40968</v>
      </c>
      <c r="R1253" s="67"/>
      <c r="S1253" s="65" t="s">
        <v>6</v>
      </c>
      <c r="T1253" s="70" t="s">
        <v>4</v>
      </c>
      <c r="U1253" s="65" t="s">
        <v>29</v>
      </c>
      <c r="V1253" s="65" t="s">
        <v>1920</v>
      </c>
      <c r="W1253" s="65" t="s">
        <v>1921</v>
      </c>
      <c r="X1253" s="65" t="s">
        <v>2828</v>
      </c>
      <c r="Y1253" s="65" t="s">
        <v>2944</v>
      </c>
      <c r="Z1253" s="65" t="s">
        <v>30</v>
      </c>
      <c r="AA1253" s="65" t="s">
        <v>2828</v>
      </c>
    </row>
    <row r="1254" spans="1:27" ht="17.45" customHeight="1">
      <c r="A1254" s="131" t="str">
        <f>IF(priority(Main[[#This Row],[Comments]])&lt;&gt;0, priority(Main[[#This Row],[Comments]]),"")</f>
        <v/>
      </c>
      <c r="B1254" s="99" t="s">
        <v>2706</v>
      </c>
      <c r="C1254" s="65" t="s">
        <v>4</v>
      </c>
      <c r="D1254" s="66" t="s">
        <v>3294</v>
      </c>
      <c r="E1254" s="67">
        <v>40917.540925925925</v>
      </c>
      <c r="F1254" s="67"/>
      <c r="G1254" s="64" t="str">
        <f>IF(stdProdLT(Main[[#This Row],[Comments]])=0.1,"N/A",IF(stdProdLT(Main[[#This Row],[Comments]])=0,"",stdProdLT(Main[[#This Row],[Comments]])))</f>
        <v/>
      </c>
      <c r="H1254" s="68" t="str">
        <f>IF(AND(Main[[#This Row],[In Stock Date]]&lt;&gt;"",Main[[#This Row],[Revised Due Date]]&lt;&gt;""),Main[[#This Row],[In Stock Date]]-Main[[#This Row],[Revised Due Date]],"")</f>
        <v/>
      </c>
      <c r="I1254" s="65" t="s">
        <v>2054</v>
      </c>
      <c r="J1254" s="65" t="s">
        <v>21</v>
      </c>
      <c r="K1254" s="65" t="s">
        <v>1926</v>
      </c>
      <c r="L1254" s="67"/>
      <c r="M1254" s="69" t="str">
        <f>IF(Main[[#This Row],[Tech Start Date]]&lt;1/1/1990,"",IF(Main[[#This Row],[Class]]="C",WORKDAY(Main[[#This Row],[Tech Start Date]],9),IF(Main[[#This Row],[Class]]="B", WORKDAY(Main[[#This Row],[Tech Start Date]],6),IF(Main[[#This Row],[Class]]="A",WORKDAY(Main[[#This Row],[Tech Start Date]],2),""))))</f>
        <v/>
      </c>
      <c r="N1254" s="69" t="str">
        <f>IF(Main[[#This Row],[Tech Start Date]]&lt;1/1/1990,"",IF(Main[[#This Row],[Class]]="C",WORKDAY(Main[[#This Row],[Tech Start Date]],19),IF(Main[[#This Row],[Class]]="B", WORKDAY(Main[[#This Row],[Tech Start Date]],12),IF(Main[[#This Row],[Class]]="A",WORKDAY(Main[[#This Row],[Tech Start Date]],4),""))))</f>
        <v/>
      </c>
      <c r="O1254" s="69" t="str">
        <f>IF(Main[[#This Row],[Tech Start Date]]&lt;1/1/1990,"",IF(Main[[#This Row],[Class]]="C",WORKDAY(Main[[#This Row],[Tech Start Date]],23),IF(Main[[#This Row],[Class]]="B", WORKDAY(Main[[#This Row],[Tech Start Date]],15),IF(Main[[#This Row],[Class]]="A",WORKDAY(Main[[#This Row],[Tech Start Date]],5),""))))</f>
        <v/>
      </c>
      <c r="P1254" s="69" t="str">
        <f>IF(Main[[#This Row],[Tech Start Date]]&lt;1/1/1990,"",IF(Main[[#This Row],[Class]]="C",WORKDAY(Main[[#This Row],[Tech Start Date]],28),IF(Main[[#This Row],[Class]]="B", WORKDAY(Main[[#This Row],[Tech Start Date]],19),IF(Main[[#This Row],[Class]]="A",WORKDAY(Main[[#This Row],[Tech Start Date]],9),""))))</f>
        <v/>
      </c>
      <c r="Q1254" s="67">
        <v>40949</v>
      </c>
      <c r="R1254" s="67"/>
      <c r="S1254" s="65" t="s">
        <v>6</v>
      </c>
      <c r="T1254" s="70" t="s">
        <v>4</v>
      </c>
      <c r="U1254" s="65" t="s">
        <v>29</v>
      </c>
      <c r="V1254" s="65" t="s">
        <v>1920</v>
      </c>
      <c r="W1254" s="65" t="s">
        <v>1921</v>
      </c>
      <c r="X1254" s="65" t="s">
        <v>2825</v>
      </c>
      <c r="Y1254" s="65" t="s">
        <v>2938</v>
      </c>
      <c r="Z1254" s="65" t="s">
        <v>30</v>
      </c>
      <c r="AA1254" s="65" t="s">
        <v>2825</v>
      </c>
    </row>
    <row r="1255" spans="1:27" ht="17.45" customHeight="1">
      <c r="A1255" s="131" t="str">
        <f>IF(priority(Main[[#This Row],[Comments]])&lt;&gt;0, priority(Main[[#This Row],[Comments]]),"")</f>
        <v/>
      </c>
      <c r="B1255" s="99" t="s">
        <v>2596</v>
      </c>
      <c r="C1255" s="65" t="s">
        <v>31</v>
      </c>
      <c r="D1255" s="66" t="s">
        <v>3738</v>
      </c>
      <c r="E1255" s="67">
        <v>40820.728263888886</v>
      </c>
      <c r="F1255" s="67"/>
      <c r="G1255" s="64" t="str">
        <f>IF(stdProdLT(Main[[#This Row],[Comments]])=0.1,"N/A",IF(stdProdLT(Main[[#This Row],[Comments]])=0,"",stdProdLT(Main[[#This Row],[Comments]])))</f>
        <v/>
      </c>
      <c r="H1255" s="68" t="str">
        <f>IF(AND(Main[[#This Row],[In Stock Date]]&lt;&gt;"",Main[[#This Row],[Revised Due Date]]&lt;&gt;""),Main[[#This Row],[In Stock Date]]-Main[[#This Row],[Revised Due Date]],"")</f>
        <v/>
      </c>
      <c r="I1255" s="65" t="s">
        <v>924</v>
      </c>
      <c r="J1255" s="65" t="s">
        <v>4</v>
      </c>
      <c r="K1255" s="65" t="s">
        <v>4</v>
      </c>
      <c r="L1255" s="67"/>
      <c r="M1255" s="69" t="str">
        <f>IF(Main[[#This Row],[Tech Start Date]]&lt;1/1/1990,"",IF(Main[[#This Row],[Class]]="C",WORKDAY(Main[[#This Row],[Tech Start Date]],9),IF(Main[[#This Row],[Class]]="B", WORKDAY(Main[[#This Row],[Tech Start Date]],6),IF(Main[[#This Row],[Class]]="A",WORKDAY(Main[[#This Row],[Tech Start Date]],2),""))))</f>
        <v/>
      </c>
      <c r="N1255" s="69" t="str">
        <f>IF(Main[[#This Row],[Tech Start Date]]&lt;1/1/1990,"",IF(Main[[#This Row],[Class]]="C",WORKDAY(Main[[#This Row],[Tech Start Date]],19),IF(Main[[#This Row],[Class]]="B", WORKDAY(Main[[#This Row],[Tech Start Date]],12),IF(Main[[#This Row],[Class]]="A",WORKDAY(Main[[#This Row],[Tech Start Date]],4),""))))</f>
        <v/>
      </c>
      <c r="O1255" s="69" t="str">
        <f>IF(Main[[#This Row],[Tech Start Date]]&lt;1/1/1990,"",IF(Main[[#This Row],[Class]]="C",WORKDAY(Main[[#This Row],[Tech Start Date]],23),IF(Main[[#This Row],[Class]]="B", WORKDAY(Main[[#This Row],[Tech Start Date]],15),IF(Main[[#This Row],[Class]]="A",WORKDAY(Main[[#This Row],[Tech Start Date]],5),""))))</f>
        <v/>
      </c>
      <c r="P1255" s="69" t="str">
        <f>IF(Main[[#This Row],[Tech Start Date]]&lt;1/1/1990,"",IF(Main[[#This Row],[Class]]="C",WORKDAY(Main[[#This Row],[Tech Start Date]],28),IF(Main[[#This Row],[Class]]="B", WORKDAY(Main[[#This Row],[Tech Start Date]],19),IF(Main[[#This Row],[Class]]="A",WORKDAY(Main[[#This Row],[Tech Start Date]],9),""))))</f>
        <v/>
      </c>
      <c r="Q1255" s="67">
        <v>40841</v>
      </c>
      <c r="R1255" s="67"/>
      <c r="S1255" s="65" t="s">
        <v>11</v>
      </c>
      <c r="T1255" s="70" t="s">
        <v>2597</v>
      </c>
      <c r="U1255" s="65" t="s">
        <v>7</v>
      </c>
      <c r="V1255" s="65" t="s">
        <v>1932</v>
      </c>
      <c r="W1255" s="65" t="s">
        <v>1925</v>
      </c>
      <c r="X1255" s="65" t="s">
        <v>2827</v>
      </c>
      <c r="Y1255" s="65" t="s">
        <v>2942</v>
      </c>
      <c r="Z1255" s="65" t="s">
        <v>4</v>
      </c>
      <c r="AA1255" s="65" t="s">
        <v>2827</v>
      </c>
    </row>
    <row r="1256" spans="1:27" ht="17.45" customHeight="1">
      <c r="A1256" s="131" t="str">
        <f>IF(priority(Main[[#This Row],[Comments]])&lt;&gt;0, priority(Main[[#This Row],[Comments]]),"")</f>
        <v/>
      </c>
      <c r="B1256" s="99" t="s">
        <v>1640</v>
      </c>
      <c r="C1256" s="65" t="s">
        <v>4</v>
      </c>
      <c r="D1256" s="66" t="s">
        <v>2576</v>
      </c>
      <c r="E1256" s="67"/>
      <c r="F1256" s="67"/>
      <c r="G1256" s="64" t="str">
        <f>IF(stdProdLT(Main[[#This Row],[Comments]])=0.1,"N/A",IF(stdProdLT(Main[[#This Row],[Comments]])=0,"",stdProdLT(Main[[#This Row],[Comments]])))</f>
        <v/>
      </c>
      <c r="H1256" s="68" t="str">
        <f>IF(AND(Main[[#This Row],[In Stock Date]]&lt;&gt;"",Main[[#This Row],[Revised Due Date]]&lt;&gt;""),Main[[#This Row],[In Stock Date]]-Main[[#This Row],[Revised Due Date]],"")</f>
        <v/>
      </c>
      <c r="I1256" s="65" t="s">
        <v>4</v>
      </c>
      <c r="J1256" s="65" t="s">
        <v>28</v>
      </c>
      <c r="K1256" s="65" t="s">
        <v>1924</v>
      </c>
      <c r="L1256" s="67"/>
      <c r="M1256" s="69" t="str">
        <f>IF(Main[[#This Row],[Tech Start Date]]&lt;1/1/1990,"",IF(Main[[#This Row],[Class]]="C",WORKDAY(Main[[#This Row],[Tech Start Date]],9),IF(Main[[#This Row],[Class]]="B", WORKDAY(Main[[#This Row],[Tech Start Date]],6),IF(Main[[#This Row],[Class]]="A",WORKDAY(Main[[#This Row],[Tech Start Date]],2),""))))</f>
        <v/>
      </c>
      <c r="N1256" s="69" t="str">
        <f>IF(Main[[#This Row],[Tech Start Date]]&lt;1/1/1990,"",IF(Main[[#This Row],[Class]]="C",WORKDAY(Main[[#This Row],[Tech Start Date]],19),IF(Main[[#This Row],[Class]]="B", WORKDAY(Main[[#This Row],[Tech Start Date]],12),IF(Main[[#This Row],[Class]]="A",WORKDAY(Main[[#This Row],[Tech Start Date]],4),""))))</f>
        <v/>
      </c>
      <c r="O1256" s="69" t="str">
        <f>IF(Main[[#This Row],[Tech Start Date]]&lt;1/1/1990,"",IF(Main[[#This Row],[Class]]="C",WORKDAY(Main[[#This Row],[Tech Start Date]],23),IF(Main[[#This Row],[Class]]="B", WORKDAY(Main[[#This Row],[Tech Start Date]],15),IF(Main[[#This Row],[Class]]="A",WORKDAY(Main[[#This Row],[Tech Start Date]],5),""))))</f>
        <v/>
      </c>
      <c r="P1256" s="69" t="str">
        <f>IF(Main[[#This Row],[Tech Start Date]]&lt;1/1/1990,"",IF(Main[[#This Row],[Class]]="C",WORKDAY(Main[[#This Row],[Tech Start Date]],28),IF(Main[[#This Row],[Class]]="B", WORKDAY(Main[[#This Row],[Tech Start Date]],19),IF(Main[[#This Row],[Class]]="A",WORKDAY(Main[[#This Row],[Tech Start Date]],9),""))))</f>
        <v/>
      </c>
      <c r="Q1256" s="67">
        <v>40611</v>
      </c>
      <c r="R1256" s="67"/>
      <c r="S1256" s="65" t="s">
        <v>6</v>
      </c>
      <c r="T1256" s="70" t="s">
        <v>4</v>
      </c>
      <c r="U1256" s="65" t="s">
        <v>14</v>
      </c>
      <c r="V1256" s="65" t="s">
        <v>1917</v>
      </c>
      <c r="W1256" s="65" t="s">
        <v>1921</v>
      </c>
      <c r="X1256" s="65" t="s">
        <v>2827</v>
      </c>
      <c r="Y1256" s="65" t="s">
        <v>2942</v>
      </c>
      <c r="Z1256" s="65" t="s">
        <v>129</v>
      </c>
      <c r="AA1256" s="65" t="s">
        <v>2827</v>
      </c>
    </row>
    <row r="1257" spans="1:27" ht="17.45" customHeight="1">
      <c r="A1257" s="131" t="str">
        <f>IF(priority(Main[[#This Row],[Comments]])&lt;&gt;0, priority(Main[[#This Row],[Comments]]),"")</f>
        <v/>
      </c>
      <c r="B1257" s="99" t="s">
        <v>3751</v>
      </c>
      <c r="C1257" s="65" t="s">
        <v>4</v>
      </c>
      <c r="D1257" s="66" t="s">
        <v>3752</v>
      </c>
      <c r="E1257" s="67">
        <v>40954.564212962963</v>
      </c>
      <c r="F1257" s="67"/>
      <c r="G1257" s="64" t="str">
        <f>IF(stdProdLT(Main[[#This Row],[Comments]])=0.1,"N/A",IF(stdProdLT(Main[[#This Row],[Comments]])=0,"",stdProdLT(Main[[#This Row],[Comments]])))</f>
        <v/>
      </c>
      <c r="H1257" s="68" t="str">
        <f>IF(AND(Main[[#This Row],[In Stock Date]]&lt;&gt;"",Main[[#This Row],[Revised Due Date]]&lt;&gt;""),Main[[#This Row],[In Stock Date]]-Main[[#This Row],[Revised Due Date]],"")</f>
        <v/>
      </c>
      <c r="I1257" s="65" t="s">
        <v>4</v>
      </c>
      <c r="J1257" s="65" t="s">
        <v>4</v>
      </c>
      <c r="K1257" s="65" t="s">
        <v>4</v>
      </c>
      <c r="L1257" s="67"/>
      <c r="M1257" s="69" t="str">
        <f>IF(Main[[#This Row],[Tech Start Date]]&lt;1/1/1990,"",IF(Main[[#This Row],[Class]]="C",WORKDAY(Main[[#This Row],[Tech Start Date]],9),IF(Main[[#This Row],[Class]]="B", WORKDAY(Main[[#This Row],[Tech Start Date]],6),IF(Main[[#This Row],[Class]]="A",WORKDAY(Main[[#This Row],[Tech Start Date]],2),""))))</f>
        <v/>
      </c>
      <c r="N1257" s="69" t="str">
        <f>IF(Main[[#This Row],[Tech Start Date]]&lt;1/1/1990,"",IF(Main[[#This Row],[Class]]="C",WORKDAY(Main[[#This Row],[Tech Start Date]],19),IF(Main[[#This Row],[Class]]="B", WORKDAY(Main[[#This Row],[Tech Start Date]],12),IF(Main[[#This Row],[Class]]="A",WORKDAY(Main[[#This Row],[Tech Start Date]],4),""))))</f>
        <v/>
      </c>
      <c r="O1257" s="69" t="str">
        <f>IF(Main[[#This Row],[Tech Start Date]]&lt;1/1/1990,"",IF(Main[[#This Row],[Class]]="C",WORKDAY(Main[[#This Row],[Tech Start Date]],23),IF(Main[[#This Row],[Class]]="B", WORKDAY(Main[[#This Row],[Tech Start Date]],15),IF(Main[[#This Row],[Class]]="A",WORKDAY(Main[[#This Row],[Tech Start Date]],5),""))))</f>
        <v/>
      </c>
      <c r="P1257" s="69" t="str">
        <f>IF(Main[[#This Row],[Tech Start Date]]&lt;1/1/1990,"",IF(Main[[#This Row],[Class]]="C",WORKDAY(Main[[#This Row],[Tech Start Date]],28),IF(Main[[#This Row],[Class]]="B", WORKDAY(Main[[#This Row],[Tech Start Date]],19),IF(Main[[#This Row],[Class]]="A",WORKDAY(Main[[#This Row],[Tech Start Date]],9),""))))</f>
        <v/>
      </c>
      <c r="Q1257" s="67"/>
      <c r="R1257" s="67"/>
      <c r="S1257" s="65" t="s">
        <v>17</v>
      </c>
      <c r="T1257" s="70" t="s">
        <v>4</v>
      </c>
      <c r="U1257" s="65" t="s">
        <v>7</v>
      </c>
      <c r="V1257" s="65" t="s">
        <v>1932</v>
      </c>
      <c r="W1257" s="65" t="s">
        <v>1925</v>
      </c>
      <c r="X1257" s="65" t="s">
        <v>2868</v>
      </c>
      <c r="Y1257" s="65" t="s">
        <v>3012</v>
      </c>
      <c r="Z1257" s="65" t="s">
        <v>4</v>
      </c>
      <c r="AA1257" s="65" t="s">
        <v>2868</v>
      </c>
    </row>
    <row r="1258" spans="1:27" ht="17.45" customHeight="1">
      <c r="A1258" s="131" t="str">
        <f>IF(priority(Main[[#This Row],[Comments]])&lt;&gt;0, priority(Main[[#This Row],[Comments]]),"")</f>
        <v/>
      </c>
      <c r="B1258" s="99" t="s">
        <v>3491</v>
      </c>
      <c r="C1258" s="65" t="s">
        <v>4</v>
      </c>
      <c r="D1258" s="66" t="s">
        <v>3492</v>
      </c>
      <c r="E1258" s="67"/>
      <c r="F1258" s="67"/>
      <c r="G1258" s="64" t="str">
        <f>IF(stdProdLT(Main[[#This Row],[Comments]])=0.1,"N/A",IF(stdProdLT(Main[[#This Row],[Comments]])=0,"",stdProdLT(Main[[#This Row],[Comments]])))</f>
        <v/>
      </c>
      <c r="H1258" s="68" t="str">
        <f>IF(AND(Main[[#This Row],[In Stock Date]]&lt;&gt;"",Main[[#This Row],[Revised Due Date]]&lt;&gt;""),Main[[#This Row],[In Stock Date]]-Main[[#This Row],[Revised Due Date]],"")</f>
        <v/>
      </c>
      <c r="I1258" s="65" t="s">
        <v>4</v>
      </c>
      <c r="J1258" s="65" t="s">
        <v>4</v>
      </c>
      <c r="K1258" s="65" t="s">
        <v>4</v>
      </c>
      <c r="L1258" s="67"/>
      <c r="M1258" s="69" t="str">
        <f>IF(Main[[#This Row],[Tech Start Date]]&lt;1/1/1990,"",IF(Main[[#This Row],[Class]]="C",WORKDAY(Main[[#This Row],[Tech Start Date]],9),IF(Main[[#This Row],[Class]]="B", WORKDAY(Main[[#This Row],[Tech Start Date]],6),IF(Main[[#This Row],[Class]]="A",WORKDAY(Main[[#This Row],[Tech Start Date]],2),""))))</f>
        <v/>
      </c>
      <c r="N1258" s="69" t="str">
        <f>IF(Main[[#This Row],[Tech Start Date]]&lt;1/1/1990,"",IF(Main[[#This Row],[Class]]="C",WORKDAY(Main[[#This Row],[Tech Start Date]],19),IF(Main[[#This Row],[Class]]="B", WORKDAY(Main[[#This Row],[Tech Start Date]],12),IF(Main[[#This Row],[Class]]="A",WORKDAY(Main[[#This Row],[Tech Start Date]],4),""))))</f>
        <v/>
      </c>
      <c r="O1258" s="69" t="str">
        <f>IF(Main[[#This Row],[Tech Start Date]]&lt;1/1/1990,"",IF(Main[[#This Row],[Class]]="C",WORKDAY(Main[[#This Row],[Tech Start Date]],23),IF(Main[[#This Row],[Class]]="B", WORKDAY(Main[[#This Row],[Tech Start Date]],15),IF(Main[[#This Row],[Class]]="A",WORKDAY(Main[[#This Row],[Tech Start Date]],5),""))))</f>
        <v/>
      </c>
      <c r="P1258" s="69" t="str">
        <f>IF(Main[[#This Row],[Tech Start Date]]&lt;1/1/1990,"",IF(Main[[#This Row],[Class]]="C",WORKDAY(Main[[#This Row],[Tech Start Date]],28),IF(Main[[#This Row],[Class]]="B", WORKDAY(Main[[#This Row],[Tech Start Date]],19),IF(Main[[#This Row],[Class]]="A",WORKDAY(Main[[#This Row],[Tech Start Date]],9),""))))</f>
        <v/>
      </c>
      <c r="Q1258" s="67">
        <v>41001</v>
      </c>
      <c r="R1258" s="67"/>
      <c r="S1258" s="65" t="s">
        <v>6</v>
      </c>
      <c r="T1258" s="70" t="s">
        <v>4</v>
      </c>
      <c r="U1258" s="65" t="s">
        <v>14</v>
      </c>
      <c r="V1258" s="65" t="s">
        <v>1920</v>
      </c>
      <c r="W1258" s="65" t="s">
        <v>4</v>
      </c>
      <c r="X1258" s="65" t="s">
        <v>2828</v>
      </c>
      <c r="Y1258" s="65" t="s">
        <v>2944</v>
      </c>
      <c r="Z1258" s="65" t="s">
        <v>4</v>
      </c>
      <c r="AA1258" s="65" t="s">
        <v>2828</v>
      </c>
    </row>
    <row r="1259" spans="1:27" ht="17.45" customHeight="1">
      <c r="A1259" s="131" t="str">
        <f>IF(priority(Main[[#This Row],[Comments]])&lt;&gt;0, priority(Main[[#This Row],[Comments]]),"")</f>
        <v/>
      </c>
      <c r="B1259" s="99" t="s">
        <v>1665</v>
      </c>
      <c r="C1259" s="65" t="s">
        <v>4</v>
      </c>
      <c r="D1259" s="66" t="s">
        <v>3753</v>
      </c>
      <c r="E1259" s="67">
        <v>40528.434965277775</v>
      </c>
      <c r="F1259" s="67"/>
      <c r="G1259" s="64" t="str">
        <f>IF(stdProdLT(Main[[#This Row],[Comments]])=0.1,"N/A",IF(stdProdLT(Main[[#This Row],[Comments]])=0,"",stdProdLT(Main[[#This Row],[Comments]])))</f>
        <v/>
      </c>
      <c r="H1259" s="68" t="str">
        <f>IF(AND(Main[[#This Row],[In Stock Date]]&lt;&gt;"",Main[[#This Row],[Revised Due Date]]&lt;&gt;""),Main[[#This Row],[In Stock Date]]-Main[[#This Row],[Revised Due Date]],"")</f>
        <v/>
      </c>
      <c r="I1259" s="65" t="s">
        <v>4</v>
      </c>
      <c r="J1259" s="65" t="s">
        <v>28</v>
      </c>
      <c r="K1259" s="65" t="s">
        <v>1929</v>
      </c>
      <c r="L1259" s="67"/>
      <c r="M1259" s="69" t="str">
        <f>IF(Main[[#This Row],[Tech Start Date]]&lt;1/1/1990,"",IF(Main[[#This Row],[Class]]="C",WORKDAY(Main[[#This Row],[Tech Start Date]],9),IF(Main[[#This Row],[Class]]="B", WORKDAY(Main[[#This Row],[Tech Start Date]],6),IF(Main[[#This Row],[Class]]="A",WORKDAY(Main[[#This Row],[Tech Start Date]],2),""))))</f>
        <v/>
      </c>
      <c r="N1259" s="69" t="str">
        <f>IF(Main[[#This Row],[Tech Start Date]]&lt;1/1/1990,"",IF(Main[[#This Row],[Class]]="C",WORKDAY(Main[[#This Row],[Tech Start Date]],19),IF(Main[[#This Row],[Class]]="B", WORKDAY(Main[[#This Row],[Tech Start Date]],12),IF(Main[[#This Row],[Class]]="A",WORKDAY(Main[[#This Row],[Tech Start Date]],4),""))))</f>
        <v/>
      </c>
      <c r="O1259" s="69" t="str">
        <f>IF(Main[[#This Row],[Tech Start Date]]&lt;1/1/1990,"",IF(Main[[#This Row],[Class]]="C",WORKDAY(Main[[#This Row],[Tech Start Date]],23),IF(Main[[#This Row],[Class]]="B", WORKDAY(Main[[#This Row],[Tech Start Date]],15),IF(Main[[#This Row],[Class]]="A",WORKDAY(Main[[#This Row],[Tech Start Date]],5),""))))</f>
        <v/>
      </c>
      <c r="P1259" s="69" t="str">
        <f>IF(Main[[#This Row],[Tech Start Date]]&lt;1/1/1990,"",IF(Main[[#This Row],[Class]]="C",WORKDAY(Main[[#This Row],[Tech Start Date]],28),IF(Main[[#This Row],[Class]]="B", WORKDAY(Main[[#This Row],[Tech Start Date]],19),IF(Main[[#This Row],[Class]]="A",WORKDAY(Main[[#This Row],[Tech Start Date]],9),""))))</f>
        <v/>
      </c>
      <c r="Q1259" s="67">
        <v>41152</v>
      </c>
      <c r="R1259" s="67"/>
      <c r="S1259" s="65" t="s">
        <v>17</v>
      </c>
      <c r="T1259" s="70" t="s">
        <v>4</v>
      </c>
      <c r="U1259" s="65" t="s">
        <v>7</v>
      </c>
      <c r="V1259" s="65" t="s">
        <v>1917</v>
      </c>
      <c r="W1259" s="65" t="s">
        <v>1922</v>
      </c>
      <c r="X1259" s="65" t="s">
        <v>129</v>
      </c>
      <c r="Y1259" s="65" t="s">
        <v>3083</v>
      </c>
      <c r="Z1259" s="65" t="s">
        <v>129</v>
      </c>
      <c r="AA1259" s="65" t="s">
        <v>129</v>
      </c>
    </row>
    <row r="1260" spans="1:27" ht="17.45" customHeight="1">
      <c r="A1260" s="131" t="str">
        <f>IF(priority(Main[[#This Row],[Comments]])&lt;&gt;0, priority(Main[[#This Row],[Comments]]),"")</f>
        <v/>
      </c>
      <c r="B1260" s="99" t="s">
        <v>1661</v>
      </c>
      <c r="C1260" s="65" t="s">
        <v>122</v>
      </c>
      <c r="D1260" s="66" t="s">
        <v>2793</v>
      </c>
      <c r="E1260" s="67">
        <v>40959.441145833334</v>
      </c>
      <c r="F1260" s="67">
        <v>41244</v>
      </c>
      <c r="G1260" s="64">
        <f>IF(stdProdLT(Main[[#This Row],[Comments]])=0.1,"N/A",IF(stdProdLT(Main[[#This Row],[Comments]])=0,"",stdProdLT(Main[[#This Row],[Comments]])))</f>
        <v>126</v>
      </c>
      <c r="H1260" s="68" t="str">
        <f>IF(AND(Main[[#This Row],[In Stock Date]]&lt;&gt;"",Main[[#This Row],[Revised Due Date]]&lt;&gt;""),Main[[#This Row],[In Stock Date]]-Main[[#This Row],[Revised Due Date]],"")</f>
        <v/>
      </c>
      <c r="I1260" s="65" t="s">
        <v>4</v>
      </c>
      <c r="J1260" s="65" t="s">
        <v>28</v>
      </c>
      <c r="K1260" s="65" t="s">
        <v>1930</v>
      </c>
      <c r="L1260" s="67"/>
      <c r="M1260" s="69" t="str">
        <f>IF(Main[[#This Row],[Tech Start Date]]&lt;1/1/1990,"",IF(Main[[#This Row],[Class]]="C",WORKDAY(Main[[#This Row],[Tech Start Date]],9),IF(Main[[#This Row],[Class]]="B", WORKDAY(Main[[#This Row],[Tech Start Date]],6),IF(Main[[#This Row],[Class]]="A",WORKDAY(Main[[#This Row],[Tech Start Date]],2),""))))</f>
        <v/>
      </c>
      <c r="N1260" s="69" t="str">
        <f>IF(Main[[#This Row],[Tech Start Date]]&lt;1/1/1990,"",IF(Main[[#This Row],[Class]]="C",WORKDAY(Main[[#This Row],[Tech Start Date]],19),IF(Main[[#This Row],[Class]]="B", WORKDAY(Main[[#This Row],[Tech Start Date]],12),IF(Main[[#This Row],[Class]]="A",WORKDAY(Main[[#This Row],[Tech Start Date]],4),""))))</f>
        <v/>
      </c>
      <c r="O1260" s="69" t="str">
        <f>IF(Main[[#This Row],[Tech Start Date]]&lt;1/1/1990,"",IF(Main[[#This Row],[Class]]="C",WORKDAY(Main[[#This Row],[Tech Start Date]],23),IF(Main[[#This Row],[Class]]="B", WORKDAY(Main[[#This Row],[Tech Start Date]],15),IF(Main[[#This Row],[Class]]="A",WORKDAY(Main[[#This Row],[Tech Start Date]],5),""))))</f>
        <v/>
      </c>
      <c r="P1260" s="69" t="str">
        <f>IF(Main[[#This Row],[Tech Start Date]]&lt;1/1/1990,"",IF(Main[[#This Row],[Class]]="C",WORKDAY(Main[[#This Row],[Tech Start Date]],28),IF(Main[[#This Row],[Class]]="B", WORKDAY(Main[[#This Row],[Tech Start Date]],19),IF(Main[[#This Row],[Class]]="A",WORKDAY(Main[[#This Row],[Tech Start Date]],9),""))))</f>
        <v/>
      </c>
      <c r="Q1260" s="67">
        <v>40711</v>
      </c>
      <c r="R1260" s="67"/>
      <c r="S1260" s="65" t="s">
        <v>11</v>
      </c>
      <c r="T1260" s="70" t="s">
        <v>3754</v>
      </c>
      <c r="U1260" s="65" t="s">
        <v>696</v>
      </c>
      <c r="V1260" s="65" t="s">
        <v>1917</v>
      </c>
      <c r="W1260" s="65" t="s">
        <v>1919</v>
      </c>
      <c r="X1260" s="65" t="s">
        <v>2858</v>
      </c>
      <c r="Y1260" s="65" t="s">
        <v>3140</v>
      </c>
      <c r="Z1260" s="65" t="s">
        <v>129</v>
      </c>
      <c r="AA1260" s="65" t="s">
        <v>2858</v>
      </c>
    </row>
    <row r="1261" spans="1:27" ht="17.45" customHeight="1">
      <c r="A1261" s="131" t="str">
        <f>IF(priority(Main[[#This Row],[Comments]])&lt;&gt;0, priority(Main[[#This Row],[Comments]]),"")</f>
        <v/>
      </c>
      <c r="B1261" s="99" t="s">
        <v>1854</v>
      </c>
      <c r="C1261" s="65" t="s">
        <v>4</v>
      </c>
      <c r="D1261" s="66" t="s">
        <v>2818</v>
      </c>
      <c r="E1261" s="67">
        <v>40365.451284722221</v>
      </c>
      <c r="F1261" s="67"/>
      <c r="G1261" s="64" t="str">
        <f>IF(stdProdLT(Main[[#This Row],[Comments]])=0.1,"N/A",IF(stdProdLT(Main[[#This Row],[Comments]])=0,"",stdProdLT(Main[[#This Row],[Comments]])))</f>
        <v/>
      </c>
      <c r="H1261" s="68" t="str">
        <f>IF(AND(Main[[#This Row],[In Stock Date]]&lt;&gt;"",Main[[#This Row],[Revised Due Date]]&lt;&gt;""),Main[[#This Row],[In Stock Date]]-Main[[#This Row],[Revised Due Date]],"")</f>
        <v/>
      </c>
      <c r="I1261" s="65" t="s">
        <v>909</v>
      </c>
      <c r="J1261" s="65" t="s">
        <v>28</v>
      </c>
      <c r="K1261" s="71" t="s">
        <v>1929</v>
      </c>
      <c r="L1261" s="67"/>
      <c r="M1261" s="69" t="str">
        <f>IF(Main[[#This Row],[Tech Start Date]]&lt;1/1/1990,"",IF(Main[[#This Row],[Class]]="C",WORKDAY(Main[[#This Row],[Tech Start Date]],9),IF(Main[[#This Row],[Class]]="B", WORKDAY(Main[[#This Row],[Tech Start Date]],6),IF(Main[[#This Row],[Class]]="A",WORKDAY(Main[[#This Row],[Tech Start Date]],2),""))))</f>
        <v/>
      </c>
      <c r="N1261" s="69" t="str">
        <f>IF(Main[[#This Row],[Tech Start Date]]&lt;1/1/1990,"",IF(Main[[#This Row],[Class]]="C",WORKDAY(Main[[#This Row],[Tech Start Date]],19),IF(Main[[#This Row],[Class]]="B", WORKDAY(Main[[#This Row],[Tech Start Date]],12),IF(Main[[#This Row],[Class]]="A",WORKDAY(Main[[#This Row],[Tech Start Date]],4),""))))</f>
        <v/>
      </c>
      <c r="O1261" s="69" t="str">
        <f>IF(Main[[#This Row],[Tech Start Date]]&lt;1/1/1990,"",IF(Main[[#This Row],[Class]]="C",WORKDAY(Main[[#This Row],[Tech Start Date]],23),IF(Main[[#This Row],[Class]]="B", WORKDAY(Main[[#This Row],[Tech Start Date]],15),IF(Main[[#This Row],[Class]]="A",WORKDAY(Main[[#This Row],[Tech Start Date]],5),""))))</f>
        <v/>
      </c>
      <c r="P1261" s="69" t="str">
        <f>IF(Main[[#This Row],[Tech Start Date]]&lt;1/1/1990,"",IF(Main[[#This Row],[Class]]="C",WORKDAY(Main[[#This Row],[Tech Start Date]],28),IF(Main[[#This Row],[Class]]="B", WORKDAY(Main[[#This Row],[Tech Start Date]],19),IF(Main[[#This Row],[Class]]="A",WORKDAY(Main[[#This Row],[Tech Start Date]],9),""))))</f>
        <v/>
      </c>
      <c r="Q1261" s="67">
        <v>40968</v>
      </c>
      <c r="R1261" s="67">
        <v>40939</v>
      </c>
      <c r="S1261" s="65" t="s">
        <v>17</v>
      </c>
      <c r="T1261" s="70" t="s">
        <v>2599</v>
      </c>
      <c r="U1261" s="65" t="s">
        <v>29</v>
      </c>
      <c r="V1261" s="65" t="s">
        <v>1917</v>
      </c>
      <c r="W1261" s="65" t="s">
        <v>1922</v>
      </c>
      <c r="X1261" s="65" t="s">
        <v>129</v>
      </c>
      <c r="Y1261" s="65" t="s">
        <v>4</v>
      </c>
      <c r="Z1261" s="65" t="s">
        <v>129</v>
      </c>
      <c r="AA1261" s="65" t="s">
        <v>2834</v>
      </c>
    </row>
    <row r="1262" spans="1:27" ht="17.45" customHeight="1">
      <c r="A1262" s="131" t="str">
        <f>IF(priority(Main[[#This Row],[Comments]])&lt;&gt;0, priority(Main[[#This Row],[Comments]]),"")</f>
        <v/>
      </c>
      <c r="B1262" s="99" t="s">
        <v>2479</v>
      </c>
      <c r="C1262" s="65" t="s">
        <v>4</v>
      </c>
      <c r="D1262" s="66" t="s">
        <v>2480</v>
      </c>
      <c r="E1262" s="67">
        <v>40849.40829861111</v>
      </c>
      <c r="F1262" s="67"/>
      <c r="G1262" s="64" t="str">
        <f>IF(stdProdLT(Main[[#This Row],[Comments]])=0.1,"N/A",IF(stdProdLT(Main[[#This Row],[Comments]])=0,"",stdProdLT(Main[[#This Row],[Comments]])))</f>
        <v/>
      </c>
      <c r="H1262" s="68" t="str">
        <f>IF(AND(Main[[#This Row],[In Stock Date]]&lt;&gt;"",Main[[#This Row],[Revised Due Date]]&lt;&gt;""),Main[[#This Row],[In Stock Date]]-Main[[#This Row],[Revised Due Date]],"")</f>
        <v/>
      </c>
      <c r="I1262" s="65" t="s">
        <v>2047</v>
      </c>
      <c r="J1262" s="65" t="s">
        <v>21</v>
      </c>
      <c r="K1262" s="65" t="s">
        <v>1926</v>
      </c>
      <c r="L1262" s="67"/>
      <c r="M1262" s="69" t="str">
        <f>IF(Main[[#This Row],[Tech Start Date]]&lt;1/1/1990,"",IF(Main[[#This Row],[Class]]="C",WORKDAY(Main[[#This Row],[Tech Start Date]],9),IF(Main[[#This Row],[Class]]="B", WORKDAY(Main[[#This Row],[Tech Start Date]],6),IF(Main[[#This Row],[Class]]="A",WORKDAY(Main[[#This Row],[Tech Start Date]],2),""))))</f>
        <v/>
      </c>
      <c r="N1262" s="69" t="str">
        <f>IF(Main[[#This Row],[Tech Start Date]]&lt;1/1/1990,"",IF(Main[[#This Row],[Class]]="C",WORKDAY(Main[[#This Row],[Tech Start Date]],19),IF(Main[[#This Row],[Class]]="B", WORKDAY(Main[[#This Row],[Tech Start Date]],12),IF(Main[[#This Row],[Class]]="A",WORKDAY(Main[[#This Row],[Tech Start Date]],4),""))))</f>
        <v/>
      </c>
      <c r="O1262" s="69" t="str">
        <f>IF(Main[[#This Row],[Tech Start Date]]&lt;1/1/1990,"",IF(Main[[#This Row],[Class]]="C",WORKDAY(Main[[#This Row],[Tech Start Date]],23),IF(Main[[#This Row],[Class]]="B", WORKDAY(Main[[#This Row],[Tech Start Date]],15),IF(Main[[#This Row],[Class]]="A",WORKDAY(Main[[#This Row],[Tech Start Date]],5),""))))</f>
        <v/>
      </c>
      <c r="P1262" s="69" t="str">
        <f>IF(Main[[#This Row],[Tech Start Date]]&lt;1/1/1990,"",IF(Main[[#This Row],[Class]]="C",WORKDAY(Main[[#This Row],[Tech Start Date]],28),IF(Main[[#This Row],[Class]]="B", WORKDAY(Main[[#This Row],[Tech Start Date]],19),IF(Main[[#This Row],[Class]]="A",WORKDAY(Main[[#This Row],[Tech Start Date]],9),""))))</f>
        <v/>
      </c>
      <c r="Q1262" s="67">
        <v>40856</v>
      </c>
      <c r="R1262" s="67"/>
      <c r="S1262" s="65" t="s">
        <v>6</v>
      </c>
      <c r="T1262" s="70" t="s">
        <v>4</v>
      </c>
      <c r="U1262" s="65" t="s">
        <v>29</v>
      </c>
      <c r="V1262" s="65" t="s">
        <v>1920</v>
      </c>
      <c r="W1262" s="65" t="s">
        <v>1921</v>
      </c>
      <c r="X1262" s="65" t="s">
        <v>2909</v>
      </c>
      <c r="Y1262" s="65" t="s">
        <v>3089</v>
      </c>
      <c r="Z1262" s="65" t="s">
        <v>4</v>
      </c>
      <c r="AA1262" s="65" t="s">
        <v>2909</v>
      </c>
    </row>
    <row r="1263" spans="1:27" ht="17.45" customHeight="1">
      <c r="A1263" s="131" t="str">
        <f>IF(priority(Main[[#This Row],[Comments]])&lt;&gt;0, priority(Main[[#This Row],[Comments]]),"")</f>
        <v/>
      </c>
      <c r="B1263" s="99" t="s">
        <v>3287</v>
      </c>
      <c r="C1263" s="65" t="s">
        <v>4</v>
      </c>
      <c r="D1263" s="66" t="s">
        <v>3755</v>
      </c>
      <c r="E1263" s="67">
        <v>40934.381273148145</v>
      </c>
      <c r="F1263" s="67"/>
      <c r="G1263" s="64" t="str">
        <f>IF(stdProdLT(Main[[#This Row],[Comments]])=0.1,"N/A",IF(stdProdLT(Main[[#This Row],[Comments]])=0,"",stdProdLT(Main[[#This Row],[Comments]])))</f>
        <v/>
      </c>
      <c r="H1263" s="68" t="str">
        <f>IF(AND(Main[[#This Row],[In Stock Date]]&lt;&gt;"",Main[[#This Row],[Revised Due Date]]&lt;&gt;""),Main[[#This Row],[In Stock Date]]-Main[[#This Row],[Revised Due Date]],"")</f>
        <v/>
      </c>
      <c r="I1263" s="65" t="s">
        <v>69</v>
      </c>
      <c r="J1263" s="65" t="s">
        <v>70</v>
      </c>
      <c r="K1263" s="65" t="s">
        <v>1926</v>
      </c>
      <c r="L1263" s="67"/>
      <c r="M1263" s="69" t="str">
        <f>IF(Main[[#This Row],[Tech Start Date]]&lt;1/1/1990,"",IF(Main[[#This Row],[Class]]="C",WORKDAY(Main[[#This Row],[Tech Start Date]],9),IF(Main[[#This Row],[Class]]="B", WORKDAY(Main[[#This Row],[Tech Start Date]],6),IF(Main[[#This Row],[Class]]="A",WORKDAY(Main[[#This Row],[Tech Start Date]],2),""))))</f>
        <v/>
      </c>
      <c r="N1263" s="69" t="str">
        <f>IF(Main[[#This Row],[Tech Start Date]]&lt;1/1/1990,"",IF(Main[[#This Row],[Class]]="C",WORKDAY(Main[[#This Row],[Tech Start Date]],19),IF(Main[[#This Row],[Class]]="B", WORKDAY(Main[[#This Row],[Tech Start Date]],12),IF(Main[[#This Row],[Class]]="A",WORKDAY(Main[[#This Row],[Tech Start Date]],4),""))))</f>
        <v/>
      </c>
      <c r="O1263" s="69" t="str">
        <f>IF(Main[[#This Row],[Tech Start Date]]&lt;1/1/1990,"",IF(Main[[#This Row],[Class]]="C",WORKDAY(Main[[#This Row],[Tech Start Date]],23),IF(Main[[#This Row],[Class]]="B", WORKDAY(Main[[#This Row],[Tech Start Date]],15),IF(Main[[#This Row],[Class]]="A",WORKDAY(Main[[#This Row],[Tech Start Date]],5),""))))</f>
        <v/>
      </c>
      <c r="P1263" s="69" t="str">
        <f>IF(Main[[#This Row],[Tech Start Date]]&lt;1/1/1990,"",IF(Main[[#This Row],[Class]]="C",WORKDAY(Main[[#This Row],[Tech Start Date]],28),IF(Main[[#This Row],[Class]]="B", WORKDAY(Main[[#This Row],[Tech Start Date]],19),IF(Main[[#This Row],[Class]]="A",WORKDAY(Main[[#This Row],[Tech Start Date]],9),""))))</f>
        <v/>
      </c>
      <c r="Q1263" s="67">
        <v>40968</v>
      </c>
      <c r="R1263" s="67"/>
      <c r="S1263" s="65" t="s">
        <v>6</v>
      </c>
      <c r="T1263" s="70" t="s">
        <v>4</v>
      </c>
      <c r="U1263" s="65" t="s">
        <v>29</v>
      </c>
      <c r="V1263" s="65" t="s">
        <v>1920</v>
      </c>
      <c r="W1263" s="65" t="s">
        <v>1921</v>
      </c>
      <c r="X1263" s="65" t="s">
        <v>2824</v>
      </c>
      <c r="Y1263" s="65" t="s">
        <v>2935</v>
      </c>
      <c r="Z1263" s="65" t="s">
        <v>30</v>
      </c>
      <c r="AA1263" s="65" t="s">
        <v>2824</v>
      </c>
    </row>
    <row r="1264" spans="1:27" ht="17.45" customHeight="1">
      <c r="A1264" s="131" t="str">
        <f>IF(priority(Main[[#This Row],[Comments]])&lt;&gt;0, priority(Main[[#This Row],[Comments]]),"")</f>
        <v/>
      </c>
      <c r="B1264" s="99" t="s">
        <v>3522</v>
      </c>
      <c r="C1264" s="65" t="s">
        <v>4</v>
      </c>
      <c r="D1264" s="66" t="s">
        <v>3756</v>
      </c>
      <c r="E1264" s="67">
        <v>40942.368715277778</v>
      </c>
      <c r="F1264" s="67"/>
      <c r="G1264" s="64" t="str">
        <f>IF(stdProdLT(Main[[#This Row],[Comments]])=0.1,"N/A",IF(stdProdLT(Main[[#This Row],[Comments]])=0,"",stdProdLT(Main[[#This Row],[Comments]])))</f>
        <v/>
      </c>
      <c r="H1264" s="68" t="str">
        <f>IF(AND(Main[[#This Row],[In Stock Date]]&lt;&gt;"",Main[[#This Row],[Revised Due Date]]&lt;&gt;""),Main[[#This Row],[In Stock Date]]-Main[[#This Row],[Revised Due Date]],"")</f>
        <v/>
      </c>
      <c r="I1264" s="65" t="s">
        <v>69</v>
      </c>
      <c r="J1264" s="65" t="s">
        <v>70</v>
      </c>
      <c r="K1264" s="65" t="s">
        <v>1926</v>
      </c>
      <c r="L1264" s="67"/>
      <c r="M1264" s="69" t="str">
        <f>IF(Main[[#This Row],[Tech Start Date]]&lt;1/1/1990,"",IF(Main[[#This Row],[Class]]="C",WORKDAY(Main[[#This Row],[Tech Start Date]],9),IF(Main[[#This Row],[Class]]="B", WORKDAY(Main[[#This Row],[Tech Start Date]],6),IF(Main[[#This Row],[Class]]="A",WORKDAY(Main[[#This Row],[Tech Start Date]],2),""))))</f>
        <v/>
      </c>
      <c r="N1264" s="69" t="str">
        <f>IF(Main[[#This Row],[Tech Start Date]]&lt;1/1/1990,"",IF(Main[[#This Row],[Class]]="C",WORKDAY(Main[[#This Row],[Tech Start Date]],19),IF(Main[[#This Row],[Class]]="B", WORKDAY(Main[[#This Row],[Tech Start Date]],12),IF(Main[[#This Row],[Class]]="A",WORKDAY(Main[[#This Row],[Tech Start Date]],4),""))))</f>
        <v/>
      </c>
      <c r="O1264" s="69" t="str">
        <f>IF(Main[[#This Row],[Tech Start Date]]&lt;1/1/1990,"",IF(Main[[#This Row],[Class]]="C",WORKDAY(Main[[#This Row],[Tech Start Date]],23),IF(Main[[#This Row],[Class]]="B", WORKDAY(Main[[#This Row],[Tech Start Date]],15),IF(Main[[#This Row],[Class]]="A",WORKDAY(Main[[#This Row],[Tech Start Date]],5),""))))</f>
        <v/>
      </c>
      <c r="P1264" s="69" t="str">
        <f>IF(Main[[#This Row],[Tech Start Date]]&lt;1/1/1990,"",IF(Main[[#This Row],[Class]]="C",WORKDAY(Main[[#This Row],[Tech Start Date]],28),IF(Main[[#This Row],[Class]]="B", WORKDAY(Main[[#This Row],[Tech Start Date]],19),IF(Main[[#This Row],[Class]]="A",WORKDAY(Main[[#This Row],[Tech Start Date]],9),""))))</f>
        <v/>
      </c>
      <c r="Q1264" s="67">
        <v>40977</v>
      </c>
      <c r="R1264" s="67"/>
      <c r="S1264" s="65" t="s">
        <v>6</v>
      </c>
      <c r="T1264" s="70" t="s">
        <v>4</v>
      </c>
      <c r="U1264" s="65" t="s">
        <v>29</v>
      </c>
      <c r="V1264" s="65" t="s">
        <v>1920</v>
      </c>
      <c r="W1264" s="65" t="s">
        <v>1921</v>
      </c>
      <c r="X1264" s="65" t="s">
        <v>2824</v>
      </c>
      <c r="Y1264" s="65" t="s">
        <v>2935</v>
      </c>
      <c r="Z1264" s="65" t="s">
        <v>30</v>
      </c>
      <c r="AA1264" s="65" t="s">
        <v>2824</v>
      </c>
    </row>
    <row r="1265" spans="1:27" ht="17.45" customHeight="1">
      <c r="A1265" s="131" t="str">
        <f>IF(priority(Main[[#This Row],[Comments]])&lt;&gt;0, priority(Main[[#This Row],[Comments]]),"")</f>
        <v/>
      </c>
      <c r="B1265" s="99" t="s">
        <v>1848</v>
      </c>
      <c r="C1265" s="65" t="s">
        <v>67</v>
      </c>
      <c r="D1265" s="66" t="s">
        <v>2585</v>
      </c>
      <c r="E1265" s="67">
        <v>40343.573750000003</v>
      </c>
      <c r="F1265" s="67"/>
      <c r="G1265" s="64" t="str">
        <f>IF(stdProdLT(Main[[#This Row],[Comments]])=0.1,"N/A",IF(stdProdLT(Main[[#This Row],[Comments]])=0,"",stdProdLT(Main[[#This Row],[Comments]])))</f>
        <v/>
      </c>
      <c r="H1265" s="68" t="str">
        <f>IF(AND(Main[[#This Row],[In Stock Date]]&lt;&gt;"",Main[[#This Row],[Revised Due Date]]&lt;&gt;""),Main[[#This Row],[In Stock Date]]-Main[[#This Row],[Revised Due Date]],"")</f>
        <v/>
      </c>
      <c r="I1265" s="65" t="s">
        <v>74</v>
      </c>
      <c r="J1265" s="65" t="s">
        <v>28</v>
      </c>
      <c r="K1265" s="65" t="s">
        <v>1929</v>
      </c>
      <c r="L1265" s="67"/>
      <c r="M1265" s="69" t="str">
        <f>IF(Main[[#This Row],[Tech Start Date]]&lt;1/1/1990,"",IF(Main[[#This Row],[Class]]="C",WORKDAY(Main[[#This Row],[Tech Start Date]],9),IF(Main[[#This Row],[Class]]="B", WORKDAY(Main[[#This Row],[Tech Start Date]],6),IF(Main[[#This Row],[Class]]="A",WORKDAY(Main[[#This Row],[Tech Start Date]],2),""))))</f>
        <v/>
      </c>
      <c r="N1265" s="69" t="str">
        <f>IF(Main[[#This Row],[Tech Start Date]]&lt;1/1/1990,"",IF(Main[[#This Row],[Class]]="C",WORKDAY(Main[[#This Row],[Tech Start Date]],19),IF(Main[[#This Row],[Class]]="B", WORKDAY(Main[[#This Row],[Tech Start Date]],12),IF(Main[[#This Row],[Class]]="A",WORKDAY(Main[[#This Row],[Tech Start Date]],4),""))))</f>
        <v/>
      </c>
      <c r="O1265" s="69" t="str">
        <f>IF(Main[[#This Row],[Tech Start Date]]&lt;1/1/1990,"",IF(Main[[#This Row],[Class]]="C",WORKDAY(Main[[#This Row],[Tech Start Date]],23),IF(Main[[#This Row],[Class]]="B", WORKDAY(Main[[#This Row],[Tech Start Date]],15),IF(Main[[#This Row],[Class]]="A",WORKDAY(Main[[#This Row],[Tech Start Date]],5),""))))</f>
        <v/>
      </c>
      <c r="P1265" s="69" t="str">
        <f>IF(Main[[#This Row],[Tech Start Date]]&lt;1/1/1990,"",IF(Main[[#This Row],[Class]]="C",WORKDAY(Main[[#This Row],[Tech Start Date]],28),IF(Main[[#This Row],[Class]]="B", WORKDAY(Main[[#This Row],[Tech Start Date]],19),IF(Main[[#This Row],[Class]]="A",WORKDAY(Main[[#This Row],[Tech Start Date]],9),""))))</f>
        <v/>
      </c>
      <c r="Q1265" s="67">
        <v>40466</v>
      </c>
      <c r="R1265" s="67">
        <v>40868</v>
      </c>
      <c r="S1265" s="65" t="s">
        <v>17</v>
      </c>
      <c r="T1265" s="70" t="s">
        <v>4</v>
      </c>
      <c r="U1265" s="65" t="s">
        <v>29</v>
      </c>
      <c r="V1265" s="65" t="s">
        <v>1920</v>
      </c>
      <c r="W1265" s="65" t="s">
        <v>1923</v>
      </c>
      <c r="X1265" s="65" t="s">
        <v>306</v>
      </c>
      <c r="Y1265" s="65" t="s">
        <v>2955</v>
      </c>
      <c r="Z1265" s="65" t="s">
        <v>415</v>
      </c>
      <c r="AA1265" s="65" t="s">
        <v>415</v>
      </c>
    </row>
    <row r="1266" spans="1:27" ht="17.45" customHeight="1">
      <c r="A1266" s="131" t="str">
        <f>IF(priority(Main[[#This Row],[Comments]])&lt;&gt;0, priority(Main[[#This Row],[Comments]]),"")</f>
        <v/>
      </c>
      <c r="B1266" s="99" t="s">
        <v>1460</v>
      </c>
      <c r="C1266" s="65" t="s">
        <v>197</v>
      </c>
      <c r="D1266" s="66" t="s">
        <v>2523</v>
      </c>
      <c r="E1266" s="67">
        <v>40711.410266203704</v>
      </c>
      <c r="F1266" s="67"/>
      <c r="G1266" s="64" t="str">
        <f>IF(stdProdLT(Main[[#This Row],[Comments]])=0.1,"N/A",IF(stdProdLT(Main[[#This Row],[Comments]])=0,"",stdProdLT(Main[[#This Row],[Comments]])))</f>
        <v/>
      </c>
      <c r="H1266" s="68" t="str">
        <f>IF(AND(Main[[#This Row],[In Stock Date]]&lt;&gt;"",Main[[#This Row],[Revised Due Date]]&lt;&gt;""),Main[[#This Row],[In Stock Date]]-Main[[#This Row],[Revised Due Date]],"")</f>
        <v/>
      </c>
      <c r="I1266" s="65" t="s">
        <v>4</v>
      </c>
      <c r="J1266" s="65" t="s">
        <v>4</v>
      </c>
      <c r="K1266" s="65" t="s">
        <v>4</v>
      </c>
      <c r="L1266" s="67"/>
      <c r="M1266" s="69" t="str">
        <f>IF(Main[[#This Row],[Tech Start Date]]&lt;1/1/1990,"",IF(Main[[#This Row],[Class]]="C",WORKDAY(Main[[#This Row],[Tech Start Date]],9),IF(Main[[#This Row],[Class]]="B", WORKDAY(Main[[#This Row],[Tech Start Date]],6),IF(Main[[#This Row],[Class]]="A",WORKDAY(Main[[#This Row],[Tech Start Date]],2),""))))</f>
        <v/>
      </c>
      <c r="N1266" s="69" t="str">
        <f>IF(Main[[#This Row],[Tech Start Date]]&lt;1/1/1990,"",IF(Main[[#This Row],[Class]]="C",WORKDAY(Main[[#This Row],[Tech Start Date]],19),IF(Main[[#This Row],[Class]]="B", WORKDAY(Main[[#This Row],[Tech Start Date]],12),IF(Main[[#This Row],[Class]]="A",WORKDAY(Main[[#This Row],[Tech Start Date]],4),""))))</f>
        <v/>
      </c>
      <c r="O1266" s="69" t="str">
        <f>IF(Main[[#This Row],[Tech Start Date]]&lt;1/1/1990,"",IF(Main[[#This Row],[Class]]="C",WORKDAY(Main[[#This Row],[Tech Start Date]],23),IF(Main[[#This Row],[Class]]="B", WORKDAY(Main[[#This Row],[Tech Start Date]],15),IF(Main[[#This Row],[Class]]="A",WORKDAY(Main[[#This Row],[Tech Start Date]],5),""))))</f>
        <v/>
      </c>
      <c r="P1266" s="69" t="str">
        <f>IF(Main[[#This Row],[Tech Start Date]]&lt;1/1/1990,"",IF(Main[[#This Row],[Class]]="C",WORKDAY(Main[[#This Row],[Tech Start Date]],28),IF(Main[[#This Row],[Class]]="B", WORKDAY(Main[[#This Row],[Tech Start Date]],19),IF(Main[[#This Row],[Class]]="A",WORKDAY(Main[[#This Row],[Tech Start Date]],9),""))))</f>
        <v/>
      </c>
      <c r="Q1266" s="67">
        <v>40846</v>
      </c>
      <c r="R1266" s="67"/>
      <c r="S1266" s="65" t="s">
        <v>17</v>
      </c>
      <c r="T1266" s="70" t="s">
        <v>4</v>
      </c>
      <c r="U1266" s="65" t="s">
        <v>29</v>
      </c>
      <c r="V1266" s="65" t="s">
        <v>1920</v>
      </c>
      <c r="W1266" s="65" t="s">
        <v>1925</v>
      </c>
      <c r="X1266" s="65" t="s">
        <v>554</v>
      </c>
      <c r="Y1266" s="65" t="s">
        <v>2958</v>
      </c>
      <c r="Z1266" s="65" t="s">
        <v>4</v>
      </c>
      <c r="AA1266" s="65" t="s">
        <v>554</v>
      </c>
    </row>
    <row r="1267" spans="1:27" ht="17.45" customHeight="1">
      <c r="A1267" s="131" t="str">
        <f>IF(priority(Main[[#This Row],[Comments]])&lt;&gt;0, priority(Main[[#This Row],[Comments]]),"")</f>
        <v/>
      </c>
      <c r="B1267" s="99" t="s">
        <v>2582</v>
      </c>
      <c r="C1267" s="65" t="s">
        <v>4</v>
      </c>
      <c r="D1267" s="66" t="s">
        <v>728</v>
      </c>
      <c r="E1267" s="67"/>
      <c r="F1267" s="67"/>
      <c r="G1267" s="64" t="str">
        <f>IF(stdProdLT(Main[[#This Row],[Comments]])=0.1,"N/A",IF(stdProdLT(Main[[#This Row],[Comments]])=0,"",stdProdLT(Main[[#This Row],[Comments]])))</f>
        <v/>
      </c>
      <c r="H1267" s="68" t="str">
        <f>IF(AND(Main[[#This Row],[In Stock Date]]&lt;&gt;"",Main[[#This Row],[Revised Due Date]]&lt;&gt;""),Main[[#This Row],[In Stock Date]]-Main[[#This Row],[Revised Due Date]],"")</f>
        <v/>
      </c>
      <c r="I1267" s="65" t="s">
        <v>4</v>
      </c>
      <c r="J1267" s="65" t="s">
        <v>4</v>
      </c>
      <c r="K1267" s="65" t="s">
        <v>4</v>
      </c>
      <c r="L1267" s="67"/>
      <c r="M1267" s="69" t="str">
        <f>IF(Main[[#This Row],[Tech Start Date]]&lt;1/1/1990,"",IF(Main[[#This Row],[Class]]="C",WORKDAY(Main[[#This Row],[Tech Start Date]],9),IF(Main[[#This Row],[Class]]="B", WORKDAY(Main[[#This Row],[Tech Start Date]],6),IF(Main[[#This Row],[Class]]="A",WORKDAY(Main[[#This Row],[Tech Start Date]],2),""))))</f>
        <v/>
      </c>
      <c r="N1267" s="69" t="str">
        <f>IF(Main[[#This Row],[Tech Start Date]]&lt;1/1/1990,"",IF(Main[[#This Row],[Class]]="C",WORKDAY(Main[[#This Row],[Tech Start Date]],19),IF(Main[[#This Row],[Class]]="B", WORKDAY(Main[[#This Row],[Tech Start Date]],12),IF(Main[[#This Row],[Class]]="A",WORKDAY(Main[[#This Row],[Tech Start Date]],4),""))))</f>
        <v/>
      </c>
      <c r="O1267" s="69" t="str">
        <f>IF(Main[[#This Row],[Tech Start Date]]&lt;1/1/1990,"",IF(Main[[#This Row],[Class]]="C",WORKDAY(Main[[#This Row],[Tech Start Date]],23),IF(Main[[#This Row],[Class]]="B", WORKDAY(Main[[#This Row],[Tech Start Date]],15),IF(Main[[#This Row],[Class]]="A",WORKDAY(Main[[#This Row],[Tech Start Date]],5),""))))</f>
        <v/>
      </c>
      <c r="P1267" s="69" t="str">
        <f>IF(Main[[#This Row],[Tech Start Date]]&lt;1/1/1990,"",IF(Main[[#This Row],[Class]]="C",WORKDAY(Main[[#This Row],[Tech Start Date]],28),IF(Main[[#This Row],[Class]]="B", WORKDAY(Main[[#This Row],[Tech Start Date]],19),IF(Main[[#This Row],[Class]]="A",WORKDAY(Main[[#This Row],[Tech Start Date]],9),""))))</f>
        <v/>
      </c>
      <c r="Q1267" s="67"/>
      <c r="R1267" s="67"/>
      <c r="S1267" s="65" t="s">
        <v>4</v>
      </c>
      <c r="T1267" s="70" t="s">
        <v>4</v>
      </c>
      <c r="U1267" s="65" t="s">
        <v>14</v>
      </c>
      <c r="V1267" s="65" t="s">
        <v>1920</v>
      </c>
      <c r="W1267" s="65" t="s">
        <v>4</v>
      </c>
      <c r="X1267" s="65" t="s">
        <v>306</v>
      </c>
      <c r="Y1267" s="65" t="s">
        <v>4</v>
      </c>
      <c r="Z1267" s="65" t="s">
        <v>4</v>
      </c>
      <c r="AA1267" s="65" t="s">
        <v>4</v>
      </c>
    </row>
    <row r="1268" spans="1:27" ht="17.45" customHeight="1">
      <c r="A1268" s="131" t="str">
        <f>IF(priority(Main[[#This Row],[Comments]])&lt;&gt;0, priority(Main[[#This Row],[Comments]]),"")</f>
        <v/>
      </c>
      <c r="B1268" s="99" t="s">
        <v>3373</v>
      </c>
      <c r="C1268" s="65" t="s">
        <v>47</v>
      </c>
      <c r="D1268" s="66" t="s">
        <v>3374</v>
      </c>
      <c r="E1268" s="67">
        <v>40938.56958333333</v>
      </c>
      <c r="F1268" s="67"/>
      <c r="G1268" s="64" t="str">
        <f>IF(stdProdLT(Main[[#This Row],[Comments]])=0.1,"N/A",IF(stdProdLT(Main[[#This Row],[Comments]])=0,"",stdProdLT(Main[[#This Row],[Comments]])))</f>
        <v/>
      </c>
      <c r="H1268" s="68" t="str">
        <f>IF(AND(Main[[#This Row],[In Stock Date]]&lt;&gt;"",Main[[#This Row],[Revised Due Date]]&lt;&gt;""),Main[[#This Row],[In Stock Date]]-Main[[#This Row],[Revised Due Date]],"")</f>
        <v/>
      </c>
      <c r="I1268" s="65" t="s">
        <v>4</v>
      </c>
      <c r="J1268" s="65" t="s">
        <v>4</v>
      </c>
      <c r="K1268" s="65" t="s">
        <v>4</v>
      </c>
      <c r="L1268" s="67"/>
      <c r="M1268" s="69" t="str">
        <f>IF(Main[[#This Row],[Tech Start Date]]&lt;1/1/1990,"",IF(Main[[#This Row],[Class]]="C",WORKDAY(Main[[#This Row],[Tech Start Date]],9),IF(Main[[#This Row],[Class]]="B", WORKDAY(Main[[#This Row],[Tech Start Date]],6),IF(Main[[#This Row],[Class]]="A",WORKDAY(Main[[#This Row],[Tech Start Date]],2),""))))</f>
        <v/>
      </c>
      <c r="N1268" s="69" t="str">
        <f>IF(Main[[#This Row],[Tech Start Date]]&lt;1/1/1990,"",IF(Main[[#This Row],[Class]]="C",WORKDAY(Main[[#This Row],[Tech Start Date]],19),IF(Main[[#This Row],[Class]]="B", WORKDAY(Main[[#This Row],[Tech Start Date]],12),IF(Main[[#This Row],[Class]]="A",WORKDAY(Main[[#This Row],[Tech Start Date]],4),""))))</f>
        <v/>
      </c>
      <c r="O1268" s="69" t="str">
        <f>IF(Main[[#This Row],[Tech Start Date]]&lt;1/1/1990,"",IF(Main[[#This Row],[Class]]="C",WORKDAY(Main[[#This Row],[Tech Start Date]],23),IF(Main[[#This Row],[Class]]="B", WORKDAY(Main[[#This Row],[Tech Start Date]],15),IF(Main[[#This Row],[Class]]="A",WORKDAY(Main[[#This Row],[Tech Start Date]],5),""))))</f>
        <v/>
      </c>
      <c r="P1268" s="69" t="str">
        <f>IF(Main[[#This Row],[Tech Start Date]]&lt;1/1/1990,"",IF(Main[[#This Row],[Class]]="C",WORKDAY(Main[[#This Row],[Tech Start Date]],28),IF(Main[[#This Row],[Class]]="B", WORKDAY(Main[[#This Row],[Tech Start Date]],19),IF(Main[[#This Row],[Class]]="A",WORKDAY(Main[[#This Row],[Tech Start Date]],9),""))))</f>
        <v/>
      </c>
      <c r="Q1268" s="67">
        <v>40964</v>
      </c>
      <c r="R1268" s="67"/>
      <c r="S1268" s="65" t="s">
        <v>6</v>
      </c>
      <c r="T1268" s="70" t="s">
        <v>4</v>
      </c>
      <c r="U1268" s="65" t="s">
        <v>7</v>
      </c>
      <c r="V1268" s="65" t="s">
        <v>2288</v>
      </c>
      <c r="W1268" s="65" t="s">
        <v>4</v>
      </c>
      <c r="X1268" s="65" t="s">
        <v>2871</v>
      </c>
      <c r="Y1268" s="65" t="s">
        <v>3016</v>
      </c>
      <c r="Z1268" s="65" t="s">
        <v>4</v>
      </c>
      <c r="AA1268" s="65" t="s">
        <v>2871</v>
      </c>
    </row>
    <row r="1269" spans="1:27" ht="17.45" customHeight="1">
      <c r="A1269" s="131" t="str">
        <f>IF(priority(Main[[#This Row],[Comments]])&lt;&gt;0, priority(Main[[#This Row],[Comments]]),"")</f>
        <v/>
      </c>
      <c r="B1269" s="99" t="s">
        <v>1867</v>
      </c>
      <c r="C1269" s="65" t="s">
        <v>47</v>
      </c>
      <c r="D1269" s="66" t="s">
        <v>922</v>
      </c>
      <c r="E1269" s="67">
        <v>39937.596770833334</v>
      </c>
      <c r="F1269" s="67"/>
      <c r="G1269" s="64" t="str">
        <f>IF(stdProdLT(Main[[#This Row],[Comments]])=0.1,"N/A",IF(stdProdLT(Main[[#This Row],[Comments]])=0,"",stdProdLT(Main[[#This Row],[Comments]])))</f>
        <v/>
      </c>
      <c r="H1269" s="68" t="str">
        <f>IF(AND(Main[[#This Row],[In Stock Date]]&lt;&gt;"",Main[[#This Row],[Revised Due Date]]&lt;&gt;""),Main[[#This Row],[In Stock Date]]-Main[[#This Row],[Revised Due Date]],"")</f>
        <v/>
      </c>
      <c r="I1269" s="65" t="s">
        <v>976</v>
      </c>
      <c r="J1269" s="65" t="s">
        <v>4</v>
      </c>
      <c r="K1269" s="65" t="s">
        <v>1929</v>
      </c>
      <c r="L1269" s="67"/>
      <c r="M1269" s="69" t="str">
        <f>IF(Main[[#This Row],[Tech Start Date]]&lt;1/1/1990,"",IF(Main[[#This Row],[Class]]="C",WORKDAY(Main[[#This Row],[Tech Start Date]],9),IF(Main[[#This Row],[Class]]="B", WORKDAY(Main[[#This Row],[Tech Start Date]],6),IF(Main[[#This Row],[Class]]="A",WORKDAY(Main[[#This Row],[Tech Start Date]],2),""))))</f>
        <v/>
      </c>
      <c r="N1269" s="69" t="str">
        <f>IF(Main[[#This Row],[Tech Start Date]]&lt;1/1/1990,"",IF(Main[[#This Row],[Class]]="C",WORKDAY(Main[[#This Row],[Tech Start Date]],19),IF(Main[[#This Row],[Class]]="B", WORKDAY(Main[[#This Row],[Tech Start Date]],12),IF(Main[[#This Row],[Class]]="A",WORKDAY(Main[[#This Row],[Tech Start Date]],4),""))))</f>
        <v/>
      </c>
      <c r="O1269" s="69" t="str">
        <f>IF(Main[[#This Row],[Tech Start Date]]&lt;1/1/1990,"",IF(Main[[#This Row],[Class]]="C",WORKDAY(Main[[#This Row],[Tech Start Date]],23),IF(Main[[#This Row],[Class]]="B", WORKDAY(Main[[#This Row],[Tech Start Date]],15),IF(Main[[#This Row],[Class]]="A",WORKDAY(Main[[#This Row],[Tech Start Date]],5),""))))</f>
        <v/>
      </c>
      <c r="P1269" s="69" t="str">
        <f>IF(Main[[#This Row],[Tech Start Date]]&lt;1/1/1990,"",IF(Main[[#This Row],[Class]]="C",WORKDAY(Main[[#This Row],[Tech Start Date]],28),IF(Main[[#This Row],[Class]]="B", WORKDAY(Main[[#This Row],[Tech Start Date]],19),IF(Main[[#This Row],[Class]]="A",WORKDAY(Main[[#This Row],[Tech Start Date]],9),""))))</f>
        <v/>
      </c>
      <c r="Q1269" s="67"/>
      <c r="R1269" s="67">
        <v>40999</v>
      </c>
      <c r="S1269" s="65" t="s">
        <v>17</v>
      </c>
      <c r="T1269" s="70" t="s">
        <v>4</v>
      </c>
      <c r="U1269" s="65" t="s">
        <v>29</v>
      </c>
      <c r="V1269" s="65" t="s">
        <v>1920</v>
      </c>
      <c r="W1269" s="65" t="s">
        <v>1922</v>
      </c>
      <c r="X1269" s="65" t="s">
        <v>2833</v>
      </c>
      <c r="Y1269" s="65" t="s">
        <v>2954</v>
      </c>
      <c r="Z1269" s="65" t="s">
        <v>415</v>
      </c>
      <c r="AA1269" s="65" t="s">
        <v>2833</v>
      </c>
    </row>
    <row r="1270" spans="1:27" ht="17.45" customHeight="1">
      <c r="A1270" s="131" t="str">
        <f>IF(priority(Main[[#This Row],[Comments]])&lt;&gt;0, priority(Main[[#This Row],[Comments]]),"")</f>
        <v/>
      </c>
      <c r="B1270" s="99" t="s">
        <v>3375</v>
      </c>
      <c r="C1270" s="65" t="s">
        <v>2359</v>
      </c>
      <c r="D1270" s="66" t="s">
        <v>3346</v>
      </c>
      <c r="E1270" s="67"/>
      <c r="F1270" s="67">
        <v>41030</v>
      </c>
      <c r="G1270" s="64" t="str">
        <f>IF(stdProdLT(Main[[#This Row],[Comments]])=0.1,"N/A",IF(stdProdLT(Main[[#This Row],[Comments]])=0,"",stdProdLT(Main[[#This Row],[Comments]])))</f>
        <v/>
      </c>
      <c r="H1270" s="68" t="str">
        <f>IF(AND(Main[[#This Row],[In Stock Date]]&lt;&gt;"",Main[[#This Row],[Revised Due Date]]&lt;&gt;""),Main[[#This Row],[In Stock Date]]-Main[[#This Row],[Revised Due Date]],"")</f>
        <v/>
      </c>
      <c r="I1270" s="65" t="s">
        <v>4</v>
      </c>
      <c r="J1270" s="65" t="s">
        <v>4</v>
      </c>
      <c r="K1270" s="65" t="s">
        <v>4</v>
      </c>
      <c r="L1270" s="67"/>
      <c r="M1270" s="69" t="str">
        <f>IF(Main[[#This Row],[Tech Start Date]]&lt;1/1/1990,"",IF(Main[[#This Row],[Class]]="C",WORKDAY(Main[[#This Row],[Tech Start Date]],9),IF(Main[[#This Row],[Class]]="B", WORKDAY(Main[[#This Row],[Tech Start Date]],6),IF(Main[[#This Row],[Class]]="A",WORKDAY(Main[[#This Row],[Tech Start Date]],2),""))))</f>
        <v/>
      </c>
      <c r="N1270" s="69" t="str">
        <f>IF(Main[[#This Row],[Tech Start Date]]&lt;1/1/1990,"",IF(Main[[#This Row],[Class]]="C",WORKDAY(Main[[#This Row],[Tech Start Date]],19),IF(Main[[#This Row],[Class]]="B", WORKDAY(Main[[#This Row],[Tech Start Date]],12),IF(Main[[#This Row],[Class]]="A",WORKDAY(Main[[#This Row],[Tech Start Date]],4),""))))</f>
        <v/>
      </c>
      <c r="O1270" s="69" t="str">
        <f>IF(Main[[#This Row],[Tech Start Date]]&lt;1/1/1990,"",IF(Main[[#This Row],[Class]]="C",WORKDAY(Main[[#This Row],[Tech Start Date]],23),IF(Main[[#This Row],[Class]]="B", WORKDAY(Main[[#This Row],[Tech Start Date]],15),IF(Main[[#This Row],[Class]]="A",WORKDAY(Main[[#This Row],[Tech Start Date]],5),""))))</f>
        <v/>
      </c>
      <c r="P1270" s="69" t="str">
        <f>IF(Main[[#This Row],[Tech Start Date]]&lt;1/1/1990,"",IF(Main[[#This Row],[Class]]="C",WORKDAY(Main[[#This Row],[Tech Start Date]],28),IF(Main[[#This Row],[Class]]="B", WORKDAY(Main[[#This Row],[Tech Start Date]],19),IF(Main[[#This Row],[Class]]="A",WORKDAY(Main[[#This Row],[Tech Start Date]],9),""))))</f>
        <v/>
      </c>
      <c r="Q1270" s="67">
        <v>40890</v>
      </c>
      <c r="R1270" s="67"/>
      <c r="S1270" s="65" t="s">
        <v>11</v>
      </c>
      <c r="T1270" s="70" t="s">
        <v>4</v>
      </c>
      <c r="U1270" s="65" t="s">
        <v>12</v>
      </c>
      <c r="V1270" s="65" t="s">
        <v>1927</v>
      </c>
      <c r="W1270" s="65" t="s">
        <v>1925</v>
      </c>
      <c r="X1270" s="65" t="s">
        <v>2849</v>
      </c>
      <c r="Y1270" s="65" t="s">
        <v>4</v>
      </c>
      <c r="Z1270" s="65" t="s">
        <v>4</v>
      </c>
      <c r="AA1270" s="65" t="s">
        <v>2849</v>
      </c>
    </row>
    <row r="1271" spans="1:27" ht="17.45" customHeight="1">
      <c r="A1271" s="131" t="str">
        <f>IF(priority(Main[[#This Row],[Comments]])&lt;&gt;0, priority(Main[[#This Row],[Comments]]),"")</f>
        <v/>
      </c>
      <c r="B1271" s="99" t="s">
        <v>2167</v>
      </c>
      <c r="C1271" s="65" t="s">
        <v>4</v>
      </c>
      <c r="D1271" s="66" t="s">
        <v>2591</v>
      </c>
      <c r="E1271" s="67">
        <v>40780.676446759258</v>
      </c>
      <c r="F1271" s="67"/>
      <c r="G1271" s="64" t="str">
        <f>IF(stdProdLT(Main[[#This Row],[Comments]])=0.1,"N/A",IF(stdProdLT(Main[[#This Row],[Comments]])=0,"",stdProdLT(Main[[#This Row],[Comments]])))</f>
        <v/>
      </c>
      <c r="H1271" s="68" t="str">
        <f>IF(AND(Main[[#This Row],[In Stock Date]]&lt;&gt;"",Main[[#This Row],[Revised Due Date]]&lt;&gt;""),Main[[#This Row],[In Stock Date]]-Main[[#This Row],[Revised Due Date]],"")</f>
        <v/>
      </c>
      <c r="I1271" s="65" t="s">
        <v>4</v>
      </c>
      <c r="J1271" s="65" t="s">
        <v>4</v>
      </c>
      <c r="K1271" s="65" t="s">
        <v>4</v>
      </c>
      <c r="L1271" s="67"/>
      <c r="M1271" s="69" t="str">
        <f>IF(Main[[#This Row],[Tech Start Date]]&lt;1/1/1990,"",IF(Main[[#This Row],[Class]]="C",WORKDAY(Main[[#This Row],[Tech Start Date]],9),IF(Main[[#This Row],[Class]]="B", WORKDAY(Main[[#This Row],[Tech Start Date]],6),IF(Main[[#This Row],[Class]]="A",WORKDAY(Main[[#This Row],[Tech Start Date]],2),""))))</f>
        <v/>
      </c>
      <c r="N1271" s="69" t="str">
        <f>IF(Main[[#This Row],[Tech Start Date]]&lt;1/1/1990,"",IF(Main[[#This Row],[Class]]="C",WORKDAY(Main[[#This Row],[Tech Start Date]],19),IF(Main[[#This Row],[Class]]="B", WORKDAY(Main[[#This Row],[Tech Start Date]],12),IF(Main[[#This Row],[Class]]="A",WORKDAY(Main[[#This Row],[Tech Start Date]],4),""))))</f>
        <v/>
      </c>
      <c r="O1271" s="69" t="str">
        <f>IF(Main[[#This Row],[Tech Start Date]]&lt;1/1/1990,"",IF(Main[[#This Row],[Class]]="C",WORKDAY(Main[[#This Row],[Tech Start Date]],23),IF(Main[[#This Row],[Class]]="B", WORKDAY(Main[[#This Row],[Tech Start Date]],15),IF(Main[[#This Row],[Class]]="A",WORKDAY(Main[[#This Row],[Tech Start Date]],5),""))))</f>
        <v/>
      </c>
      <c r="P1271" s="69" t="str">
        <f>IF(Main[[#This Row],[Tech Start Date]]&lt;1/1/1990,"",IF(Main[[#This Row],[Class]]="C",WORKDAY(Main[[#This Row],[Tech Start Date]],28),IF(Main[[#This Row],[Class]]="B", WORKDAY(Main[[#This Row],[Tech Start Date]],19),IF(Main[[#This Row],[Class]]="A",WORKDAY(Main[[#This Row],[Tech Start Date]],9),""))))</f>
        <v/>
      </c>
      <c r="Q1271" s="67">
        <v>40787</v>
      </c>
      <c r="R1271" s="67"/>
      <c r="S1271" s="65" t="s">
        <v>6</v>
      </c>
      <c r="T1271" s="70" t="s">
        <v>4</v>
      </c>
      <c r="U1271" s="65" t="s">
        <v>7</v>
      </c>
      <c r="V1271" s="65" t="s">
        <v>1917</v>
      </c>
      <c r="W1271" s="65" t="s">
        <v>1925</v>
      </c>
      <c r="X1271" s="65" t="s">
        <v>2827</v>
      </c>
      <c r="Y1271" s="65" t="s">
        <v>2942</v>
      </c>
      <c r="Z1271" s="65" t="s">
        <v>4</v>
      </c>
      <c r="AA1271" s="65" t="s">
        <v>2827</v>
      </c>
    </row>
    <row r="1272" spans="1:27" ht="17.45" customHeight="1">
      <c r="A1272" s="131" t="str">
        <f>IF(priority(Main[[#This Row],[Comments]])&lt;&gt;0, priority(Main[[#This Row],[Comments]]),"")</f>
        <v/>
      </c>
      <c r="B1272" s="99" t="s">
        <v>3494</v>
      </c>
      <c r="C1272" s="65" t="s">
        <v>3495</v>
      </c>
      <c r="D1272" s="66" t="s">
        <v>3496</v>
      </c>
      <c r="E1272" s="67">
        <v>40940.978842592594</v>
      </c>
      <c r="F1272" s="67">
        <v>41116</v>
      </c>
      <c r="G1272" s="64">
        <f>IF(stdProdLT(Main[[#This Row],[Comments]])=0.1,"N/A",IF(stdProdLT(Main[[#This Row],[Comments]])=0,"",stdProdLT(Main[[#This Row],[Comments]])))</f>
        <v>140</v>
      </c>
      <c r="H1272" s="68" t="str">
        <f>IF(AND(Main[[#This Row],[In Stock Date]]&lt;&gt;"",Main[[#This Row],[Revised Due Date]]&lt;&gt;""),Main[[#This Row],[In Stock Date]]-Main[[#This Row],[Revised Due Date]],"")</f>
        <v/>
      </c>
      <c r="I1272" s="65" t="s">
        <v>4</v>
      </c>
      <c r="J1272" s="65" t="s">
        <v>4</v>
      </c>
      <c r="K1272" s="65" t="s">
        <v>4</v>
      </c>
      <c r="L1272" s="67"/>
      <c r="M1272" s="69" t="str">
        <f>IF(Main[[#This Row],[Tech Start Date]]&lt;1/1/1990,"",IF(Main[[#This Row],[Class]]="C",WORKDAY(Main[[#This Row],[Tech Start Date]],9),IF(Main[[#This Row],[Class]]="B", WORKDAY(Main[[#This Row],[Tech Start Date]],6),IF(Main[[#This Row],[Class]]="A",WORKDAY(Main[[#This Row],[Tech Start Date]],2),""))))</f>
        <v/>
      </c>
      <c r="N1272" s="69" t="str">
        <f>IF(Main[[#This Row],[Tech Start Date]]&lt;1/1/1990,"",IF(Main[[#This Row],[Class]]="C",WORKDAY(Main[[#This Row],[Tech Start Date]],19),IF(Main[[#This Row],[Class]]="B", WORKDAY(Main[[#This Row],[Tech Start Date]],12),IF(Main[[#This Row],[Class]]="A",WORKDAY(Main[[#This Row],[Tech Start Date]],4),""))))</f>
        <v/>
      </c>
      <c r="O1272" s="69" t="str">
        <f>IF(Main[[#This Row],[Tech Start Date]]&lt;1/1/1990,"",IF(Main[[#This Row],[Class]]="C",WORKDAY(Main[[#This Row],[Tech Start Date]],23),IF(Main[[#This Row],[Class]]="B", WORKDAY(Main[[#This Row],[Tech Start Date]],15),IF(Main[[#This Row],[Class]]="A",WORKDAY(Main[[#This Row],[Tech Start Date]],5),""))))</f>
        <v/>
      </c>
      <c r="P1272" s="69" t="str">
        <f>IF(Main[[#This Row],[Tech Start Date]]&lt;1/1/1990,"",IF(Main[[#This Row],[Class]]="C",WORKDAY(Main[[#This Row],[Tech Start Date]],28),IF(Main[[#This Row],[Class]]="B", WORKDAY(Main[[#This Row],[Tech Start Date]],19),IF(Main[[#This Row],[Class]]="A",WORKDAY(Main[[#This Row],[Tech Start Date]],9),""))))</f>
        <v/>
      </c>
      <c r="Q1272" s="67">
        <v>40976</v>
      </c>
      <c r="R1272" s="67"/>
      <c r="S1272" s="65" t="s">
        <v>11</v>
      </c>
      <c r="T1272" s="70" t="s">
        <v>3591</v>
      </c>
      <c r="U1272" s="65" t="s">
        <v>696</v>
      </c>
      <c r="V1272" s="65" t="s">
        <v>1927</v>
      </c>
      <c r="W1272" s="65" t="s">
        <v>1925</v>
      </c>
      <c r="X1272" s="65" t="s">
        <v>3497</v>
      </c>
      <c r="Y1272" s="65" t="s">
        <v>4</v>
      </c>
      <c r="Z1272" s="65" t="s">
        <v>4</v>
      </c>
      <c r="AA1272" s="65" t="s">
        <v>3497</v>
      </c>
    </row>
    <row r="1273" spans="1:27" ht="17.45" customHeight="1">
      <c r="A1273" s="131" t="str">
        <f>IF(priority(Main[[#This Row],[Comments]])&lt;&gt;0, priority(Main[[#This Row],[Comments]]),"")</f>
        <v/>
      </c>
      <c r="B1273" s="99" t="s">
        <v>2581</v>
      </c>
      <c r="C1273" s="65" t="s">
        <v>4</v>
      </c>
      <c r="D1273" s="66" t="s">
        <v>2785</v>
      </c>
      <c r="E1273" s="67">
        <v>40870.475462962961</v>
      </c>
      <c r="F1273" s="67"/>
      <c r="G1273" s="64" t="str">
        <f>IF(stdProdLT(Main[[#This Row],[Comments]])=0.1,"N/A",IF(stdProdLT(Main[[#This Row],[Comments]])=0,"",stdProdLT(Main[[#This Row],[Comments]])))</f>
        <v/>
      </c>
      <c r="H1273" s="68" t="str">
        <f>IF(AND(Main[[#This Row],[In Stock Date]]&lt;&gt;"",Main[[#This Row],[Revised Due Date]]&lt;&gt;""),Main[[#This Row],[In Stock Date]]-Main[[#This Row],[Revised Due Date]],"")</f>
        <v/>
      </c>
      <c r="I1273" s="65" t="s">
        <v>429</v>
      </c>
      <c r="J1273" s="65" t="s">
        <v>28</v>
      </c>
      <c r="K1273" s="65" t="s">
        <v>1924</v>
      </c>
      <c r="L1273" s="67"/>
      <c r="M1273" s="69" t="str">
        <f>IF(Main[[#This Row],[Tech Start Date]]&lt;1/1/1990,"",IF(Main[[#This Row],[Class]]="C",WORKDAY(Main[[#This Row],[Tech Start Date]],9),IF(Main[[#This Row],[Class]]="B", WORKDAY(Main[[#This Row],[Tech Start Date]],6),IF(Main[[#This Row],[Class]]="A",WORKDAY(Main[[#This Row],[Tech Start Date]],2),""))))</f>
        <v/>
      </c>
      <c r="N1273" s="69" t="str">
        <f>IF(Main[[#This Row],[Tech Start Date]]&lt;1/1/1990,"",IF(Main[[#This Row],[Class]]="C",WORKDAY(Main[[#This Row],[Tech Start Date]],19),IF(Main[[#This Row],[Class]]="B", WORKDAY(Main[[#This Row],[Tech Start Date]],12),IF(Main[[#This Row],[Class]]="A",WORKDAY(Main[[#This Row],[Tech Start Date]],4),""))))</f>
        <v/>
      </c>
      <c r="O1273" s="69" t="str">
        <f>IF(Main[[#This Row],[Tech Start Date]]&lt;1/1/1990,"",IF(Main[[#This Row],[Class]]="C",WORKDAY(Main[[#This Row],[Tech Start Date]],23),IF(Main[[#This Row],[Class]]="B", WORKDAY(Main[[#This Row],[Tech Start Date]],15),IF(Main[[#This Row],[Class]]="A",WORKDAY(Main[[#This Row],[Tech Start Date]],5),""))))</f>
        <v/>
      </c>
      <c r="P1273" s="69" t="str">
        <f>IF(Main[[#This Row],[Tech Start Date]]&lt;1/1/1990,"",IF(Main[[#This Row],[Class]]="C",WORKDAY(Main[[#This Row],[Tech Start Date]],28),IF(Main[[#This Row],[Class]]="B", WORKDAY(Main[[#This Row],[Tech Start Date]],19),IF(Main[[#This Row],[Class]]="A",WORKDAY(Main[[#This Row],[Tech Start Date]],9),""))))</f>
        <v/>
      </c>
      <c r="Q1273" s="67">
        <v>40905</v>
      </c>
      <c r="R1273" s="67"/>
      <c r="S1273" s="65" t="s">
        <v>6</v>
      </c>
      <c r="T1273" s="70" t="s">
        <v>4</v>
      </c>
      <c r="U1273" s="65" t="s">
        <v>29</v>
      </c>
      <c r="V1273" s="65" t="s">
        <v>1920</v>
      </c>
      <c r="W1273" s="65" t="s">
        <v>1921</v>
      </c>
      <c r="X1273" s="65" t="s">
        <v>2054</v>
      </c>
      <c r="Y1273" s="65" t="s">
        <v>3066</v>
      </c>
      <c r="Z1273" s="65" t="s">
        <v>30</v>
      </c>
      <c r="AA1273" s="65" t="s">
        <v>2901</v>
      </c>
    </row>
    <row r="1274" spans="1:27" ht="17.45" customHeight="1">
      <c r="A1274" s="131" t="str">
        <f>IF(priority(Main[[#This Row],[Comments]])&lt;&gt;0, priority(Main[[#This Row],[Comments]]),"")</f>
        <v/>
      </c>
      <c r="B1274" s="99" t="s">
        <v>2219</v>
      </c>
      <c r="C1274" s="65" t="s">
        <v>4</v>
      </c>
      <c r="D1274" s="66" t="s">
        <v>2220</v>
      </c>
      <c r="E1274" s="67"/>
      <c r="F1274" s="67"/>
      <c r="G1274" s="64" t="str">
        <f>IF(stdProdLT(Main[[#This Row],[Comments]])=0.1,"N/A",IF(stdProdLT(Main[[#This Row],[Comments]])=0,"",stdProdLT(Main[[#This Row],[Comments]])))</f>
        <v/>
      </c>
      <c r="H1274" s="68" t="str">
        <f>IF(AND(Main[[#This Row],[In Stock Date]]&lt;&gt;"",Main[[#This Row],[Revised Due Date]]&lt;&gt;""),Main[[#This Row],[In Stock Date]]-Main[[#This Row],[Revised Due Date]],"")</f>
        <v/>
      </c>
      <c r="I1274" s="65" t="s">
        <v>530</v>
      </c>
      <c r="J1274" s="65" t="s">
        <v>28</v>
      </c>
      <c r="K1274" s="65" t="s">
        <v>1926</v>
      </c>
      <c r="L1274" s="67"/>
      <c r="M1274" s="69" t="str">
        <f>IF(Main[[#This Row],[Tech Start Date]]&lt;1/1/1990,"",IF(Main[[#This Row],[Class]]="C",WORKDAY(Main[[#This Row],[Tech Start Date]],9),IF(Main[[#This Row],[Class]]="B", WORKDAY(Main[[#This Row],[Tech Start Date]],6),IF(Main[[#This Row],[Class]]="A",WORKDAY(Main[[#This Row],[Tech Start Date]],2),""))))</f>
        <v/>
      </c>
      <c r="N1274" s="69" t="str">
        <f>IF(Main[[#This Row],[Tech Start Date]]&lt;1/1/1990,"",IF(Main[[#This Row],[Class]]="C",WORKDAY(Main[[#This Row],[Tech Start Date]],19),IF(Main[[#This Row],[Class]]="B", WORKDAY(Main[[#This Row],[Tech Start Date]],12),IF(Main[[#This Row],[Class]]="A",WORKDAY(Main[[#This Row],[Tech Start Date]],4),""))))</f>
        <v/>
      </c>
      <c r="O1274" s="69" t="str">
        <f>IF(Main[[#This Row],[Tech Start Date]]&lt;1/1/1990,"",IF(Main[[#This Row],[Class]]="C",WORKDAY(Main[[#This Row],[Tech Start Date]],23),IF(Main[[#This Row],[Class]]="B", WORKDAY(Main[[#This Row],[Tech Start Date]],15),IF(Main[[#This Row],[Class]]="A",WORKDAY(Main[[#This Row],[Tech Start Date]],5),""))))</f>
        <v/>
      </c>
      <c r="P1274" s="69" t="str">
        <f>IF(Main[[#This Row],[Tech Start Date]]&lt;1/1/1990,"",IF(Main[[#This Row],[Class]]="C",WORKDAY(Main[[#This Row],[Tech Start Date]],28),IF(Main[[#This Row],[Class]]="B", WORKDAY(Main[[#This Row],[Tech Start Date]],19),IF(Main[[#This Row],[Class]]="A",WORKDAY(Main[[#This Row],[Tech Start Date]],9),""))))</f>
        <v/>
      </c>
      <c r="Q1274" s="67"/>
      <c r="R1274" s="67"/>
      <c r="S1274" s="65" t="s">
        <v>6</v>
      </c>
      <c r="T1274" s="70" t="s">
        <v>4</v>
      </c>
      <c r="U1274" s="65" t="s">
        <v>14</v>
      </c>
      <c r="V1274" s="65" t="s">
        <v>1920</v>
      </c>
      <c r="W1274" s="65" t="s">
        <v>1921</v>
      </c>
      <c r="X1274" s="65" t="s">
        <v>2825</v>
      </c>
      <c r="Y1274" s="65" t="s">
        <v>2938</v>
      </c>
      <c r="Z1274" s="65" t="s">
        <v>30</v>
      </c>
      <c r="AA1274" s="65" t="s">
        <v>2825</v>
      </c>
    </row>
    <row r="1275" spans="1:27" ht="17.45" customHeight="1">
      <c r="A1275" s="131" t="str">
        <f>IF(priority(Main[[#This Row],[Comments]])&lt;&gt;0, priority(Main[[#This Row],[Comments]]),"")</f>
        <v/>
      </c>
      <c r="B1275" s="99" t="s">
        <v>2583</v>
      </c>
      <c r="C1275" s="65" t="s">
        <v>4</v>
      </c>
      <c r="D1275" s="66" t="s">
        <v>2584</v>
      </c>
      <c r="E1275" s="67"/>
      <c r="F1275" s="67"/>
      <c r="G1275" s="64" t="str">
        <f>IF(stdProdLT(Main[[#This Row],[Comments]])=0.1,"N/A",IF(stdProdLT(Main[[#This Row],[Comments]])=0,"",stdProdLT(Main[[#This Row],[Comments]])))</f>
        <v/>
      </c>
      <c r="H1275" s="68" t="str">
        <f>IF(AND(Main[[#This Row],[In Stock Date]]&lt;&gt;"",Main[[#This Row],[Revised Due Date]]&lt;&gt;""),Main[[#This Row],[In Stock Date]]-Main[[#This Row],[Revised Due Date]],"")</f>
        <v/>
      </c>
      <c r="I1275" s="65" t="s">
        <v>4</v>
      </c>
      <c r="J1275" s="65" t="s">
        <v>4</v>
      </c>
      <c r="K1275" s="65" t="s">
        <v>4</v>
      </c>
      <c r="L1275" s="67"/>
      <c r="M1275" s="69" t="str">
        <f>IF(Main[[#This Row],[Tech Start Date]]&lt;1/1/1990,"",IF(Main[[#This Row],[Class]]="C",WORKDAY(Main[[#This Row],[Tech Start Date]],9),IF(Main[[#This Row],[Class]]="B", WORKDAY(Main[[#This Row],[Tech Start Date]],6),IF(Main[[#This Row],[Class]]="A",WORKDAY(Main[[#This Row],[Tech Start Date]],2),""))))</f>
        <v/>
      </c>
      <c r="N1275" s="69" t="str">
        <f>IF(Main[[#This Row],[Tech Start Date]]&lt;1/1/1990,"",IF(Main[[#This Row],[Class]]="C",WORKDAY(Main[[#This Row],[Tech Start Date]],19),IF(Main[[#This Row],[Class]]="B", WORKDAY(Main[[#This Row],[Tech Start Date]],12),IF(Main[[#This Row],[Class]]="A",WORKDAY(Main[[#This Row],[Tech Start Date]],4),""))))</f>
        <v/>
      </c>
      <c r="O1275" s="69" t="str">
        <f>IF(Main[[#This Row],[Tech Start Date]]&lt;1/1/1990,"",IF(Main[[#This Row],[Class]]="C",WORKDAY(Main[[#This Row],[Tech Start Date]],23),IF(Main[[#This Row],[Class]]="B", WORKDAY(Main[[#This Row],[Tech Start Date]],15),IF(Main[[#This Row],[Class]]="A",WORKDAY(Main[[#This Row],[Tech Start Date]],5),""))))</f>
        <v/>
      </c>
      <c r="P1275" s="69" t="str">
        <f>IF(Main[[#This Row],[Tech Start Date]]&lt;1/1/1990,"",IF(Main[[#This Row],[Class]]="C",WORKDAY(Main[[#This Row],[Tech Start Date]],28),IF(Main[[#This Row],[Class]]="B", WORKDAY(Main[[#This Row],[Tech Start Date]],19),IF(Main[[#This Row],[Class]]="A",WORKDAY(Main[[#This Row],[Tech Start Date]],9),""))))</f>
        <v/>
      </c>
      <c r="Q1275" s="67"/>
      <c r="R1275" s="67"/>
      <c r="S1275" s="65" t="s">
        <v>6</v>
      </c>
      <c r="T1275" s="70" t="s">
        <v>4</v>
      </c>
      <c r="U1275" s="65" t="s">
        <v>12</v>
      </c>
      <c r="V1275" s="65" t="s">
        <v>1920</v>
      </c>
      <c r="W1275" s="65" t="s">
        <v>1922</v>
      </c>
      <c r="X1275" s="65" t="s">
        <v>2847</v>
      </c>
      <c r="Y1275" s="65" t="s">
        <v>2977</v>
      </c>
      <c r="Z1275" s="65" t="s">
        <v>4</v>
      </c>
      <c r="AA1275" s="65" t="s">
        <v>2847</v>
      </c>
    </row>
    <row r="1276" spans="1:27" ht="17.45" customHeight="1">
      <c r="A1276" s="131" t="str">
        <f>IF(priority(Main[[#This Row],[Comments]])&lt;&gt;0, priority(Main[[#This Row],[Comments]]),"")</f>
        <v/>
      </c>
      <c r="B1276" s="99" t="s">
        <v>3757</v>
      </c>
      <c r="C1276" s="65" t="s">
        <v>2359</v>
      </c>
      <c r="D1276" s="66" t="s">
        <v>3758</v>
      </c>
      <c r="E1276" s="67"/>
      <c r="F1276" s="67">
        <v>41105</v>
      </c>
      <c r="G1276" s="64" t="str">
        <f>IF(stdProdLT(Main[[#This Row],[Comments]])=0.1,"N/A",IF(stdProdLT(Main[[#This Row],[Comments]])=0,"",stdProdLT(Main[[#This Row],[Comments]])))</f>
        <v/>
      </c>
      <c r="H1276" s="68" t="str">
        <f>IF(AND(Main[[#This Row],[In Stock Date]]&lt;&gt;"",Main[[#This Row],[Revised Due Date]]&lt;&gt;""),Main[[#This Row],[In Stock Date]]-Main[[#This Row],[Revised Due Date]],"")</f>
        <v/>
      </c>
      <c r="I1276" s="65" t="s">
        <v>4</v>
      </c>
      <c r="J1276" s="65" t="s">
        <v>4</v>
      </c>
      <c r="K1276" s="65" t="s">
        <v>4</v>
      </c>
      <c r="L1276" s="67"/>
      <c r="M1276" s="69" t="str">
        <f>IF(Main[[#This Row],[Tech Start Date]]&lt;1/1/1990,"",IF(Main[[#This Row],[Class]]="C",WORKDAY(Main[[#This Row],[Tech Start Date]],9),IF(Main[[#This Row],[Class]]="B", WORKDAY(Main[[#This Row],[Tech Start Date]],6),IF(Main[[#This Row],[Class]]="A",WORKDAY(Main[[#This Row],[Tech Start Date]],2),""))))</f>
        <v/>
      </c>
      <c r="N1276" s="69" t="str">
        <f>IF(Main[[#This Row],[Tech Start Date]]&lt;1/1/1990,"",IF(Main[[#This Row],[Class]]="C",WORKDAY(Main[[#This Row],[Tech Start Date]],19),IF(Main[[#This Row],[Class]]="B", WORKDAY(Main[[#This Row],[Tech Start Date]],12),IF(Main[[#This Row],[Class]]="A",WORKDAY(Main[[#This Row],[Tech Start Date]],4),""))))</f>
        <v/>
      </c>
      <c r="O1276" s="69" t="str">
        <f>IF(Main[[#This Row],[Tech Start Date]]&lt;1/1/1990,"",IF(Main[[#This Row],[Class]]="C",WORKDAY(Main[[#This Row],[Tech Start Date]],23),IF(Main[[#This Row],[Class]]="B", WORKDAY(Main[[#This Row],[Tech Start Date]],15),IF(Main[[#This Row],[Class]]="A",WORKDAY(Main[[#This Row],[Tech Start Date]],5),""))))</f>
        <v/>
      </c>
      <c r="P1276" s="69" t="str">
        <f>IF(Main[[#This Row],[Tech Start Date]]&lt;1/1/1990,"",IF(Main[[#This Row],[Class]]="C",WORKDAY(Main[[#This Row],[Tech Start Date]],28),IF(Main[[#This Row],[Class]]="B", WORKDAY(Main[[#This Row],[Tech Start Date]],19),IF(Main[[#This Row],[Class]]="A",WORKDAY(Main[[#This Row],[Tech Start Date]],9),""))))</f>
        <v/>
      </c>
      <c r="Q1276" s="67">
        <v>40965</v>
      </c>
      <c r="R1276" s="67"/>
      <c r="S1276" s="65" t="s">
        <v>11</v>
      </c>
      <c r="T1276" s="70" t="s">
        <v>4</v>
      </c>
      <c r="U1276" s="65" t="s">
        <v>12</v>
      </c>
      <c r="V1276" s="65" t="s">
        <v>1918</v>
      </c>
      <c r="W1276" s="65" t="s">
        <v>1923</v>
      </c>
      <c r="X1276" s="65" t="s">
        <v>2849</v>
      </c>
      <c r="Y1276" s="65" t="s">
        <v>4</v>
      </c>
      <c r="Z1276" s="65" t="s">
        <v>4</v>
      </c>
      <c r="AA1276" s="65" t="s">
        <v>2849</v>
      </c>
    </row>
    <row r="1277" spans="1:27" ht="17.45" customHeight="1">
      <c r="A1277" s="131" t="str">
        <f>IF(priority(Main[[#This Row],[Comments]])&lt;&gt;0, priority(Main[[#This Row],[Comments]]),"")</f>
        <v/>
      </c>
      <c r="B1277" s="99" t="s">
        <v>3305</v>
      </c>
      <c r="C1277" s="65" t="s">
        <v>4</v>
      </c>
      <c r="D1277" s="66" t="s">
        <v>3306</v>
      </c>
      <c r="E1277" s="67">
        <v>40934.462071759262</v>
      </c>
      <c r="F1277" s="67"/>
      <c r="G1277" s="64" t="str">
        <f>IF(stdProdLT(Main[[#This Row],[Comments]])=0.1,"N/A",IF(stdProdLT(Main[[#This Row],[Comments]])=0,"",stdProdLT(Main[[#This Row],[Comments]])))</f>
        <v/>
      </c>
      <c r="H1277" s="68" t="str">
        <f>IF(AND(Main[[#This Row],[In Stock Date]]&lt;&gt;"",Main[[#This Row],[Revised Due Date]]&lt;&gt;""),Main[[#This Row],[In Stock Date]]-Main[[#This Row],[Revised Due Date]],"")</f>
        <v/>
      </c>
      <c r="I1277" s="65" t="s">
        <v>4</v>
      </c>
      <c r="J1277" s="65" t="s">
        <v>4</v>
      </c>
      <c r="K1277" s="65" t="s">
        <v>4</v>
      </c>
      <c r="L1277" s="67"/>
      <c r="M1277" s="69" t="str">
        <f>IF(Main[[#This Row],[Tech Start Date]]&lt;1/1/1990,"",IF(Main[[#This Row],[Class]]="C",WORKDAY(Main[[#This Row],[Tech Start Date]],9),IF(Main[[#This Row],[Class]]="B", WORKDAY(Main[[#This Row],[Tech Start Date]],6),IF(Main[[#This Row],[Class]]="A",WORKDAY(Main[[#This Row],[Tech Start Date]],2),""))))</f>
        <v/>
      </c>
      <c r="N1277" s="69" t="str">
        <f>IF(Main[[#This Row],[Tech Start Date]]&lt;1/1/1990,"",IF(Main[[#This Row],[Class]]="C",WORKDAY(Main[[#This Row],[Tech Start Date]],19),IF(Main[[#This Row],[Class]]="B", WORKDAY(Main[[#This Row],[Tech Start Date]],12),IF(Main[[#This Row],[Class]]="A",WORKDAY(Main[[#This Row],[Tech Start Date]],4),""))))</f>
        <v/>
      </c>
      <c r="O1277" s="69" t="str">
        <f>IF(Main[[#This Row],[Tech Start Date]]&lt;1/1/1990,"",IF(Main[[#This Row],[Class]]="C",WORKDAY(Main[[#This Row],[Tech Start Date]],23),IF(Main[[#This Row],[Class]]="B", WORKDAY(Main[[#This Row],[Tech Start Date]],15),IF(Main[[#This Row],[Class]]="A",WORKDAY(Main[[#This Row],[Tech Start Date]],5),""))))</f>
        <v/>
      </c>
      <c r="P1277" s="69" t="str">
        <f>IF(Main[[#This Row],[Tech Start Date]]&lt;1/1/1990,"",IF(Main[[#This Row],[Class]]="C",WORKDAY(Main[[#This Row],[Tech Start Date]],28),IF(Main[[#This Row],[Class]]="B", WORKDAY(Main[[#This Row],[Tech Start Date]],19),IF(Main[[#This Row],[Class]]="A",WORKDAY(Main[[#This Row],[Tech Start Date]],9),""))))</f>
        <v/>
      </c>
      <c r="Q1277" s="67"/>
      <c r="R1277" s="67"/>
      <c r="S1277" s="65" t="s">
        <v>6</v>
      </c>
      <c r="T1277" s="70" t="s">
        <v>4</v>
      </c>
      <c r="U1277" s="65" t="s">
        <v>29</v>
      </c>
      <c r="V1277" s="65" t="s">
        <v>1917</v>
      </c>
      <c r="W1277" s="65" t="s">
        <v>1921</v>
      </c>
      <c r="X1277" s="65" t="s">
        <v>939</v>
      </c>
      <c r="Y1277" s="65" t="s">
        <v>2990</v>
      </c>
      <c r="Z1277" s="65" t="s">
        <v>4</v>
      </c>
      <c r="AA1277" s="65" t="s">
        <v>939</v>
      </c>
    </row>
    <row r="1278" spans="1:27" ht="17.45" customHeight="1">
      <c r="A1278" s="131" t="str">
        <f>IF(priority(Main[[#This Row],[Comments]])&lt;&gt;0, priority(Main[[#This Row],[Comments]]),"")</f>
        <v/>
      </c>
      <c r="B1278" s="99" t="s">
        <v>1744</v>
      </c>
      <c r="C1278" s="65" t="s">
        <v>37</v>
      </c>
      <c r="D1278" s="66" t="s">
        <v>2586</v>
      </c>
      <c r="E1278" s="67">
        <v>40682.487210648149</v>
      </c>
      <c r="F1278" s="67"/>
      <c r="G1278" s="64" t="str">
        <f>IF(stdProdLT(Main[[#This Row],[Comments]])=0.1,"N/A",IF(stdProdLT(Main[[#This Row],[Comments]])=0,"",stdProdLT(Main[[#This Row],[Comments]])))</f>
        <v/>
      </c>
      <c r="H1278" s="68" t="str">
        <f>IF(AND(Main[[#This Row],[In Stock Date]]&lt;&gt;"",Main[[#This Row],[Revised Due Date]]&lt;&gt;""),Main[[#This Row],[In Stock Date]]-Main[[#This Row],[Revised Due Date]],"")</f>
        <v/>
      </c>
      <c r="I1278" s="65" t="s">
        <v>4</v>
      </c>
      <c r="J1278" s="65" t="s">
        <v>4</v>
      </c>
      <c r="K1278" s="65" t="s">
        <v>4</v>
      </c>
      <c r="L1278" s="67"/>
      <c r="M1278" s="69" t="str">
        <f>IF(Main[[#This Row],[Tech Start Date]]&lt;1/1/1990,"",IF(Main[[#This Row],[Class]]="C",WORKDAY(Main[[#This Row],[Tech Start Date]],9),IF(Main[[#This Row],[Class]]="B", WORKDAY(Main[[#This Row],[Tech Start Date]],6),IF(Main[[#This Row],[Class]]="A",WORKDAY(Main[[#This Row],[Tech Start Date]],2),""))))</f>
        <v/>
      </c>
      <c r="N1278" s="69" t="str">
        <f>IF(Main[[#This Row],[Tech Start Date]]&lt;1/1/1990,"",IF(Main[[#This Row],[Class]]="C",WORKDAY(Main[[#This Row],[Tech Start Date]],19),IF(Main[[#This Row],[Class]]="B", WORKDAY(Main[[#This Row],[Tech Start Date]],12),IF(Main[[#This Row],[Class]]="A",WORKDAY(Main[[#This Row],[Tech Start Date]],4),""))))</f>
        <v/>
      </c>
      <c r="O1278" s="69" t="str">
        <f>IF(Main[[#This Row],[Tech Start Date]]&lt;1/1/1990,"",IF(Main[[#This Row],[Class]]="C",WORKDAY(Main[[#This Row],[Tech Start Date]],23),IF(Main[[#This Row],[Class]]="B", WORKDAY(Main[[#This Row],[Tech Start Date]],15),IF(Main[[#This Row],[Class]]="A",WORKDAY(Main[[#This Row],[Tech Start Date]],5),""))))</f>
        <v/>
      </c>
      <c r="P1278" s="69" t="str">
        <f>IF(Main[[#This Row],[Tech Start Date]]&lt;1/1/1990,"",IF(Main[[#This Row],[Class]]="C",WORKDAY(Main[[#This Row],[Tech Start Date]],28),IF(Main[[#This Row],[Class]]="B", WORKDAY(Main[[#This Row],[Tech Start Date]],19),IF(Main[[#This Row],[Class]]="A",WORKDAY(Main[[#This Row],[Tech Start Date]],9),""))))</f>
        <v/>
      </c>
      <c r="Q1278" s="67">
        <v>40701</v>
      </c>
      <c r="R1278" s="67"/>
      <c r="S1278" s="65" t="s">
        <v>6</v>
      </c>
      <c r="T1278" s="70" t="s">
        <v>4</v>
      </c>
      <c r="U1278" s="65" t="s">
        <v>7</v>
      </c>
      <c r="V1278" s="65" t="s">
        <v>1917</v>
      </c>
      <c r="W1278" s="65" t="s">
        <v>1928</v>
      </c>
      <c r="X1278" s="65" t="s">
        <v>972</v>
      </c>
      <c r="Y1278" s="65" t="s">
        <v>3103</v>
      </c>
      <c r="Z1278" s="65" t="s">
        <v>4</v>
      </c>
      <c r="AA1278" s="65" t="s">
        <v>972</v>
      </c>
    </row>
    <row r="1279" spans="1:27" ht="17.45" customHeight="1">
      <c r="A1279" s="131" t="str">
        <f>IF(priority(Main[[#This Row],[Comments]])&lt;&gt;0, priority(Main[[#This Row],[Comments]]),"")</f>
        <v/>
      </c>
      <c r="B1279" s="99" t="s">
        <v>1628</v>
      </c>
      <c r="C1279" s="65" t="s">
        <v>4</v>
      </c>
      <c r="D1279" s="66" t="s">
        <v>702</v>
      </c>
      <c r="E1279" s="67">
        <v>40218.669039351851</v>
      </c>
      <c r="F1279" s="67"/>
      <c r="G1279" s="64" t="str">
        <f>IF(stdProdLT(Main[[#This Row],[Comments]])=0.1,"N/A",IF(stdProdLT(Main[[#This Row],[Comments]])=0,"",stdProdLT(Main[[#This Row],[Comments]])))</f>
        <v/>
      </c>
      <c r="H1279" s="68" t="str">
        <f>IF(AND(Main[[#This Row],[In Stock Date]]&lt;&gt;"",Main[[#This Row],[Revised Due Date]]&lt;&gt;""),Main[[#This Row],[In Stock Date]]-Main[[#This Row],[Revised Due Date]],"")</f>
        <v/>
      </c>
      <c r="I1279" s="65" t="s">
        <v>4</v>
      </c>
      <c r="J1279" s="65" t="s">
        <v>4</v>
      </c>
      <c r="K1279" s="65" t="s">
        <v>4</v>
      </c>
      <c r="L1279" s="67"/>
      <c r="M1279" s="69" t="str">
        <f>IF(Main[[#This Row],[Tech Start Date]]&lt;1/1/1990,"",IF(Main[[#This Row],[Class]]="C",WORKDAY(Main[[#This Row],[Tech Start Date]],9),IF(Main[[#This Row],[Class]]="B", WORKDAY(Main[[#This Row],[Tech Start Date]],6),IF(Main[[#This Row],[Class]]="A",WORKDAY(Main[[#This Row],[Tech Start Date]],2),""))))</f>
        <v/>
      </c>
      <c r="N1279" s="69" t="str">
        <f>IF(Main[[#This Row],[Tech Start Date]]&lt;1/1/1990,"",IF(Main[[#This Row],[Class]]="C",WORKDAY(Main[[#This Row],[Tech Start Date]],19),IF(Main[[#This Row],[Class]]="B", WORKDAY(Main[[#This Row],[Tech Start Date]],12),IF(Main[[#This Row],[Class]]="A",WORKDAY(Main[[#This Row],[Tech Start Date]],4),""))))</f>
        <v/>
      </c>
      <c r="O1279" s="69" t="str">
        <f>IF(Main[[#This Row],[Tech Start Date]]&lt;1/1/1990,"",IF(Main[[#This Row],[Class]]="C",WORKDAY(Main[[#This Row],[Tech Start Date]],23),IF(Main[[#This Row],[Class]]="B", WORKDAY(Main[[#This Row],[Tech Start Date]],15),IF(Main[[#This Row],[Class]]="A",WORKDAY(Main[[#This Row],[Tech Start Date]],5),""))))</f>
        <v/>
      </c>
      <c r="P1279" s="69" t="str">
        <f>IF(Main[[#This Row],[Tech Start Date]]&lt;1/1/1990,"",IF(Main[[#This Row],[Class]]="C",WORKDAY(Main[[#This Row],[Tech Start Date]],28),IF(Main[[#This Row],[Class]]="B", WORKDAY(Main[[#This Row],[Tech Start Date]],19),IF(Main[[#This Row],[Class]]="A",WORKDAY(Main[[#This Row],[Tech Start Date]],9),""))))</f>
        <v/>
      </c>
      <c r="Q1279" s="67">
        <v>40237</v>
      </c>
      <c r="R1279" s="67"/>
      <c r="S1279" s="65" t="s">
        <v>17</v>
      </c>
      <c r="T1279" s="70" t="s">
        <v>4</v>
      </c>
      <c r="U1279" s="65" t="s">
        <v>29</v>
      </c>
      <c r="V1279" s="65" t="s">
        <v>1920</v>
      </c>
      <c r="W1279" s="65" t="s">
        <v>4</v>
      </c>
      <c r="X1279" s="65" t="s">
        <v>654</v>
      </c>
      <c r="Y1279" s="65" t="s">
        <v>3132</v>
      </c>
      <c r="Z1279" s="65" t="s">
        <v>4</v>
      </c>
      <c r="AA1279" s="65" t="s">
        <v>654</v>
      </c>
    </row>
    <row r="1280" spans="1:27" ht="17.45" customHeight="1">
      <c r="A1280" s="131" t="str">
        <f>IF(priority(Main[[#This Row],[Comments]])&lt;&gt;0, priority(Main[[#This Row],[Comments]]),"")</f>
        <v/>
      </c>
      <c r="B1280" s="99" t="s">
        <v>1832</v>
      </c>
      <c r="C1280" s="65" t="s">
        <v>4</v>
      </c>
      <c r="D1280" s="66" t="s">
        <v>883</v>
      </c>
      <c r="E1280" s="67">
        <v>40284.719155092593</v>
      </c>
      <c r="F1280" s="67"/>
      <c r="G1280" s="64" t="str">
        <f>IF(stdProdLT(Main[[#This Row],[Comments]])=0.1,"N/A",IF(stdProdLT(Main[[#This Row],[Comments]])=0,"",stdProdLT(Main[[#This Row],[Comments]])))</f>
        <v/>
      </c>
      <c r="H1280" s="68" t="str">
        <f>IF(AND(Main[[#This Row],[In Stock Date]]&lt;&gt;"",Main[[#This Row],[Revised Due Date]]&lt;&gt;""),Main[[#This Row],[In Stock Date]]-Main[[#This Row],[Revised Due Date]],"")</f>
        <v/>
      </c>
      <c r="I1280" s="65" t="s">
        <v>4</v>
      </c>
      <c r="J1280" s="65" t="s">
        <v>52</v>
      </c>
      <c r="K1280" s="71" t="s">
        <v>1929</v>
      </c>
      <c r="L1280" s="67"/>
      <c r="M1280" s="69" t="str">
        <f>IF(Main[[#This Row],[Tech Start Date]]&lt;1/1/1990,"",IF(Main[[#This Row],[Class]]="C",WORKDAY(Main[[#This Row],[Tech Start Date]],9),IF(Main[[#This Row],[Class]]="B", WORKDAY(Main[[#This Row],[Tech Start Date]],6),IF(Main[[#This Row],[Class]]="A",WORKDAY(Main[[#This Row],[Tech Start Date]],2),""))))</f>
        <v/>
      </c>
      <c r="N1280" s="69" t="str">
        <f>IF(Main[[#This Row],[Tech Start Date]]&lt;1/1/1990,"",IF(Main[[#This Row],[Class]]="C",WORKDAY(Main[[#This Row],[Tech Start Date]],19),IF(Main[[#This Row],[Class]]="B", WORKDAY(Main[[#This Row],[Tech Start Date]],12),IF(Main[[#This Row],[Class]]="A",WORKDAY(Main[[#This Row],[Tech Start Date]],4),""))))</f>
        <v/>
      </c>
      <c r="O1280" s="69" t="str">
        <f>IF(Main[[#This Row],[Tech Start Date]]&lt;1/1/1990,"",IF(Main[[#This Row],[Class]]="C",WORKDAY(Main[[#This Row],[Tech Start Date]],23),IF(Main[[#This Row],[Class]]="B", WORKDAY(Main[[#This Row],[Tech Start Date]],15),IF(Main[[#This Row],[Class]]="A",WORKDAY(Main[[#This Row],[Tech Start Date]],5),""))))</f>
        <v/>
      </c>
      <c r="P1280" s="69" t="str">
        <f>IF(Main[[#This Row],[Tech Start Date]]&lt;1/1/1990,"",IF(Main[[#This Row],[Class]]="C",WORKDAY(Main[[#This Row],[Tech Start Date]],28),IF(Main[[#This Row],[Class]]="B", WORKDAY(Main[[#This Row],[Tech Start Date]],19),IF(Main[[#This Row],[Class]]="A",WORKDAY(Main[[#This Row],[Tech Start Date]],9),""))))</f>
        <v/>
      </c>
      <c r="Q1280" s="67">
        <v>40389</v>
      </c>
      <c r="R1280" s="67">
        <v>40403</v>
      </c>
      <c r="S1280" s="65" t="s">
        <v>17</v>
      </c>
      <c r="T1280" s="70" t="s">
        <v>4</v>
      </c>
      <c r="U1280" s="65" t="s">
        <v>29</v>
      </c>
      <c r="V1280" s="65" t="s">
        <v>1917</v>
      </c>
      <c r="W1280" s="65" t="s">
        <v>1931</v>
      </c>
      <c r="X1280" s="65" t="s">
        <v>2827</v>
      </c>
      <c r="Y1280" s="65" t="s">
        <v>2942</v>
      </c>
      <c r="Z1280" s="65" t="s">
        <v>129</v>
      </c>
      <c r="AA1280" s="65" t="s">
        <v>2827</v>
      </c>
    </row>
    <row r="1281" spans="1:27" ht="17.45" customHeight="1">
      <c r="A1281" s="131" t="str">
        <f>IF(priority(Main[[#This Row],[Comments]])&lt;&gt;0, priority(Main[[#This Row],[Comments]]),"")</f>
        <v/>
      </c>
      <c r="B1281" s="99" t="s">
        <v>1505</v>
      </c>
      <c r="C1281" s="65" t="s">
        <v>578</v>
      </c>
      <c r="D1281" s="66" t="s">
        <v>2587</v>
      </c>
      <c r="E1281" s="67"/>
      <c r="F1281" s="67"/>
      <c r="G1281" s="64" t="str">
        <f>IF(stdProdLT(Main[[#This Row],[Comments]])=0.1,"N/A",IF(stdProdLT(Main[[#This Row],[Comments]])=0,"",stdProdLT(Main[[#This Row],[Comments]])))</f>
        <v/>
      </c>
      <c r="H1281" s="68" t="str">
        <f>IF(AND(Main[[#This Row],[In Stock Date]]&lt;&gt;"",Main[[#This Row],[Revised Due Date]]&lt;&gt;""),Main[[#This Row],[In Stock Date]]-Main[[#This Row],[Revised Due Date]],"")</f>
        <v/>
      </c>
      <c r="I1281" s="65" t="s">
        <v>4</v>
      </c>
      <c r="J1281" s="65" t="s">
        <v>28</v>
      </c>
      <c r="K1281" s="65" t="s">
        <v>1924</v>
      </c>
      <c r="L1281" s="67"/>
      <c r="M1281" s="69" t="str">
        <f>IF(Main[[#This Row],[Tech Start Date]]&lt;1/1/1990,"",IF(Main[[#This Row],[Class]]="C",WORKDAY(Main[[#This Row],[Tech Start Date]],9),IF(Main[[#This Row],[Class]]="B", WORKDAY(Main[[#This Row],[Tech Start Date]],6),IF(Main[[#This Row],[Class]]="A",WORKDAY(Main[[#This Row],[Tech Start Date]],2),""))))</f>
        <v/>
      </c>
      <c r="N1281" s="69" t="str">
        <f>IF(Main[[#This Row],[Tech Start Date]]&lt;1/1/1990,"",IF(Main[[#This Row],[Class]]="C",WORKDAY(Main[[#This Row],[Tech Start Date]],19),IF(Main[[#This Row],[Class]]="B", WORKDAY(Main[[#This Row],[Tech Start Date]],12),IF(Main[[#This Row],[Class]]="A",WORKDAY(Main[[#This Row],[Tech Start Date]],4),""))))</f>
        <v/>
      </c>
      <c r="O1281" s="69" t="str">
        <f>IF(Main[[#This Row],[Tech Start Date]]&lt;1/1/1990,"",IF(Main[[#This Row],[Class]]="C",WORKDAY(Main[[#This Row],[Tech Start Date]],23),IF(Main[[#This Row],[Class]]="B", WORKDAY(Main[[#This Row],[Tech Start Date]],15),IF(Main[[#This Row],[Class]]="A",WORKDAY(Main[[#This Row],[Tech Start Date]],5),""))))</f>
        <v/>
      </c>
      <c r="P1281" s="69" t="str">
        <f>IF(Main[[#This Row],[Tech Start Date]]&lt;1/1/1990,"",IF(Main[[#This Row],[Class]]="C",WORKDAY(Main[[#This Row],[Tech Start Date]],28),IF(Main[[#This Row],[Class]]="B", WORKDAY(Main[[#This Row],[Tech Start Date]],19),IF(Main[[#This Row],[Class]]="A",WORKDAY(Main[[#This Row],[Tech Start Date]],9),""))))</f>
        <v/>
      </c>
      <c r="Q1281" s="67">
        <v>40486</v>
      </c>
      <c r="R1281" s="67"/>
      <c r="S1281" s="65" t="s">
        <v>6</v>
      </c>
      <c r="T1281" s="70" t="s">
        <v>4</v>
      </c>
      <c r="U1281" s="65" t="s">
        <v>14</v>
      </c>
      <c r="V1281" s="65" t="s">
        <v>1917</v>
      </c>
      <c r="W1281" s="65" t="s">
        <v>1921</v>
      </c>
      <c r="X1281" s="65" t="s">
        <v>2827</v>
      </c>
      <c r="Y1281" s="65" t="s">
        <v>2942</v>
      </c>
      <c r="Z1281" s="65" t="s">
        <v>129</v>
      </c>
      <c r="AA1281" s="65" t="s">
        <v>2827</v>
      </c>
    </row>
    <row r="1282" spans="1:27" ht="17.45" customHeight="1">
      <c r="A1282" s="131" t="str">
        <f>IF(priority(Main[[#This Row],[Comments]])&lt;&gt;0, priority(Main[[#This Row],[Comments]]),"")</f>
        <v/>
      </c>
      <c r="B1282" s="99" t="s">
        <v>2094</v>
      </c>
      <c r="C1282" s="65" t="s">
        <v>4</v>
      </c>
      <c r="D1282" s="66" t="s">
        <v>2588</v>
      </c>
      <c r="E1282" s="67">
        <v>40760.553842592592</v>
      </c>
      <c r="F1282" s="67"/>
      <c r="G1282" s="64" t="str">
        <f>IF(stdProdLT(Main[[#This Row],[Comments]])=0.1,"N/A",IF(stdProdLT(Main[[#This Row],[Comments]])=0,"",stdProdLT(Main[[#This Row],[Comments]])))</f>
        <v/>
      </c>
      <c r="H1282" s="68" t="str">
        <f>IF(AND(Main[[#This Row],[In Stock Date]]&lt;&gt;"",Main[[#This Row],[Revised Due Date]]&lt;&gt;""),Main[[#This Row],[In Stock Date]]-Main[[#This Row],[Revised Due Date]],"")</f>
        <v/>
      </c>
      <c r="I1282" s="65" t="s">
        <v>4</v>
      </c>
      <c r="J1282" s="65" t="s">
        <v>4</v>
      </c>
      <c r="K1282" s="65" t="s">
        <v>4</v>
      </c>
      <c r="L1282" s="67"/>
      <c r="M1282" s="69" t="str">
        <f>IF(Main[[#This Row],[Tech Start Date]]&lt;1/1/1990,"",IF(Main[[#This Row],[Class]]="C",WORKDAY(Main[[#This Row],[Tech Start Date]],9),IF(Main[[#This Row],[Class]]="B", WORKDAY(Main[[#This Row],[Tech Start Date]],6),IF(Main[[#This Row],[Class]]="A",WORKDAY(Main[[#This Row],[Tech Start Date]],2),""))))</f>
        <v/>
      </c>
      <c r="N1282" s="69" t="str">
        <f>IF(Main[[#This Row],[Tech Start Date]]&lt;1/1/1990,"",IF(Main[[#This Row],[Class]]="C",WORKDAY(Main[[#This Row],[Tech Start Date]],19),IF(Main[[#This Row],[Class]]="B", WORKDAY(Main[[#This Row],[Tech Start Date]],12),IF(Main[[#This Row],[Class]]="A",WORKDAY(Main[[#This Row],[Tech Start Date]],4),""))))</f>
        <v/>
      </c>
      <c r="O1282" s="69" t="str">
        <f>IF(Main[[#This Row],[Tech Start Date]]&lt;1/1/1990,"",IF(Main[[#This Row],[Class]]="C",WORKDAY(Main[[#This Row],[Tech Start Date]],23),IF(Main[[#This Row],[Class]]="B", WORKDAY(Main[[#This Row],[Tech Start Date]],15),IF(Main[[#This Row],[Class]]="A",WORKDAY(Main[[#This Row],[Tech Start Date]],5),""))))</f>
        <v/>
      </c>
      <c r="P1282" s="69" t="str">
        <f>IF(Main[[#This Row],[Tech Start Date]]&lt;1/1/1990,"",IF(Main[[#This Row],[Class]]="C",WORKDAY(Main[[#This Row],[Tech Start Date]],28),IF(Main[[#This Row],[Class]]="B", WORKDAY(Main[[#This Row],[Tech Start Date]],19),IF(Main[[#This Row],[Class]]="A",WORKDAY(Main[[#This Row],[Tech Start Date]],9),""))))</f>
        <v/>
      </c>
      <c r="Q1282" s="67"/>
      <c r="R1282" s="67"/>
      <c r="S1282" s="65" t="s">
        <v>6</v>
      </c>
      <c r="T1282" s="70" t="s">
        <v>4</v>
      </c>
      <c r="U1282" s="65" t="s">
        <v>7</v>
      </c>
      <c r="V1282" s="65" t="s">
        <v>1917</v>
      </c>
      <c r="W1282" s="65" t="s">
        <v>1921</v>
      </c>
      <c r="X1282" s="65" t="s">
        <v>306</v>
      </c>
      <c r="Y1282" s="65" t="s">
        <v>4</v>
      </c>
      <c r="Z1282" s="65" t="s">
        <v>4</v>
      </c>
      <c r="AA1282" s="65" t="s">
        <v>4</v>
      </c>
    </row>
    <row r="1283" spans="1:27" ht="17.45" customHeight="1">
      <c r="A1283" s="131" t="str">
        <f>IF(priority(Main[[#This Row],[Comments]])&lt;&gt;0, priority(Main[[#This Row],[Comments]]),"")</f>
        <v/>
      </c>
      <c r="B1283" s="99" t="s">
        <v>1114</v>
      </c>
      <c r="C1283" s="65" t="s">
        <v>161</v>
      </c>
      <c r="D1283" s="66" t="s">
        <v>162</v>
      </c>
      <c r="E1283" s="67"/>
      <c r="F1283" s="67">
        <v>40238</v>
      </c>
      <c r="G1283" s="64" t="str">
        <f>IF(stdProdLT(Main[[#This Row],[Comments]])=0.1,"N/A",IF(stdProdLT(Main[[#This Row],[Comments]])=0,"",stdProdLT(Main[[#This Row],[Comments]])))</f>
        <v/>
      </c>
      <c r="H1283" s="68" t="str">
        <f>IF(AND(Main[[#This Row],[In Stock Date]]&lt;&gt;"",Main[[#This Row],[Revised Due Date]]&lt;&gt;""),Main[[#This Row],[In Stock Date]]-Main[[#This Row],[Revised Due Date]],"")</f>
        <v/>
      </c>
      <c r="I1283" s="65" t="s">
        <v>4</v>
      </c>
      <c r="J1283" s="65" t="s">
        <v>4</v>
      </c>
      <c r="K1283" s="65" t="s">
        <v>4</v>
      </c>
      <c r="L1283" s="67"/>
      <c r="M1283" s="69" t="str">
        <f>IF(Main[[#This Row],[Tech Start Date]]&lt;1/1/1990,"",IF(Main[[#This Row],[Class]]="C",WORKDAY(Main[[#This Row],[Tech Start Date]],9),IF(Main[[#This Row],[Class]]="B", WORKDAY(Main[[#This Row],[Tech Start Date]],6),IF(Main[[#This Row],[Class]]="A",WORKDAY(Main[[#This Row],[Tech Start Date]],2),""))))</f>
        <v/>
      </c>
      <c r="N1283" s="69" t="str">
        <f>IF(Main[[#This Row],[Tech Start Date]]&lt;1/1/1990,"",IF(Main[[#This Row],[Class]]="C",WORKDAY(Main[[#This Row],[Tech Start Date]],19),IF(Main[[#This Row],[Class]]="B", WORKDAY(Main[[#This Row],[Tech Start Date]],12),IF(Main[[#This Row],[Class]]="A",WORKDAY(Main[[#This Row],[Tech Start Date]],4),""))))</f>
        <v/>
      </c>
      <c r="O1283" s="69" t="str">
        <f>IF(Main[[#This Row],[Tech Start Date]]&lt;1/1/1990,"",IF(Main[[#This Row],[Class]]="C",WORKDAY(Main[[#This Row],[Tech Start Date]],23),IF(Main[[#This Row],[Class]]="B", WORKDAY(Main[[#This Row],[Tech Start Date]],15),IF(Main[[#This Row],[Class]]="A",WORKDAY(Main[[#This Row],[Tech Start Date]],5),""))))</f>
        <v/>
      </c>
      <c r="P1283" s="69" t="str">
        <f>IF(Main[[#This Row],[Tech Start Date]]&lt;1/1/1990,"",IF(Main[[#This Row],[Class]]="C",WORKDAY(Main[[#This Row],[Tech Start Date]],28),IF(Main[[#This Row],[Class]]="B", WORKDAY(Main[[#This Row],[Tech Start Date]],19),IF(Main[[#This Row],[Class]]="A",WORKDAY(Main[[#This Row],[Tech Start Date]],9),""))))</f>
        <v/>
      </c>
      <c r="Q1283" s="67">
        <v>40167</v>
      </c>
      <c r="R1283" s="67"/>
      <c r="S1283" s="65" t="s">
        <v>17</v>
      </c>
      <c r="T1283" s="70" t="s">
        <v>4</v>
      </c>
      <c r="U1283" s="65" t="s">
        <v>14</v>
      </c>
      <c r="V1283" s="65" t="s">
        <v>1920</v>
      </c>
      <c r="W1283" s="65" t="s">
        <v>1925</v>
      </c>
      <c r="X1283" s="65" t="s">
        <v>50</v>
      </c>
      <c r="Y1283" s="65" t="s">
        <v>2949</v>
      </c>
      <c r="Z1283" s="65" t="s">
        <v>854</v>
      </c>
      <c r="AA1283" s="65" t="s">
        <v>2830</v>
      </c>
    </row>
    <row r="1284" spans="1:27" ht="17.45" customHeight="1">
      <c r="A1284" s="131" t="str">
        <f>IF(priority(Main[[#This Row],[Comments]])&lt;&gt;0, priority(Main[[#This Row],[Comments]]),"")</f>
        <v/>
      </c>
      <c r="B1284" s="99" t="s">
        <v>3196</v>
      </c>
      <c r="C1284" s="65" t="s">
        <v>31</v>
      </c>
      <c r="D1284" s="66" t="s">
        <v>3197</v>
      </c>
      <c r="E1284" s="67"/>
      <c r="F1284" s="67">
        <v>41122</v>
      </c>
      <c r="G1284" s="64" t="str">
        <f>IF(stdProdLT(Main[[#This Row],[Comments]])=0.1,"N/A",IF(stdProdLT(Main[[#This Row],[Comments]])=0,"",stdProdLT(Main[[#This Row],[Comments]])))</f>
        <v/>
      </c>
      <c r="H1284" s="68" t="str">
        <f>IF(AND(Main[[#This Row],[In Stock Date]]&lt;&gt;"",Main[[#This Row],[Revised Due Date]]&lt;&gt;""),Main[[#This Row],[In Stock Date]]-Main[[#This Row],[Revised Due Date]],"")</f>
        <v/>
      </c>
      <c r="I1284" s="65" t="s">
        <v>4</v>
      </c>
      <c r="J1284" s="65" t="s">
        <v>4</v>
      </c>
      <c r="K1284" s="65" t="s">
        <v>4</v>
      </c>
      <c r="L1284" s="67"/>
      <c r="M1284" s="69" t="str">
        <f>IF(Main[[#This Row],[Tech Start Date]]&lt;1/1/1990,"",IF(Main[[#This Row],[Class]]="C",WORKDAY(Main[[#This Row],[Tech Start Date]],9),IF(Main[[#This Row],[Class]]="B", WORKDAY(Main[[#This Row],[Tech Start Date]],6),IF(Main[[#This Row],[Class]]="A",WORKDAY(Main[[#This Row],[Tech Start Date]],2),""))))</f>
        <v/>
      </c>
      <c r="N1284" s="69" t="str">
        <f>IF(Main[[#This Row],[Tech Start Date]]&lt;1/1/1990,"",IF(Main[[#This Row],[Class]]="C",WORKDAY(Main[[#This Row],[Tech Start Date]],19),IF(Main[[#This Row],[Class]]="B", WORKDAY(Main[[#This Row],[Tech Start Date]],12),IF(Main[[#This Row],[Class]]="A",WORKDAY(Main[[#This Row],[Tech Start Date]],4),""))))</f>
        <v/>
      </c>
      <c r="O1284" s="69" t="str">
        <f>IF(Main[[#This Row],[Tech Start Date]]&lt;1/1/1990,"",IF(Main[[#This Row],[Class]]="C",WORKDAY(Main[[#This Row],[Tech Start Date]],23),IF(Main[[#This Row],[Class]]="B", WORKDAY(Main[[#This Row],[Tech Start Date]],15),IF(Main[[#This Row],[Class]]="A",WORKDAY(Main[[#This Row],[Tech Start Date]],5),""))))</f>
        <v/>
      </c>
      <c r="P1284" s="69" t="str">
        <f>IF(Main[[#This Row],[Tech Start Date]]&lt;1/1/1990,"",IF(Main[[#This Row],[Class]]="C",WORKDAY(Main[[#This Row],[Tech Start Date]],28),IF(Main[[#This Row],[Class]]="B", WORKDAY(Main[[#This Row],[Tech Start Date]],19),IF(Main[[#This Row],[Class]]="A",WORKDAY(Main[[#This Row],[Tech Start Date]],9),""))))</f>
        <v/>
      </c>
      <c r="Q1284" s="67">
        <v>40940</v>
      </c>
      <c r="R1284" s="67"/>
      <c r="S1284" s="65" t="s">
        <v>11</v>
      </c>
      <c r="T1284" s="70" t="s">
        <v>4</v>
      </c>
      <c r="U1284" s="65" t="s">
        <v>12</v>
      </c>
      <c r="V1284" s="65" t="s">
        <v>1920</v>
      </c>
      <c r="W1284" s="65" t="s">
        <v>1928</v>
      </c>
      <c r="X1284" s="65" t="s">
        <v>2852</v>
      </c>
      <c r="Y1284" s="65" t="s">
        <v>4</v>
      </c>
      <c r="Z1284" s="65" t="s">
        <v>4</v>
      </c>
      <c r="AA1284" s="65" t="s">
        <v>2852</v>
      </c>
    </row>
    <row r="1285" spans="1:27" ht="17.45" customHeight="1">
      <c r="A1285" s="131" t="str">
        <f>IF(priority(Main[[#This Row],[Comments]])&lt;&gt;0, priority(Main[[#This Row],[Comments]]),"")</f>
        <v/>
      </c>
      <c r="B1285" s="99" t="s">
        <v>3319</v>
      </c>
      <c r="C1285" s="65" t="s">
        <v>4</v>
      </c>
      <c r="D1285" s="66" t="s">
        <v>3320</v>
      </c>
      <c r="E1285" s="67">
        <v>40933.744606481479</v>
      </c>
      <c r="F1285" s="67"/>
      <c r="G1285" s="64" t="str">
        <f>IF(stdProdLT(Main[[#This Row],[Comments]])=0.1,"N/A",IF(stdProdLT(Main[[#This Row],[Comments]])=0,"",stdProdLT(Main[[#This Row],[Comments]])))</f>
        <v/>
      </c>
      <c r="H1285" s="68" t="str">
        <f>IF(AND(Main[[#This Row],[In Stock Date]]&lt;&gt;"",Main[[#This Row],[Revised Due Date]]&lt;&gt;""),Main[[#This Row],[In Stock Date]]-Main[[#This Row],[Revised Due Date]],"")</f>
        <v/>
      </c>
      <c r="I1285" s="65" t="s">
        <v>4</v>
      </c>
      <c r="J1285" s="65" t="s">
        <v>28</v>
      </c>
      <c r="K1285" s="65" t="s">
        <v>1926</v>
      </c>
      <c r="L1285" s="67"/>
      <c r="M1285" s="69" t="str">
        <f>IF(Main[[#This Row],[Tech Start Date]]&lt;1/1/1990,"",IF(Main[[#This Row],[Class]]="C",WORKDAY(Main[[#This Row],[Tech Start Date]],9),IF(Main[[#This Row],[Class]]="B", WORKDAY(Main[[#This Row],[Tech Start Date]],6),IF(Main[[#This Row],[Class]]="A",WORKDAY(Main[[#This Row],[Tech Start Date]],2),""))))</f>
        <v/>
      </c>
      <c r="N1285" s="69" t="str">
        <f>IF(Main[[#This Row],[Tech Start Date]]&lt;1/1/1990,"",IF(Main[[#This Row],[Class]]="C",WORKDAY(Main[[#This Row],[Tech Start Date]],19),IF(Main[[#This Row],[Class]]="B", WORKDAY(Main[[#This Row],[Tech Start Date]],12),IF(Main[[#This Row],[Class]]="A",WORKDAY(Main[[#This Row],[Tech Start Date]],4),""))))</f>
        <v/>
      </c>
      <c r="O1285" s="69" t="str">
        <f>IF(Main[[#This Row],[Tech Start Date]]&lt;1/1/1990,"",IF(Main[[#This Row],[Class]]="C",WORKDAY(Main[[#This Row],[Tech Start Date]],23),IF(Main[[#This Row],[Class]]="B", WORKDAY(Main[[#This Row],[Tech Start Date]],15),IF(Main[[#This Row],[Class]]="A",WORKDAY(Main[[#This Row],[Tech Start Date]],5),""))))</f>
        <v/>
      </c>
      <c r="P1285" s="69" t="str">
        <f>IF(Main[[#This Row],[Tech Start Date]]&lt;1/1/1990,"",IF(Main[[#This Row],[Class]]="C",WORKDAY(Main[[#This Row],[Tech Start Date]],28),IF(Main[[#This Row],[Class]]="B", WORKDAY(Main[[#This Row],[Tech Start Date]],19),IF(Main[[#This Row],[Class]]="A",WORKDAY(Main[[#This Row],[Tech Start Date]],9),""))))</f>
        <v/>
      </c>
      <c r="Q1285" s="67">
        <v>40934</v>
      </c>
      <c r="R1285" s="67"/>
      <c r="S1285" s="65" t="s">
        <v>6</v>
      </c>
      <c r="T1285" s="70" t="s">
        <v>4</v>
      </c>
      <c r="U1285" s="65" t="s">
        <v>29</v>
      </c>
      <c r="V1285" s="65" t="s">
        <v>1917</v>
      </c>
      <c r="W1285" s="65" t="s">
        <v>1921</v>
      </c>
      <c r="X1285" s="65" t="s">
        <v>2901</v>
      </c>
      <c r="Y1285" s="65" t="s">
        <v>3066</v>
      </c>
      <c r="Z1285" s="65" t="s">
        <v>4</v>
      </c>
      <c r="AA1285" s="65" t="s">
        <v>2901</v>
      </c>
    </row>
    <row r="1286" spans="1:27" ht="17.45" customHeight="1">
      <c r="A1286" s="131" t="str">
        <f>IF(priority(Main[[#This Row],[Comments]])&lt;&gt;0, priority(Main[[#This Row],[Comments]]),"")</f>
        <v/>
      </c>
      <c r="B1286" s="99" t="s">
        <v>3585</v>
      </c>
      <c r="C1286" s="65" t="s">
        <v>4</v>
      </c>
      <c r="D1286" s="66" t="s">
        <v>3759</v>
      </c>
      <c r="E1286" s="67">
        <v>40952.339131944442</v>
      </c>
      <c r="F1286" s="67"/>
      <c r="G1286" s="64" t="str">
        <f>IF(stdProdLT(Main[[#This Row],[Comments]])=0.1,"N/A",IF(stdProdLT(Main[[#This Row],[Comments]])=0,"",stdProdLT(Main[[#This Row],[Comments]])))</f>
        <v/>
      </c>
      <c r="H1286" s="68" t="str">
        <f>IF(AND(Main[[#This Row],[In Stock Date]]&lt;&gt;"",Main[[#This Row],[Revised Due Date]]&lt;&gt;""),Main[[#This Row],[In Stock Date]]-Main[[#This Row],[Revised Due Date]],"")</f>
        <v/>
      </c>
      <c r="I1286" s="65" t="s">
        <v>69</v>
      </c>
      <c r="J1286" s="65" t="s">
        <v>70</v>
      </c>
      <c r="K1286" s="65" t="s">
        <v>1926</v>
      </c>
      <c r="L1286" s="67"/>
      <c r="M1286" s="69" t="str">
        <f>IF(Main[[#This Row],[Tech Start Date]]&lt;1/1/1990,"",IF(Main[[#This Row],[Class]]="C",WORKDAY(Main[[#This Row],[Tech Start Date]],9),IF(Main[[#This Row],[Class]]="B", WORKDAY(Main[[#This Row],[Tech Start Date]],6),IF(Main[[#This Row],[Class]]="A",WORKDAY(Main[[#This Row],[Tech Start Date]],2),""))))</f>
        <v/>
      </c>
      <c r="N1286" s="69" t="str">
        <f>IF(Main[[#This Row],[Tech Start Date]]&lt;1/1/1990,"",IF(Main[[#This Row],[Class]]="C",WORKDAY(Main[[#This Row],[Tech Start Date]],19),IF(Main[[#This Row],[Class]]="B", WORKDAY(Main[[#This Row],[Tech Start Date]],12),IF(Main[[#This Row],[Class]]="A",WORKDAY(Main[[#This Row],[Tech Start Date]],4),""))))</f>
        <v/>
      </c>
      <c r="O1286" s="69" t="str">
        <f>IF(Main[[#This Row],[Tech Start Date]]&lt;1/1/1990,"",IF(Main[[#This Row],[Class]]="C",WORKDAY(Main[[#This Row],[Tech Start Date]],23),IF(Main[[#This Row],[Class]]="B", WORKDAY(Main[[#This Row],[Tech Start Date]],15),IF(Main[[#This Row],[Class]]="A",WORKDAY(Main[[#This Row],[Tech Start Date]],5),""))))</f>
        <v/>
      </c>
      <c r="P1286" s="69" t="str">
        <f>IF(Main[[#This Row],[Tech Start Date]]&lt;1/1/1990,"",IF(Main[[#This Row],[Class]]="C",WORKDAY(Main[[#This Row],[Tech Start Date]],28),IF(Main[[#This Row],[Class]]="B", WORKDAY(Main[[#This Row],[Tech Start Date]],19),IF(Main[[#This Row],[Class]]="A",WORKDAY(Main[[#This Row],[Tech Start Date]],9),""))))</f>
        <v/>
      </c>
      <c r="Q1286" s="67">
        <v>40984</v>
      </c>
      <c r="R1286" s="67"/>
      <c r="S1286" s="65" t="s">
        <v>6</v>
      </c>
      <c r="T1286" s="70" t="s">
        <v>4</v>
      </c>
      <c r="U1286" s="65" t="s">
        <v>29</v>
      </c>
      <c r="V1286" s="65" t="s">
        <v>1920</v>
      </c>
      <c r="W1286" s="65" t="s">
        <v>1921</v>
      </c>
      <c r="X1286" s="65" t="s">
        <v>2909</v>
      </c>
      <c r="Y1286" s="65" t="s">
        <v>3089</v>
      </c>
      <c r="Z1286" s="65" t="s">
        <v>30</v>
      </c>
      <c r="AA1286" s="65" t="s">
        <v>2909</v>
      </c>
    </row>
    <row r="1287" spans="1:27" ht="17.45" customHeight="1">
      <c r="A1287" s="131" t="str">
        <f>IF(priority(Main[[#This Row],[Comments]])&lt;&gt;0, priority(Main[[#This Row],[Comments]]),"")</f>
        <v/>
      </c>
      <c r="B1287" s="99" t="s">
        <v>1851</v>
      </c>
      <c r="C1287" s="65" t="s">
        <v>4</v>
      </c>
      <c r="D1287" s="66" t="s">
        <v>906</v>
      </c>
      <c r="E1287" s="67">
        <v>39968.569513888891</v>
      </c>
      <c r="F1287" s="67">
        <v>40298</v>
      </c>
      <c r="G1287" s="64" t="str">
        <f>IF(stdProdLT(Main[[#This Row],[Comments]])=0.1,"N/A",IF(stdProdLT(Main[[#This Row],[Comments]])=0,"",stdProdLT(Main[[#This Row],[Comments]])))</f>
        <v/>
      </c>
      <c r="H1287" s="68">
        <f>IF(AND(Main[[#This Row],[In Stock Date]]&lt;&gt;"",Main[[#This Row],[Revised Due Date]]&lt;&gt;""),Main[[#This Row],[In Stock Date]]-Main[[#This Row],[Revised Due Date]],"")</f>
        <v>-704</v>
      </c>
      <c r="I1287" s="65" t="s">
        <v>976</v>
      </c>
      <c r="J1287" s="65" t="s">
        <v>4</v>
      </c>
      <c r="K1287" s="65" t="s">
        <v>1929</v>
      </c>
      <c r="L1287" s="67"/>
      <c r="M1287" s="69" t="str">
        <f>IF(Main[[#This Row],[Tech Start Date]]&lt;1/1/1990,"",IF(Main[[#This Row],[Class]]="C",WORKDAY(Main[[#This Row],[Tech Start Date]],9),IF(Main[[#This Row],[Class]]="B", WORKDAY(Main[[#This Row],[Tech Start Date]],6),IF(Main[[#This Row],[Class]]="A",WORKDAY(Main[[#This Row],[Tech Start Date]],2),""))))</f>
        <v/>
      </c>
      <c r="N1287" s="69" t="str">
        <f>IF(Main[[#This Row],[Tech Start Date]]&lt;1/1/1990,"",IF(Main[[#This Row],[Class]]="C",WORKDAY(Main[[#This Row],[Tech Start Date]],19),IF(Main[[#This Row],[Class]]="B", WORKDAY(Main[[#This Row],[Tech Start Date]],12),IF(Main[[#This Row],[Class]]="A",WORKDAY(Main[[#This Row],[Tech Start Date]],4),""))))</f>
        <v/>
      </c>
      <c r="O1287" s="69" t="str">
        <f>IF(Main[[#This Row],[Tech Start Date]]&lt;1/1/1990,"",IF(Main[[#This Row],[Class]]="C",WORKDAY(Main[[#This Row],[Tech Start Date]],23),IF(Main[[#This Row],[Class]]="B", WORKDAY(Main[[#This Row],[Tech Start Date]],15),IF(Main[[#This Row],[Class]]="A",WORKDAY(Main[[#This Row],[Tech Start Date]],5),""))))</f>
        <v/>
      </c>
      <c r="P1287" s="69" t="str">
        <f>IF(Main[[#This Row],[Tech Start Date]]&lt;1/1/1990,"",IF(Main[[#This Row],[Class]]="C",WORKDAY(Main[[#This Row],[Tech Start Date]],28),IF(Main[[#This Row],[Class]]="B", WORKDAY(Main[[#This Row],[Tech Start Date]],19),IF(Main[[#This Row],[Class]]="A",WORKDAY(Main[[#This Row],[Tech Start Date]],9),""))))</f>
        <v/>
      </c>
      <c r="Q1287" s="67">
        <v>40165</v>
      </c>
      <c r="R1287" s="67">
        <v>41002</v>
      </c>
      <c r="S1287" s="65" t="s">
        <v>17</v>
      </c>
      <c r="T1287" s="70" t="s">
        <v>4</v>
      </c>
      <c r="U1287" s="65" t="s">
        <v>29</v>
      </c>
      <c r="V1287" s="65" t="s">
        <v>1920</v>
      </c>
      <c r="W1287" s="65" t="s">
        <v>1922</v>
      </c>
      <c r="X1287" s="65" t="s">
        <v>970</v>
      </c>
      <c r="Y1287" s="65" t="s">
        <v>3121</v>
      </c>
      <c r="Z1287" s="65" t="s">
        <v>415</v>
      </c>
      <c r="AA1287" s="65" t="s">
        <v>970</v>
      </c>
    </row>
    <row r="1288" spans="1:27" ht="17.45" customHeight="1">
      <c r="A1288" s="131" t="str">
        <f>IF(priority(Main[[#This Row],[Comments]])&lt;&gt;0, priority(Main[[#This Row],[Comments]]),"")</f>
        <v/>
      </c>
      <c r="B1288" s="99" t="s">
        <v>2790</v>
      </c>
      <c r="C1288" s="65" t="s">
        <v>4</v>
      </c>
      <c r="D1288" s="66" t="s">
        <v>2791</v>
      </c>
      <c r="E1288" s="67">
        <v>40905.712777777779</v>
      </c>
      <c r="F1288" s="67"/>
      <c r="G1288" s="64" t="str">
        <f>IF(stdProdLT(Main[[#This Row],[Comments]])=0.1,"N/A",IF(stdProdLT(Main[[#This Row],[Comments]])=0,"",stdProdLT(Main[[#This Row],[Comments]])))</f>
        <v/>
      </c>
      <c r="H1288" s="68" t="str">
        <f>IF(AND(Main[[#This Row],[In Stock Date]]&lt;&gt;"",Main[[#This Row],[Revised Due Date]]&lt;&gt;""),Main[[#This Row],[In Stock Date]]-Main[[#This Row],[Revised Due Date]],"")</f>
        <v/>
      </c>
      <c r="I1288" s="65" t="s">
        <v>4</v>
      </c>
      <c r="J1288" s="65" t="s">
        <v>4</v>
      </c>
      <c r="K1288" s="65" t="s">
        <v>4</v>
      </c>
      <c r="L1288" s="67"/>
      <c r="M1288" s="69" t="str">
        <f>IF(Main[[#This Row],[Tech Start Date]]&lt;1/1/1990,"",IF(Main[[#This Row],[Class]]="C",WORKDAY(Main[[#This Row],[Tech Start Date]],9),IF(Main[[#This Row],[Class]]="B", WORKDAY(Main[[#This Row],[Tech Start Date]],6),IF(Main[[#This Row],[Class]]="A",WORKDAY(Main[[#This Row],[Tech Start Date]],2),""))))</f>
        <v/>
      </c>
      <c r="N1288" s="69" t="str">
        <f>IF(Main[[#This Row],[Tech Start Date]]&lt;1/1/1990,"",IF(Main[[#This Row],[Class]]="C",WORKDAY(Main[[#This Row],[Tech Start Date]],19),IF(Main[[#This Row],[Class]]="B", WORKDAY(Main[[#This Row],[Tech Start Date]],12),IF(Main[[#This Row],[Class]]="A",WORKDAY(Main[[#This Row],[Tech Start Date]],4),""))))</f>
        <v/>
      </c>
      <c r="O1288" s="69" t="str">
        <f>IF(Main[[#This Row],[Tech Start Date]]&lt;1/1/1990,"",IF(Main[[#This Row],[Class]]="C",WORKDAY(Main[[#This Row],[Tech Start Date]],23),IF(Main[[#This Row],[Class]]="B", WORKDAY(Main[[#This Row],[Tech Start Date]],15),IF(Main[[#This Row],[Class]]="A",WORKDAY(Main[[#This Row],[Tech Start Date]],5),""))))</f>
        <v/>
      </c>
      <c r="P1288" s="69" t="str">
        <f>IF(Main[[#This Row],[Tech Start Date]]&lt;1/1/1990,"",IF(Main[[#This Row],[Class]]="C",WORKDAY(Main[[#This Row],[Tech Start Date]],28),IF(Main[[#This Row],[Class]]="B", WORKDAY(Main[[#This Row],[Tech Start Date]],19),IF(Main[[#This Row],[Class]]="A",WORKDAY(Main[[#This Row],[Tech Start Date]],9),""))))</f>
        <v/>
      </c>
      <c r="Q1288" s="67">
        <v>40939</v>
      </c>
      <c r="R1288" s="67"/>
      <c r="S1288" s="65" t="s">
        <v>6</v>
      </c>
      <c r="T1288" s="70" t="s">
        <v>4</v>
      </c>
      <c r="U1288" s="65" t="s">
        <v>7</v>
      </c>
      <c r="V1288" s="65" t="s">
        <v>1917</v>
      </c>
      <c r="W1288" s="65" t="s">
        <v>4</v>
      </c>
      <c r="X1288" s="65" t="s">
        <v>2825</v>
      </c>
      <c r="Y1288" s="65" t="s">
        <v>2938</v>
      </c>
      <c r="Z1288" s="65" t="s">
        <v>4</v>
      </c>
      <c r="AA1288" s="65" t="s">
        <v>2825</v>
      </c>
    </row>
    <row r="1289" spans="1:27" ht="17.45" customHeight="1">
      <c r="A1289" s="131" t="str">
        <f>IF(priority(Main[[#This Row],[Comments]])&lt;&gt;0, priority(Main[[#This Row],[Comments]]),"")</f>
        <v/>
      </c>
      <c r="B1289" s="99" t="s">
        <v>2580</v>
      </c>
      <c r="C1289" s="65" t="s">
        <v>4</v>
      </c>
      <c r="D1289" s="66" t="s">
        <v>2792</v>
      </c>
      <c r="E1289" s="67">
        <v>40870.473611111112</v>
      </c>
      <c r="F1289" s="67"/>
      <c r="G1289" s="64" t="str">
        <f>IF(stdProdLT(Main[[#This Row],[Comments]])=0.1,"N/A",IF(stdProdLT(Main[[#This Row],[Comments]])=0,"",stdProdLT(Main[[#This Row],[Comments]])))</f>
        <v/>
      </c>
      <c r="H1289" s="68" t="str">
        <f>IF(AND(Main[[#This Row],[In Stock Date]]&lt;&gt;"",Main[[#This Row],[Revised Due Date]]&lt;&gt;""),Main[[#This Row],[In Stock Date]]-Main[[#This Row],[Revised Due Date]],"")</f>
        <v/>
      </c>
      <c r="I1289" s="65" t="s">
        <v>429</v>
      </c>
      <c r="J1289" s="65" t="s">
        <v>28</v>
      </c>
      <c r="K1289" s="65" t="s">
        <v>1926</v>
      </c>
      <c r="L1289" s="67"/>
      <c r="M1289" s="69" t="str">
        <f>IF(Main[[#This Row],[Tech Start Date]]&lt;1/1/1990,"",IF(Main[[#This Row],[Class]]="C",WORKDAY(Main[[#This Row],[Tech Start Date]],9),IF(Main[[#This Row],[Class]]="B", WORKDAY(Main[[#This Row],[Tech Start Date]],6),IF(Main[[#This Row],[Class]]="A",WORKDAY(Main[[#This Row],[Tech Start Date]],2),""))))</f>
        <v/>
      </c>
      <c r="N1289" s="69" t="str">
        <f>IF(Main[[#This Row],[Tech Start Date]]&lt;1/1/1990,"",IF(Main[[#This Row],[Class]]="C",WORKDAY(Main[[#This Row],[Tech Start Date]],19),IF(Main[[#This Row],[Class]]="B", WORKDAY(Main[[#This Row],[Tech Start Date]],12),IF(Main[[#This Row],[Class]]="A",WORKDAY(Main[[#This Row],[Tech Start Date]],4),""))))</f>
        <v/>
      </c>
      <c r="O1289" s="69" t="str">
        <f>IF(Main[[#This Row],[Tech Start Date]]&lt;1/1/1990,"",IF(Main[[#This Row],[Class]]="C",WORKDAY(Main[[#This Row],[Tech Start Date]],23),IF(Main[[#This Row],[Class]]="B", WORKDAY(Main[[#This Row],[Tech Start Date]],15),IF(Main[[#This Row],[Class]]="A",WORKDAY(Main[[#This Row],[Tech Start Date]],5),""))))</f>
        <v/>
      </c>
      <c r="P1289" s="69" t="str">
        <f>IF(Main[[#This Row],[Tech Start Date]]&lt;1/1/1990,"",IF(Main[[#This Row],[Class]]="C",WORKDAY(Main[[#This Row],[Tech Start Date]],28),IF(Main[[#This Row],[Class]]="B", WORKDAY(Main[[#This Row],[Tech Start Date]],19),IF(Main[[#This Row],[Class]]="A",WORKDAY(Main[[#This Row],[Tech Start Date]],9),""))))</f>
        <v/>
      </c>
      <c r="Q1289" s="67">
        <v>40905</v>
      </c>
      <c r="R1289" s="67"/>
      <c r="S1289" s="65" t="s">
        <v>6</v>
      </c>
      <c r="T1289" s="70" t="s">
        <v>4</v>
      </c>
      <c r="U1289" s="65" t="s">
        <v>29</v>
      </c>
      <c r="V1289" s="65" t="s">
        <v>1920</v>
      </c>
      <c r="W1289" s="65" t="s">
        <v>1921</v>
      </c>
      <c r="X1289" s="65" t="s">
        <v>2054</v>
      </c>
      <c r="Y1289" s="65" t="s">
        <v>3066</v>
      </c>
      <c r="Z1289" s="65" t="s">
        <v>30</v>
      </c>
      <c r="AA1289" s="65" t="s">
        <v>2901</v>
      </c>
    </row>
    <row r="1290" spans="1:27" ht="17.45" customHeight="1">
      <c r="A1290" s="131" t="str">
        <f>IF(priority(Main[[#This Row],[Comments]])&lt;&gt;0, priority(Main[[#This Row],[Comments]]),"")</f>
        <v/>
      </c>
      <c r="B1290" s="99" t="s">
        <v>1039</v>
      </c>
      <c r="C1290" s="65" t="s">
        <v>33</v>
      </c>
      <c r="D1290" s="66" t="s">
        <v>3762</v>
      </c>
      <c r="E1290" s="67">
        <v>40345.428090277775</v>
      </c>
      <c r="F1290" s="67"/>
      <c r="G1290" s="64" t="str">
        <f>IF(stdProdLT(Main[[#This Row],[Comments]])=0.1,"N/A",IF(stdProdLT(Main[[#This Row],[Comments]])=0,"",stdProdLT(Main[[#This Row],[Comments]])))</f>
        <v/>
      </c>
      <c r="H1290" s="68" t="str">
        <f>IF(AND(Main[[#This Row],[In Stock Date]]&lt;&gt;"",Main[[#This Row],[Revised Due Date]]&lt;&gt;""),Main[[#This Row],[In Stock Date]]-Main[[#This Row],[Revised Due Date]],"")</f>
        <v/>
      </c>
      <c r="I1290" s="65" t="s">
        <v>971</v>
      </c>
      <c r="J1290" s="65" t="s">
        <v>28</v>
      </c>
      <c r="K1290" s="65" t="s">
        <v>4</v>
      </c>
      <c r="L1290" s="67"/>
      <c r="M1290" s="69" t="str">
        <f>IF(Main[[#This Row],[Tech Start Date]]&lt;1/1/1990,"",IF(Main[[#This Row],[Class]]="C",WORKDAY(Main[[#This Row],[Tech Start Date]],9),IF(Main[[#This Row],[Class]]="B", WORKDAY(Main[[#This Row],[Tech Start Date]],6),IF(Main[[#This Row],[Class]]="A",WORKDAY(Main[[#This Row],[Tech Start Date]],2),""))))</f>
        <v/>
      </c>
      <c r="N1290" s="69" t="str">
        <f>IF(Main[[#This Row],[Tech Start Date]]&lt;1/1/1990,"",IF(Main[[#This Row],[Class]]="C",WORKDAY(Main[[#This Row],[Tech Start Date]],19),IF(Main[[#This Row],[Class]]="B", WORKDAY(Main[[#This Row],[Tech Start Date]],12),IF(Main[[#This Row],[Class]]="A",WORKDAY(Main[[#This Row],[Tech Start Date]],4),""))))</f>
        <v/>
      </c>
      <c r="O1290" s="69" t="str">
        <f>IF(Main[[#This Row],[Tech Start Date]]&lt;1/1/1990,"",IF(Main[[#This Row],[Class]]="C",WORKDAY(Main[[#This Row],[Tech Start Date]],23),IF(Main[[#This Row],[Class]]="B", WORKDAY(Main[[#This Row],[Tech Start Date]],15),IF(Main[[#This Row],[Class]]="A",WORKDAY(Main[[#This Row],[Tech Start Date]],5),""))))</f>
        <v/>
      </c>
      <c r="P1290" s="69" t="str">
        <f>IF(Main[[#This Row],[Tech Start Date]]&lt;1/1/1990,"",IF(Main[[#This Row],[Class]]="C",WORKDAY(Main[[#This Row],[Tech Start Date]],28),IF(Main[[#This Row],[Class]]="B", WORKDAY(Main[[#This Row],[Tech Start Date]],19),IF(Main[[#This Row],[Class]]="A",WORKDAY(Main[[#This Row],[Tech Start Date]],9),""))))</f>
        <v/>
      </c>
      <c r="Q1290" s="67">
        <v>40384</v>
      </c>
      <c r="R1290" s="67">
        <v>41029</v>
      </c>
      <c r="S1290" s="65" t="s">
        <v>17</v>
      </c>
      <c r="T1290" s="70" t="s">
        <v>2325</v>
      </c>
      <c r="U1290" s="65" t="s">
        <v>29</v>
      </c>
      <c r="V1290" s="65" t="s">
        <v>1917</v>
      </c>
      <c r="W1290" s="65" t="s">
        <v>1922</v>
      </c>
      <c r="X1290" s="65" t="s">
        <v>2881</v>
      </c>
      <c r="Y1290" s="65" t="s">
        <v>3027</v>
      </c>
      <c r="Z1290" s="65" t="s">
        <v>129</v>
      </c>
      <c r="AA1290" s="65" t="s">
        <v>2881</v>
      </c>
    </row>
    <row r="1291" spans="1:27" ht="17.45" customHeight="1">
      <c r="A1291" s="131" t="str">
        <f>IF(priority(Main[[#This Row],[Comments]])&lt;&gt;0, priority(Main[[#This Row],[Comments]]),"")</f>
        <v/>
      </c>
      <c r="B1291" s="99" t="s">
        <v>3284</v>
      </c>
      <c r="C1291" s="65" t="s">
        <v>4</v>
      </c>
      <c r="D1291" s="66" t="s">
        <v>3763</v>
      </c>
      <c r="E1291" s="67">
        <v>40932.302083333336</v>
      </c>
      <c r="F1291" s="67"/>
      <c r="G1291" s="64" t="str">
        <f>IF(stdProdLT(Main[[#This Row],[Comments]])=0.1,"N/A",IF(stdProdLT(Main[[#This Row],[Comments]])=0,"",stdProdLT(Main[[#This Row],[Comments]])))</f>
        <v/>
      </c>
      <c r="H1291" s="68" t="str">
        <f>IF(AND(Main[[#This Row],[In Stock Date]]&lt;&gt;"",Main[[#This Row],[Revised Due Date]]&lt;&gt;""),Main[[#This Row],[In Stock Date]]-Main[[#This Row],[Revised Due Date]],"")</f>
        <v/>
      </c>
      <c r="I1291" s="65" t="s">
        <v>69</v>
      </c>
      <c r="J1291" s="65" t="s">
        <v>70</v>
      </c>
      <c r="K1291" s="65" t="s">
        <v>1926</v>
      </c>
      <c r="L1291" s="67"/>
      <c r="M1291" s="69" t="str">
        <f>IF(Main[[#This Row],[Tech Start Date]]&lt;1/1/1990,"",IF(Main[[#This Row],[Class]]="C",WORKDAY(Main[[#This Row],[Tech Start Date]],9),IF(Main[[#This Row],[Class]]="B", WORKDAY(Main[[#This Row],[Tech Start Date]],6),IF(Main[[#This Row],[Class]]="A",WORKDAY(Main[[#This Row],[Tech Start Date]],2),""))))</f>
        <v/>
      </c>
      <c r="N1291" s="69" t="str">
        <f>IF(Main[[#This Row],[Tech Start Date]]&lt;1/1/1990,"",IF(Main[[#This Row],[Class]]="C",WORKDAY(Main[[#This Row],[Tech Start Date]],19),IF(Main[[#This Row],[Class]]="B", WORKDAY(Main[[#This Row],[Tech Start Date]],12),IF(Main[[#This Row],[Class]]="A",WORKDAY(Main[[#This Row],[Tech Start Date]],4),""))))</f>
        <v/>
      </c>
      <c r="O1291" s="69" t="str">
        <f>IF(Main[[#This Row],[Tech Start Date]]&lt;1/1/1990,"",IF(Main[[#This Row],[Class]]="C",WORKDAY(Main[[#This Row],[Tech Start Date]],23),IF(Main[[#This Row],[Class]]="B", WORKDAY(Main[[#This Row],[Tech Start Date]],15),IF(Main[[#This Row],[Class]]="A",WORKDAY(Main[[#This Row],[Tech Start Date]],5),""))))</f>
        <v/>
      </c>
      <c r="P1291" s="69" t="str">
        <f>IF(Main[[#This Row],[Tech Start Date]]&lt;1/1/1990,"",IF(Main[[#This Row],[Class]]="C",WORKDAY(Main[[#This Row],[Tech Start Date]],28),IF(Main[[#This Row],[Class]]="B", WORKDAY(Main[[#This Row],[Tech Start Date]],19),IF(Main[[#This Row],[Class]]="A",WORKDAY(Main[[#This Row],[Tech Start Date]],9),""))))</f>
        <v/>
      </c>
      <c r="Q1291" s="67">
        <v>40999</v>
      </c>
      <c r="R1291" s="67"/>
      <c r="S1291" s="65" t="s">
        <v>6</v>
      </c>
      <c r="T1291" s="70" t="s">
        <v>4</v>
      </c>
      <c r="U1291" s="65" t="s">
        <v>29</v>
      </c>
      <c r="V1291" s="65" t="s">
        <v>1920</v>
      </c>
      <c r="W1291" s="65" t="s">
        <v>1921</v>
      </c>
      <c r="X1291" s="65" t="s">
        <v>2909</v>
      </c>
      <c r="Y1291" s="65" t="s">
        <v>3089</v>
      </c>
      <c r="Z1291" s="65" t="s">
        <v>30</v>
      </c>
      <c r="AA1291" s="65" t="s">
        <v>2909</v>
      </c>
    </row>
    <row r="1292" spans="1:27" ht="17.45" customHeight="1">
      <c r="A1292" s="131" t="str">
        <f>IF(priority(Main[[#This Row],[Comments]])&lt;&gt;0, priority(Main[[#This Row],[Comments]]),"")</f>
        <v/>
      </c>
      <c r="B1292" s="99" t="s">
        <v>3764</v>
      </c>
      <c r="C1292" s="65" t="s">
        <v>4</v>
      </c>
      <c r="D1292" s="66" t="s">
        <v>3765</v>
      </c>
      <c r="E1292" s="67">
        <v>40961.570833333331</v>
      </c>
      <c r="F1292" s="67"/>
      <c r="G1292" s="64" t="str">
        <f>IF(stdProdLT(Main[[#This Row],[Comments]])=0.1,"N/A",IF(stdProdLT(Main[[#This Row],[Comments]])=0,"",stdProdLT(Main[[#This Row],[Comments]])))</f>
        <v/>
      </c>
      <c r="H1292" s="68" t="str">
        <f>IF(AND(Main[[#This Row],[In Stock Date]]&lt;&gt;"",Main[[#This Row],[Revised Due Date]]&lt;&gt;""),Main[[#This Row],[In Stock Date]]-Main[[#This Row],[Revised Due Date]],"")</f>
        <v/>
      </c>
      <c r="I1292" s="65" t="s">
        <v>2054</v>
      </c>
      <c r="J1292" s="65" t="s">
        <v>28</v>
      </c>
      <c r="K1292" s="65" t="s">
        <v>1926</v>
      </c>
      <c r="L1292" s="67"/>
      <c r="M1292" s="69" t="str">
        <f>IF(Main[[#This Row],[Tech Start Date]]&lt;1/1/1990,"",IF(Main[[#This Row],[Class]]="C",WORKDAY(Main[[#This Row],[Tech Start Date]],9),IF(Main[[#This Row],[Class]]="B", WORKDAY(Main[[#This Row],[Tech Start Date]],6),IF(Main[[#This Row],[Class]]="A",WORKDAY(Main[[#This Row],[Tech Start Date]],2),""))))</f>
        <v/>
      </c>
      <c r="N1292" s="69" t="str">
        <f>IF(Main[[#This Row],[Tech Start Date]]&lt;1/1/1990,"",IF(Main[[#This Row],[Class]]="C",WORKDAY(Main[[#This Row],[Tech Start Date]],19),IF(Main[[#This Row],[Class]]="B", WORKDAY(Main[[#This Row],[Tech Start Date]],12),IF(Main[[#This Row],[Class]]="A",WORKDAY(Main[[#This Row],[Tech Start Date]],4),""))))</f>
        <v/>
      </c>
      <c r="O1292" s="69" t="str">
        <f>IF(Main[[#This Row],[Tech Start Date]]&lt;1/1/1990,"",IF(Main[[#This Row],[Class]]="C",WORKDAY(Main[[#This Row],[Tech Start Date]],23),IF(Main[[#This Row],[Class]]="B", WORKDAY(Main[[#This Row],[Tech Start Date]],15),IF(Main[[#This Row],[Class]]="A",WORKDAY(Main[[#This Row],[Tech Start Date]],5),""))))</f>
        <v/>
      </c>
      <c r="P1292" s="69" t="str">
        <f>IF(Main[[#This Row],[Tech Start Date]]&lt;1/1/1990,"",IF(Main[[#This Row],[Class]]="C",WORKDAY(Main[[#This Row],[Tech Start Date]],28),IF(Main[[#This Row],[Class]]="B", WORKDAY(Main[[#This Row],[Tech Start Date]],19),IF(Main[[#This Row],[Class]]="A",WORKDAY(Main[[#This Row],[Tech Start Date]],9),""))))</f>
        <v/>
      </c>
      <c r="Q1292" s="67"/>
      <c r="R1292" s="67"/>
      <c r="S1292" s="65" t="s">
        <v>6</v>
      </c>
      <c r="T1292" s="70" t="s">
        <v>4</v>
      </c>
      <c r="U1292" s="65" t="s">
        <v>29</v>
      </c>
      <c r="V1292" s="65" t="s">
        <v>1920</v>
      </c>
      <c r="W1292" s="65" t="s">
        <v>1921</v>
      </c>
      <c r="X1292" s="65" t="s">
        <v>2847</v>
      </c>
      <c r="Y1292" s="65" t="s">
        <v>2977</v>
      </c>
      <c r="Z1292" s="65" t="s">
        <v>30</v>
      </c>
      <c r="AA1292" s="65" t="s">
        <v>2847</v>
      </c>
    </row>
    <row r="1293" spans="1:27" ht="17.45" customHeight="1">
      <c r="A1293" s="131" t="str">
        <f>IF(priority(Main[[#This Row],[Comments]])&lt;&gt;0, priority(Main[[#This Row],[Comments]]),"")</f>
        <v/>
      </c>
      <c r="B1293" s="99" t="s">
        <v>3292</v>
      </c>
      <c r="C1293" s="65" t="s">
        <v>4</v>
      </c>
      <c r="D1293" s="66" t="s">
        <v>3766</v>
      </c>
      <c r="E1293" s="67">
        <v>40932.643865740742</v>
      </c>
      <c r="F1293" s="67"/>
      <c r="G1293" s="64" t="str">
        <f>IF(stdProdLT(Main[[#This Row],[Comments]])=0.1,"N/A",IF(stdProdLT(Main[[#This Row],[Comments]])=0,"",stdProdLT(Main[[#This Row],[Comments]])))</f>
        <v/>
      </c>
      <c r="H1293" s="68" t="str">
        <f>IF(AND(Main[[#This Row],[In Stock Date]]&lt;&gt;"",Main[[#This Row],[Revised Due Date]]&lt;&gt;""),Main[[#This Row],[In Stock Date]]-Main[[#This Row],[Revised Due Date]],"")</f>
        <v/>
      </c>
      <c r="I1293" s="65" t="s">
        <v>69</v>
      </c>
      <c r="J1293" s="65" t="s">
        <v>4</v>
      </c>
      <c r="K1293" s="71" t="s">
        <v>4</v>
      </c>
      <c r="L1293" s="67"/>
      <c r="M1293" s="69" t="str">
        <f>IF(Main[[#This Row],[Tech Start Date]]&lt;1/1/1990,"",IF(Main[[#This Row],[Class]]="C",WORKDAY(Main[[#This Row],[Tech Start Date]],9),IF(Main[[#This Row],[Class]]="B", WORKDAY(Main[[#This Row],[Tech Start Date]],6),IF(Main[[#This Row],[Class]]="A",WORKDAY(Main[[#This Row],[Tech Start Date]],2),""))))</f>
        <v/>
      </c>
      <c r="N1293" s="69" t="str">
        <f>IF(Main[[#This Row],[Tech Start Date]]&lt;1/1/1990,"",IF(Main[[#This Row],[Class]]="C",WORKDAY(Main[[#This Row],[Tech Start Date]],19),IF(Main[[#This Row],[Class]]="B", WORKDAY(Main[[#This Row],[Tech Start Date]],12),IF(Main[[#This Row],[Class]]="A",WORKDAY(Main[[#This Row],[Tech Start Date]],4),""))))</f>
        <v/>
      </c>
      <c r="O1293" s="69" t="str">
        <f>IF(Main[[#This Row],[Tech Start Date]]&lt;1/1/1990,"",IF(Main[[#This Row],[Class]]="C",WORKDAY(Main[[#This Row],[Tech Start Date]],23),IF(Main[[#This Row],[Class]]="B", WORKDAY(Main[[#This Row],[Tech Start Date]],15),IF(Main[[#This Row],[Class]]="A",WORKDAY(Main[[#This Row],[Tech Start Date]],5),""))))</f>
        <v/>
      </c>
      <c r="P1293" s="69" t="str">
        <f>IF(Main[[#This Row],[Tech Start Date]]&lt;1/1/1990,"",IF(Main[[#This Row],[Class]]="C",WORKDAY(Main[[#This Row],[Tech Start Date]],28),IF(Main[[#This Row],[Class]]="B", WORKDAY(Main[[#This Row],[Tech Start Date]],19),IF(Main[[#This Row],[Class]]="A",WORKDAY(Main[[#This Row],[Tech Start Date]],9),""))))</f>
        <v/>
      </c>
      <c r="Q1293" s="67">
        <v>40968</v>
      </c>
      <c r="R1293" s="67"/>
      <c r="S1293" s="65" t="s">
        <v>6</v>
      </c>
      <c r="T1293" s="70" t="s">
        <v>4</v>
      </c>
      <c r="U1293" s="65" t="s">
        <v>29</v>
      </c>
      <c r="V1293" s="65" t="s">
        <v>1927</v>
      </c>
      <c r="W1293" s="65" t="s">
        <v>1921</v>
      </c>
      <c r="X1293" s="65" t="s">
        <v>2825</v>
      </c>
      <c r="Y1293" s="65" t="s">
        <v>2938</v>
      </c>
      <c r="Z1293" s="65" t="s">
        <v>30</v>
      </c>
      <c r="AA1293" s="65" t="s">
        <v>2825</v>
      </c>
    </row>
    <row r="1294" spans="1:27" ht="17.45" customHeight="1">
      <c r="A1294" s="131" t="str">
        <f>IF(priority(Main[[#This Row],[Comments]])&lt;&gt;0, priority(Main[[#This Row],[Comments]]),"")</f>
        <v/>
      </c>
      <c r="B1294" s="99" t="s">
        <v>3767</v>
      </c>
      <c r="C1294" s="65" t="s">
        <v>4</v>
      </c>
      <c r="D1294" s="66" t="s">
        <v>3768</v>
      </c>
      <c r="E1294" s="67">
        <v>40961.263599537036</v>
      </c>
      <c r="F1294" s="67"/>
      <c r="G1294" s="64" t="str">
        <f>IF(stdProdLT(Main[[#This Row],[Comments]])=0.1,"N/A",IF(stdProdLT(Main[[#This Row],[Comments]])=0,"",stdProdLT(Main[[#This Row],[Comments]])))</f>
        <v/>
      </c>
      <c r="H1294" s="68" t="str">
        <f>IF(AND(Main[[#This Row],[In Stock Date]]&lt;&gt;"",Main[[#This Row],[Revised Due Date]]&lt;&gt;""),Main[[#This Row],[In Stock Date]]-Main[[#This Row],[Revised Due Date]],"")</f>
        <v/>
      </c>
      <c r="I1294" s="65" t="s">
        <v>4</v>
      </c>
      <c r="J1294" s="65" t="s">
        <v>4</v>
      </c>
      <c r="K1294" s="71" t="s">
        <v>4</v>
      </c>
      <c r="L1294" s="67"/>
      <c r="M1294" s="69" t="str">
        <f>IF(Main[[#This Row],[Tech Start Date]]&lt;1/1/1990,"",IF(Main[[#This Row],[Class]]="C",WORKDAY(Main[[#This Row],[Tech Start Date]],9),IF(Main[[#This Row],[Class]]="B", WORKDAY(Main[[#This Row],[Tech Start Date]],6),IF(Main[[#This Row],[Class]]="A",WORKDAY(Main[[#This Row],[Tech Start Date]],2),""))))</f>
        <v/>
      </c>
      <c r="N1294" s="69" t="str">
        <f>IF(Main[[#This Row],[Tech Start Date]]&lt;1/1/1990,"",IF(Main[[#This Row],[Class]]="C",WORKDAY(Main[[#This Row],[Tech Start Date]],19),IF(Main[[#This Row],[Class]]="B", WORKDAY(Main[[#This Row],[Tech Start Date]],12),IF(Main[[#This Row],[Class]]="A",WORKDAY(Main[[#This Row],[Tech Start Date]],4),""))))</f>
        <v/>
      </c>
      <c r="O1294" s="69" t="str">
        <f>IF(Main[[#This Row],[Tech Start Date]]&lt;1/1/1990,"",IF(Main[[#This Row],[Class]]="C",WORKDAY(Main[[#This Row],[Tech Start Date]],23),IF(Main[[#This Row],[Class]]="B", WORKDAY(Main[[#This Row],[Tech Start Date]],15),IF(Main[[#This Row],[Class]]="A",WORKDAY(Main[[#This Row],[Tech Start Date]],5),""))))</f>
        <v/>
      </c>
      <c r="P1294" s="69" t="str">
        <f>IF(Main[[#This Row],[Tech Start Date]]&lt;1/1/1990,"",IF(Main[[#This Row],[Class]]="C",WORKDAY(Main[[#This Row],[Tech Start Date]],28),IF(Main[[#This Row],[Class]]="B", WORKDAY(Main[[#This Row],[Tech Start Date]],19),IF(Main[[#This Row],[Class]]="A",WORKDAY(Main[[#This Row],[Tech Start Date]],9),""))))</f>
        <v/>
      </c>
      <c r="Q1294" s="67">
        <v>40990</v>
      </c>
      <c r="R1294" s="67"/>
      <c r="S1294" s="65" t="s">
        <v>6</v>
      </c>
      <c r="T1294" s="70" t="s">
        <v>4</v>
      </c>
      <c r="U1294" s="65" t="s">
        <v>7</v>
      </c>
      <c r="V1294" s="65" t="s">
        <v>1917</v>
      </c>
      <c r="W1294" s="65" t="s">
        <v>4</v>
      </c>
      <c r="X1294" s="65" t="s">
        <v>2828</v>
      </c>
      <c r="Y1294" s="65" t="s">
        <v>2944</v>
      </c>
      <c r="Z1294" s="65" t="s">
        <v>4</v>
      </c>
      <c r="AA1294" s="65" t="s">
        <v>2828</v>
      </c>
    </row>
    <row r="1295" spans="1:27" ht="17.45" customHeight="1">
      <c r="A1295" s="131" t="str">
        <f>IF(priority(Main[[#This Row],[Comments]])&lt;&gt;0, priority(Main[[#This Row],[Comments]]),"")</f>
        <v/>
      </c>
      <c r="B1295" s="99" t="s">
        <v>2682</v>
      </c>
      <c r="C1295" s="65" t="s">
        <v>4</v>
      </c>
      <c r="D1295" s="66" t="s">
        <v>3769</v>
      </c>
      <c r="E1295" s="67">
        <v>40882.142546296294</v>
      </c>
      <c r="F1295" s="67"/>
      <c r="G1295" s="64" t="str">
        <f>IF(stdProdLT(Main[[#This Row],[Comments]])=0.1,"N/A",IF(stdProdLT(Main[[#This Row],[Comments]])=0,"",stdProdLT(Main[[#This Row],[Comments]])))</f>
        <v/>
      </c>
      <c r="H1295" s="68" t="str">
        <f>IF(AND(Main[[#This Row],[In Stock Date]]&lt;&gt;"",Main[[#This Row],[Revised Due Date]]&lt;&gt;""),Main[[#This Row],[In Stock Date]]-Main[[#This Row],[Revised Due Date]],"")</f>
        <v/>
      </c>
      <c r="I1295" s="65" t="s">
        <v>69</v>
      </c>
      <c r="J1295" s="65" t="s">
        <v>70</v>
      </c>
      <c r="K1295" s="65" t="s">
        <v>1926</v>
      </c>
      <c r="L1295" s="67"/>
      <c r="M1295" s="69" t="str">
        <f>IF(Main[[#This Row],[Tech Start Date]]&lt;1/1/1990,"",IF(Main[[#This Row],[Class]]="C",WORKDAY(Main[[#This Row],[Tech Start Date]],9),IF(Main[[#This Row],[Class]]="B", WORKDAY(Main[[#This Row],[Tech Start Date]],6),IF(Main[[#This Row],[Class]]="A",WORKDAY(Main[[#This Row],[Tech Start Date]],2),""))))</f>
        <v/>
      </c>
      <c r="N1295" s="69" t="str">
        <f>IF(Main[[#This Row],[Tech Start Date]]&lt;1/1/1990,"",IF(Main[[#This Row],[Class]]="C",WORKDAY(Main[[#This Row],[Tech Start Date]],19),IF(Main[[#This Row],[Class]]="B", WORKDAY(Main[[#This Row],[Tech Start Date]],12),IF(Main[[#This Row],[Class]]="A",WORKDAY(Main[[#This Row],[Tech Start Date]],4),""))))</f>
        <v/>
      </c>
      <c r="O1295" s="69" t="str">
        <f>IF(Main[[#This Row],[Tech Start Date]]&lt;1/1/1990,"",IF(Main[[#This Row],[Class]]="C",WORKDAY(Main[[#This Row],[Tech Start Date]],23),IF(Main[[#This Row],[Class]]="B", WORKDAY(Main[[#This Row],[Tech Start Date]],15),IF(Main[[#This Row],[Class]]="A",WORKDAY(Main[[#This Row],[Tech Start Date]],5),""))))</f>
        <v/>
      </c>
      <c r="P1295" s="69" t="str">
        <f>IF(Main[[#This Row],[Tech Start Date]]&lt;1/1/1990,"",IF(Main[[#This Row],[Class]]="C",WORKDAY(Main[[#This Row],[Tech Start Date]],28),IF(Main[[#This Row],[Class]]="B", WORKDAY(Main[[#This Row],[Tech Start Date]],19),IF(Main[[#This Row],[Class]]="A",WORKDAY(Main[[#This Row],[Tech Start Date]],9),""))))</f>
        <v/>
      </c>
      <c r="Q1295" s="67">
        <v>40913</v>
      </c>
      <c r="R1295" s="67"/>
      <c r="S1295" s="65" t="s">
        <v>6</v>
      </c>
      <c r="T1295" s="70" t="s">
        <v>4</v>
      </c>
      <c r="U1295" s="65" t="s">
        <v>29</v>
      </c>
      <c r="V1295" s="65" t="s">
        <v>1920</v>
      </c>
      <c r="W1295" s="65" t="s">
        <v>1921</v>
      </c>
      <c r="X1295" s="65" t="s">
        <v>2828</v>
      </c>
      <c r="Y1295" s="65" t="s">
        <v>2944</v>
      </c>
      <c r="Z1295" s="65" t="s">
        <v>30</v>
      </c>
      <c r="AA1295" s="65" t="s">
        <v>2828</v>
      </c>
    </row>
    <row r="1296" spans="1:27" ht="17.45" customHeight="1">
      <c r="A1296" s="131" t="str">
        <f>IF(priority(Main[[#This Row],[Comments]])&lt;&gt;0, priority(Main[[#This Row],[Comments]]),"")</f>
        <v/>
      </c>
      <c r="B1296" s="99" t="s">
        <v>2683</v>
      </c>
      <c r="C1296" s="65" t="s">
        <v>4</v>
      </c>
      <c r="D1296" s="66" t="s">
        <v>3773</v>
      </c>
      <c r="E1296" s="67">
        <v>40882.367037037038</v>
      </c>
      <c r="F1296" s="67"/>
      <c r="G1296" s="64" t="str">
        <f>IF(stdProdLT(Main[[#This Row],[Comments]])=0.1,"N/A",IF(stdProdLT(Main[[#This Row],[Comments]])=0,"",stdProdLT(Main[[#This Row],[Comments]])))</f>
        <v/>
      </c>
      <c r="H1296" s="68" t="str">
        <f>IF(AND(Main[[#This Row],[In Stock Date]]&lt;&gt;"",Main[[#This Row],[Revised Due Date]]&lt;&gt;""),Main[[#This Row],[In Stock Date]]-Main[[#This Row],[Revised Due Date]],"")</f>
        <v/>
      </c>
      <c r="I1296" s="65" t="s">
        <v>69</v>
      </c>
      <c r="J1296" s="65" t="s">
        <v>70</v>
      </c>
      <c r="K1296" s="65" t="s">
        <v>1926</v>
      </c>
      <c r="L1296" s="67"/>
      <c r="M1296" s="69" t="str">
        <f>IF(Main[[#This Row],[Tech Start Date]]&lt;1/1/1990,"",IF(Main[[#This Row],[Class]]="C",WORKDAY(Main[[#This Row],[Tech Start Date]],9),IF(Main[[#This Row],[Class]]="B", WORKDAY(Main[[#This Row],[Tech Start Date]],6),IF(Main[[#This Row],[Class]]="A",WORKDAY(Main[[#This Row],[Tech Start Date]],2),""))))</f>
        <v/>
      </c>
      <c r="N1296" s="69" t="str">
        <f>IF(Main[[#This Row],[Tech Start Date]]&lt;1/1/1990,"",IF(Main[[#This Row],[Class]]="C",WORKDAY(Main[[#This Row],[Tech Start Date]],19),IF(Main[[#This Row],[Class]]="B", WORKDAY(Main[[#This Row],[Tech Start Date]],12),IF(Main[[#This Row],[Class]]="A",WORKDAY(Main[[#This Row],[Tech Start Date]],4),""))))</f>
        <v/>
      </c>
      <c r="O1296" s="69" t="str">
        <f>IF(Main[[#This Row],[Tech Start Date]]&lt;1/1/1990,"",IF(Main[[#This Row],[Class]]="C",WORKDAY(Main[[#This Row],[Tech Start Date]],23),IF(Main[[#This Row],[Class]]="B", WORKDAY(Main[[#This Row],[Tech Start Date]],15),IF(Main[[#This Row],[Class]]="A",WORKDAY(Main[[#This Row],[Tech Start Date]],5),""))))</f>
        <v/>
      </c>
      <c r="P1296" s="69" t="str">
        <f>IF(Main[[#This Row],[Tech Start Date]]&lt;1/1/1990,"",IF(Main[[#This Row],[Class]]="C",WORKDAY(Main[[#This Row],[Tech Start Date]],28),IF(Main[[#This Row],[Class]]="B", WORKDAY(Main[[#This Row],[Tech Start Date]],19),IF(Main[[#This Row],[Class]]="A",WORKDAY(Main[[#This Row],[Tech Start Date]],9),""))))</f>
        <v/>
      </c>
      <c r="Q1296" s="67">
        <v>40928</v>
      </c>
      <c r="R1296" s="67"/>
      <c r="S1296" s="65" t="s">
        <v>6</v>
      </c>
      <c r="T1296" s="70" t="s">
        <v>4</v>
      </c>
      <c r="U1296" s="65" t="s">
        <v>29</v>
      </c>
      <c r="V1296" s="65" t="s">
        <v>1920</v>
      </c>
      <c r="W1296" s="65" t="s">
        <v>1921</v>
      </c>
      <c r="X1296" s="65" t="s">
        <v>2824</v>
      </c>
      <c r="Y1296" s="65" t="s">
        <v>2935</v>
      </c>
      <c r="Z1296" s="65" t="s">
        <v>30</v>
      </c>
      <c r="AA1296" s="65" t="s">
        <v>2824</v>
      </c>
    </row>
    <row r="1297" spans="1:27" ht="17.45" customHeight="1">
      <c r="A1297" s="131" t="str">
        <f>IF(priority(Main[[#This Row],[Comments]])&lt;&gt;0, priority(Main[[#This Row],[Comments]]),"")</f>
        <v/>
      </c>
      <c r="B1297" s="99" t="s">
        <v>3503</v>
      </c>
      <c r="C1297" s="65" t="s">
        <v>4</v>
      </c>
      <c r="D1297" s="66" t="s">
        <v>3504</v>
      </c>
      <c r="E1297" s="67"/>
      <c r="F1297" s="67"/>
      <c r="G1297" s="64" t="str">
        <f>IF(stdProdLT(Main[[#This Row],[Comments]])=0.1,"N/A",IF(stdProdLT(Main[[#This Row],[Comments]])=0,"",stdProdLT(Main[[#This Row],[Comments]])))</f>
        <v/>
      </c>
      <c r="H1297" s="68" t="str">
        <f>IF(AND(Main[[#This Row],[In Stock Date]]&lt;&gt;"",Main[[#This Row],[Revised Due Date]]&lt;&gt;""),Main[[#This Row],[In Stock Date]]-Main[[#This Row],[Revised Due Date]],"")</f>
        <v/>
      </c>
      <c r="I1297" s="65" t="s">
        <v>530</v>
      </c>
      <c r="J1297" s="65" t="s">
        <v>28</v>
      </c>
      <c r="K1297" s="65" t="s">
        <v>1926</v>
      </c>
      <c r="L1297" s="67"/>
      <c r="M1297" s="69" t="str">
        <f>IF(Main[[#This Row],[Tech Start Date]]&lt;1/1/1990,"",IF(Main[[#This Row],[Class]]="C",WORKDAY(Main[[#This Row],[Tech Start Date]],9),IF(Main[[#This Row],[Class]]="B", WORKDAY(Main[[#This Row],[Tech Start Date]],6),IF(Main[[#This Row],[Class]]="A",WORKDAY(Main[[#This Row],[Tech Start Date]],2),""))))</f>
        <v/>
      </c>
      <c r="N1297" s="69" t="str">
        <f>IF(Main[[#This Row],[Tech Start Date]]&lt;1/1/1990,"",IF(Main[[#This Row],[Class]]="C",WORKDAY(Main[[#This Row],[Tech Start Date]],19),IF(Main[[#This Row],[Class]]="B", WORKDAY(Main[[#This Row],[Tech Start Date]],12),IF(Main[[#This Row],[Class]]="A",WORKDAY(Main[[#This Row],[Tech Start Date]],4),""))))</f>
        <v/>
      </c>
      <c r="O1297" s="69" t="str">
        <f>IF(Main[[#This Row],[Tech Start Date]]&lt;1/1/1990,"",IF(Main[[#This Row],[Class]]="C",WORKDAY(Main[[#This Row],[Tech Start Date]],23),IF(Main[[#This Row],[Class]]="B", WORKDAY(Main[[#This Row],[Tech Start Date]],15),IF(Main[[#This Row],[Class]]="A",WORKDAY(Main[[#This Row],[Tech Start Date]],5),""))))</f>
        <v/>
      </c>
      <c r="P1297" s="69" t="str">
        <f>IF(Main[[#This Row],[Tech Start Date]]&lt;1/1/1990,"",IF(Main[[#This Row],[Class]]="C",WORKDAY(Main[[#This Row],[Tech Start Date]],28),IF(Main[[#This Row],[Class]]="B", WORKDAY(Main[[#This Row],[Tech Start Date]],19),IF(Main[[#This Row],[Class]]="A",WORKDAY(Main[[#This Row],[Tech Start Date]],9),""))))</f>
        <v/>
      </c>
      <c r="Q1297" s="67">
        <v>40970</v>
      </c>
      <c r="R1297" s="67"/>
      <c r="S1297" s="65" t="s">
        <v>6</v>
      </c>
      <c r="T1297" s="70" t="s">
        <v>4</v>
      </c>
      <c r="U1297" s="65" t="s">
        <v>14</v>
      </c>
      <c r="V1297" s="65" t="s">
        <v>1920</v>
      </c>
      <c r="W1297" s="65" t="s">
        <v>1921</v>
      </c>
      <c r="X1297" s="65" t="s">
        <v>2828</v>
      </c>
      <c r="Y1297" s="65" t="s">
        <v>2944</v>
      </c>
      <c r="Z1297" s="65" t="s">
        <v>30</v>
      </c>
      <c r="AA1297" s="65" t="s">
        <v>2828</v>
      </c>
    </row>
    <row r="1298" spans="1:27" ht="17.45" customHeight="1">
      <c r="A1298" s="131" t="str">
        <f>IF(priority(Main[[#This Row],[Comments]])&lt;&gt;0, priority(Main[[#This Row],[Comments]]),"")</f>
        <v/>
      </c>
      <c r="B1298" s="99" t="s">
        <v>2746</v>
      </c>
      <c r="C1298" s="65" t="s">
        <v>4</v>
      </c>
      <c r="D1298" s="66" t="s">
        <v>2747</v>
      </c>
      <c r="E1298" s="67">
        <v>40897.524594907409</v>
      </c>
      <c r="F1298" s="67"/>
      <c r="G1298" s="64" t="str">
        <f>IF(stdProdLT(Main[[#This Row],[Comments]])=0.1,"N/A",IF(stdProdLT(Main[[#This Row],[Comments]])=0,"",stdProdLT(Main[[#This Row],[Comments]])))</f>
        <v/>
      </c>
      <c r="H1298" s="68" t="str">
        <f>IF(AND(Main[[#This Row],[In Stock Date]]&lt;&gt;"",Main[[#This Row],[Revised Due Date]]&lt;&gt;""),Main[[#This Row],[In Stock Date]]-Main[[#This Row],[Revised Due Date]],"")</f>
        <v/>
      </c>
      <c r="I1298" s="65" t="s">
        <v>69</v>
      </c>
      <c r="J1298" s="65" t="s">
        <v>28</v>
      </c>
      <c r="K1298" s="65" t="s">
        <v>1926</v>
      </c>
      <c r="L1298" s="67"/>
      <c r="M1298" s="69" t="str">
        <f>IF(Main[[#This Row],[Tech Start Date]]&lt;1/1/1990,"",IF(Main[[#This Row],[Class]]="C",WORKDAY(Main[[#This Row],[Tech Start Date]],9),IF(Main[[#This Row],[Class]]="B", WORKDAY(Main[[#This Row],[Tech Start Date]],6),IF(Main[[#This Row],[Class]]="A",WORKDAY(Main[[#This Row],[Tech Start Date]],2),""))))</f>
        <v/>
      </c>
      <c r="N1298" s="69" t="str">
        <f>IF(Main[[#This Row],[Tech Start Date]]&lt;1/1/1990,"",IF(Main[[#This Row],[Class]]="C",WORKDAY(Main[[#This Row],[Tech Start Date]],19),IF(Main[[#This Row],[Class]]="B", WORKDAY(Main[[#This Row],[Tech Start Date]],12),IF(Main[[#This Row],[Class]]="A",WORKDAY(Main[[#This Row],[Tech Start Date]],4),""))))</f>
        <v/>
      </c>
      <c r="O1298" s="69" t="str">
        <f>IF(Main[[#This Row],[Tech Start Date]]&lt;1/1/1990,"",IF(Main[[#This Row],[Class]]="C",WORKDAY(Main[[#This Row],[Tech Start Date]],23),IF(Main[[#This Row],[Class]]="B", WORKDAY(Main[[#This Row],[Tech Start Date]],15),IF(Main[[#This Row],[Class]]="A",WORKDAY(Main[[#This Row],[Tech Start Date]],5),""))))</f>
        <v/>
      </c>
      <c r="P1298" s="69" t="str">
        <f>IF(Main[[#This Row],[Tech Start Date]]&lt;1/1/1990,"",IF(Main[[#This Row],[Class]]="C",WORKDAY(Main[[#This Row],[Tech Start Date]],28),IF(Main[[#This Row],[Class]]="B", WORKDAY(Main[[#This Row],[Tech Start Date]],19),IF(Main[[#This Row],[Class]]="A",WORKDAY(Main[[#This Row],[Tech Start Date]],9),""))))</f>
        <v/>
      </c>
      <c r="Q1298" s="67">
        <v>40966</v>
      </c>
      <c r="R1298" s="67"/>
      <c r="S1298" s="65" t="s">
        <v>6</v>
      </c>
      <c r="T1298" s="70" t="s">
        <v>4</v>
      </c>
      <c r="U1298" s="65" t="s">
        <v>29</v>
      </c>
      <c r="V1298" s="65" t="s">
        <v>1927</v>
      </c>
      <c r="W1298" s="65" t="s">
        <v>1921</v>
      </c>
      <c r="X1298" s="65" t="s">
        <v>2872</v>
      </c>
      <c r="Y1298" s="65" t="s">
        <v>3006</v>
      </c>
      <c r="Z1298" s="65" t="s">
        <v>30</v>
      </c>
      <c r="AA1298" s="65" t="s">
        <v>2872</v>
      </c>
    </row>
    <row r="1299" spans="1:27" ht="17.45" customHeight="1">
      <c r="A1299" s="131" t="str">
        <f>IF(priority(Main[[#This Row],[Comments]])&lt;&gt;0, priority(Main[[#This Row],[Comments]]),"")</f>
        <v/>
      </c>
      <c r="B1299" s="99" t="s">
        <v>3774</v>
      </c>
      <c r="C1299" s="65" t="s">
        <v>79</v>
      </c>
      <c r="D1299" s="66" t="s">
        <v>3775</v>
      </c>
      <c r="E1299" s="67"/>
      <c r="F1299" s="67">
        <v>41004</v>
      </c>
      <c r="G1299" s="64" t="str">
        <f>IF(stdProdLT(Main[[#This Row],[Comments]])=0.1,"N/A",IF(stdProdLT(Main[[#This Row],[Comments]])=0,"",stdProdLT(Main[[#This Row],[Comments]])))</f>
        <v/>
      </c>
      <c r="H1299" s="68" t="str">
        <f>IF(AND(Main[[#This Row],[In Stock Date]]&lt;&gt;"",Main[[#This Row],[Revised Due Date]]&lt;&gt;""),Main[[#This Row],[In Stock Date]]-Main[[#This Row],[Revised Due Date]],"")</f>
        <v/>
      </c>
      <c r="I1299" s="65" t="s">
        <v>4</v>
      </c>
      <c r="J1299" s="65" t="s">
        <v>4</v>
      </c>
      <c r="K1299" s="65" t="s">
        <v>4</v>
      </c>
      <c r="L1299" s="67"/>
      <c r="M1299" s="69" t="str">
        <f>IF(Main[[#This Row],[Tech Start Date]]&lt;1/1/1990,"",IF(Main[[#This Row],[Class]]="C",WORKDAY(Main[[#This Row],[Tech Start Date]],9),IF(Main[[#This Row],[Class]]="B", WORKDAY(Main[[#This Row],[Tech Start Date]],6),IF(Main[[#This Row],[Class]]="A",WORKDAY(Main[[#This Row],[Tech Start Date]],2),""))))</f>
        <v/>
      </c>
      <c r="N1299" s="69" t="str">
        <f>IF(Main[[#This Row],[Tech Start Date]]&lt;1/1/1990,"",IF(Main[[#This Row],[Class]]="C",WORKDAY(Main[[#This Row],[Tech Start Date]],19),IF(Main[[#This Row],[Class]]="B", WORKDAY(Main[[#This Row],[Tech Start Date]],12),IF(Main[[#This Row],[Class]]="A",WORKDAY(Main[[#This Row],[Tech Start Date]],4),""))))</f>
        <v/>
      </c>
      <c r="O1299" s="69" t="str">
        <f>IF(Main[[#This Row],[Tech Start Date]]&lt;1/1/1990,"",IF(Main[[#This Row],[Class]]="C",WORKDAY(Main[[#This Row],[Tech Start Date]],23),IF(Main[[#This Row],[Class]]="B", WORKDAY(Main[[#This Row],[Tech Start Date]],15),IF(Main[[#This Row],[Class]]="A",WORKDAY(Main[[#This Row],[Tech Start Date]],5),""))))</f>
        <v/>
      </c>
      <c r="P1299" s="69" t="str">
        <f>IF(Main[[#This Row],[Tech Start Date]]&lt;1/1/1990,"",IF(Main[[#This Row],[Class]]="C",WORKDAY(Main[[#This Row],[Tech Start Date]],28),IF(Main[[#This Row],[Class]]="B", WORKDAY(Main[[#This Row],[Tech Start Date]],19),IF(Main[[#This Row],[Class]]="A",WORKDAY(Main[[#This Row],[Tech Start Date]],9),""))))</f>
        <v/>
      </c>
      <c r="Q1299" s="67">
        <v>40960</v>
      </c>
      <c r="R1299" s="67"/>
      <c r="S1299" s="65" t="s">
        <v>11</v>
      </c>
      <c r="T1299" s="70" t="s">
        <v>4</v>
      </c>
      <c r="U1299" s="65" t="s">
        <v>12</v>
      </c>
      <c r="V1299" s="65" t="s">
        <v>1917</v>
      </c>
      <c r="W1299" s="65" t="s">
        <v>1923</v>
      </c>
      <c r="X1299" s="65" t="s">
        <v>2911</v>
      </c>
      <c r="Y1299" s="65" t="s">
        <v>2949</v>
      </c>
      <c r="Z1299" s="65" t="s">
        <v>4</v>
      </c>
      <c r="AA1299" s="65" t="s">
        <v>2830</v>
      </c>
    </row>
    <row r="1300" spans="1:27" ht="17.45" customHeight="1">
      <c r="A1300" s="131" t="str">
        <f>IF(priority(Main[[#This Row],[Comments]])&lt;&gt;0, priority(Main[[#This Row],[Comments]]),"")</f>
        <v/>
      </c>
      <c r="B1300" s="99" t="s">
        <v>2734</v>
      </c>
      <c r="C1300" s="65" t="s">
        <v>4</v>
      </c>
      <c r="D1300" s="66" t="s">
        <v>2735</v>
      </c>
      <c r="E1300" s="67"/>
      <c r="F1300" s="67"/>
      <c r="G1300" s="64" t="str">
        <f>IF(stdProdLT(Main[[#This Row],[Comments]])=0.1,"N/A",IF(stdProdLT(Main[[#This Row],[Comments]])=0,"",stdProdLT(Main[[#This Row],[Comments]])))</f>
        <v/>
      </c>
      <c r="H1300" s="68" t="str">
        <f>IF(AND(Main[[#This Row],[In Stock Date]]&lt;&gt;"",Main[[#This Row],[Revised Due Date]]&lt;&gt;""),Main[[#This Row],[In Stock Date]]-Main[[#This Row],[Revised Due Date]],"")</f>
        <v/>
      </c>
      <c r="I1300" s="65" t="s">
        <v>4</v>
      </c>
      <c r="J1300" s="65" t="s">
        <v>4</v>
      </c>
      <c r="K1300" s="65" t="s">
        <v>4</v>
      </c>
      <c r="L1300" s="67"/>
      <c r="M1300" s="69" t="str">
        <f>IF(Main[[#This Row],[Tech Start Date]]&lt;1/1/1990,"",IF(Main[[#This Row],[Class]]="C",WORKDAY(Main[[#This Row],[Tech Start Date]],9),IF(Main[[#This Row],[Class]]="B", WORKDAY(Main[[#This Row],[Tech Start Date]],6),IF(Main[[#This Row],[Class]]="A",WORKDAY(Main[[#This Row],[Tech Start Date]],2),""))))</f>
        <v/>
      </c>
      <c r="N1300" s="69" t="str">
        <f>IF(Main[[#This Row],[Tech Start Date]]&lt;1/1/1990,"",IF(Main[[#This Row],[Class]]="C",WORKDAY(Main[[#This Row],[Tech Start Date]],19),IF(Main[[#This Row],[Class]]="B", WORKDAY(Main[[#This Row],[Tech Start Date]],12),IF(Main[[#This Row],[Class]]="A",WORKDAY(Main[[#This Row],[Tech Start Date]],4),""))))</f>
        <v/>
      </c>
      <c r="O1300" s="69" t="str">
        <f>IF(Main[[#This Row],[Tech Start Date]]&lt;1/1/1990,"",IF(Main[[#This Row],[Class]]="C",WORKDAY(Main[[#This Row],[Tech Start Date]],23),IF(Main[[#This Row],[Class]]="B", WORKDAY(Main[[#This Row],[Tech Start Date]],15),IF(Main[[#This Row],[Class]]="A",WORKDAY(Main[[#This Row],[Tech Start Date]],5),""))))</f>
        <v/>
      </c>
      <c r="P1300" s="69" t="str">
        <f>IF(Main[[#This Row],[Tech Start Date]]&lt;1/1/1990,"",IF(Main[[#This Row],[Class]]="C",WORKDAY(Main[[#This Row],[Tech Start Date]],28),IF(Main[[#This Row],[Class]]="B", WORKDAY(Main[[#This Row],[Tech Start Date]],19),IF(Main[[#This Row],[Class]]="A",WORKDAY(Main[[#This Row],[Tech Start Date]],9),""))))</f>
        <v/>
      </c>
      <c r="Q1300" s="67"/>
      <c r="R1300" s="67"/>
      <c r="S1300" s="65" t="s">
        <v>6</v>
      </c>
      <c r="T1300" s="70" t="s">
        <v>4</v>
      </c>
      <c r="U1300" s="65" t="s">
        <v>14</v>
      </c>
      <c r="V1300" s="65" t="s">
        <v>1917</v>
      </c>
      <c r="W1300" s="65" t="s">
        <v>1921</v>
      </c>
      <c r="X1300" s="65" t="s">
        <v>2908</v>
      </c>
      <c r="Y1300" s="65" t="s">
        <v>3087</v>
      </c>
      <c r="Z1300" s="65" t="s">
        <v>4</v>
      </c>
      <c r="AA1300" s="65" t="s">
        <v>2908</v>
      </c>
    </row>
    <row r="1301" spans="1:27" ht="17.45" customHeight="1">
      <c r="A1301" s="131" t="str">
        <f>IF(priority(Main[[#This Row],[Comments]])&lt;&gt;0, priority(Main[[#This Row],[Comments]]),"")</f>
        <v/>
      </c>
      <c r="B1301" s="99" t="s">
        <v>2788</v>
      </c>
      <c r="C1301" s="65" t="s">
        <v>4</v>
      </c>
      <c r="D1301" s="66" t="s">
        <v>2789</v>
      </c>
      <c r="E1301" s="67">
        <v>40913.323819444442</v>
      </c>
      <c r="F1301" s="67"/>
      <c r="G1301" s="64" t="str">
        <f>IF(stdProdLT(Main[[#This Row],[Comments]])=0.1,"N/A",IF(stdProdLT(Main[[#This Row],[Comments]])=0,"",stdProdLT(Main[[#This Row],[Comments]])))</f>
        <v/>
      </c>
      <c r="H1301" s="68" t="str">
        <f>IF(AND(Main[[#This Row],[In Stock Date]]&lt;&gt;"",Main[[#This Row],[Revised Due Date]]&lt;&gt;""),Main[[#This Row],[In Stock Date]]-Main[[#This Row],[Revised Due Date]],"")</f>
        <v/>
      </c>
      <c r="I1301" s="65" t="s">
        <v>4</v>
      </c>
      <c r="J1301" s="65" t="s">
        <v>4</v>
      </c>
      <c r="K1301" s="65" t="s">
        <v>4</v>
      </c>
      <c r="L1301" s="67"/>
      <c r="M1301" s="69" t="str">
        <f>IF(Main[[#This Row],[Tech Start Date]]&lt;1/1/1990,"",IF(Main[[#This Row],[Class]]="C",WORKDAY(Main[[#This Row],[Tech Start Date]],9),IF(Main[[#This Row],[Class]]="B", WORKDAY(Main[[#This Row],[Tech Start Date]],6),IF(Main[[#This Row],[Class]]="A",WORKDAY(Main[[#This Row],[Tech Start Date]],2),""))))</f>
        <v/>
      </c>
      <c r="N1301" s="69" t="str">
        <f>IF(Main[[#This Row],[Tech Start Date]]&lt;1/1/1990,"",IF(Main[[#This Row],[Class]]="C",WORKDAY(Main[[#This Row],[Tech Start Date]],19),IF(Main[[#This Row],[Class]]="B", WORKDAY(Main[[#This Row],[Tech Start Date]],12),IF(Main[[#This Row],[Class]]="A",WORKDAY(Main[[#This Row],[Tech Start Date]],4),""))))</f>
        <v/>
      </c>
      <c r="O1301" s="69" t="str">
        <f>IF(Main[[#This Row],[Tech Start Date]]&lt;1/1/1990,"",IF(Main[[#This Row],[Class]]="C",WORKDAY(Main[[#This Row],[Tech Start Date]],23),IF(Main[[#This Row],[Class]]="B", WORKDAY(Main[[#This Row],[Tech Start Date]],15),IF(Main[[#This Row],[Class]]="A",WORKDAY(Main[[#This Row],[Tech Start Date]],5),""))))</f>
        <v/>
      </c>
      <c r="P1301" s="69" t="str">
        <f>IF(Main[[#This Row],[Tech Start Date]]&lt;1/1/1990,"",IF(Main[[#This Row],[Class]]="C",WORKDAY(Main[[#This Row],[Tech Start Date]],28),IF(Main[[#This Row],[Class]]="B", WORKDAY(Main[[#This Row],[Tech Start Date]],19),IF(Main[[#This Row],[Class]]="A",WORKDAY(Main[[#This Row],[Tech Start Date]],9),""))))</f>
        <v/>
      </c>
      <c r="Q1301" s="67">
        <v>40945</v>
      </c>
      <c r="R1301" s="67"/>
      <c r="S1301" s="65" t="s">
        <v>6</v>
      </c>
      <c r="T1301" s="70" t="s">
        <v>4</v>
      </c>
      <c r="U1301" s="65" t="s">
        <v>7</v>
      </c>
      <c r="V1301" s="65" t="s">
        <v>1917</v>
      </c>
      <c r="W1301" s="65" t="s">
        <v>4</v>
      </c>
      <c r="X1301" s="65" t="s">
        <v>2825</v>
      </c>
      <c r="Y1301" s="65" t="s">
        <v>2938</v>
      </c>
      <c r="Z1301" s="65" t="s">
        <v>4</v>
      </c>
      <c r="AA1301" s="65" t="s">
        <v>2825</v>
      </c>
    </row>
    <row r="1302" spans="1:27" ht="17.45" customHeight="1">
      <c r="A1302" s="131" t="str">
        <f>IF(priority(Main[[#This Row],[Comments]])&lt;&gt;0, priority(Main[[#This Row],[Comments]]),"")</f>
        <v/>
      </c>
      <c r="B1302" s="99" t="s">
        <v>2754</v>
      </c>
      <c r="C1302" s="65" t="s">
        <v>2755</v>
      </c>
      <c r="D1302" s="66" t="s">
        <v>3776</v>
      </c>
      <c r="E1302" s="67">
        <v>40883.362615740742</v>
      </c>
      <c r="F1302" s="67"/>
      <c r="G1302" s="64" t="str">
        <f>IF(stdProdLT(Main[[#This Row],[Comments]])=0.1,"N/A",IF(stdProdLT(Main[[#This Row],[Comments]])=0,"",stdProdLT(Main[[#This Row],[Comments]])))</f>
        <v/>
      </c>
      <c r="H1302" s="68" t="str">
        <f>IF(AND(Main[[#This Row],[In Stock Date]]&lt;&gt;"",Main[[#This Row],[Revised Due Date]]&lt;&gt;""),Main[[#This Row],[In Stock Date]]-Main[[#This Row],[Revised Due Date]],"")</f>
        <v/>
      </c>
      <c r="I1302" s="65" t="s">
        <v>4</v>
      </c>
      <c r="J1302" s="65" t="s">
        <v>4</v>
      </c>
      <c r="K1302" s="65" t="s">
        <v>4</v>
      </c>
      <c r="L1302" s="67"/>
      <c r="M1302" s="69" t="str">
        <f>IF(Main[[#This Row],[Tech Start Date]]&lt;1/1/1990,"",IF(Main[[#This Row],[Class]]="C",WORKDAY(Main[[#This Row],[Tech Start Date]],9),IF(Main[[#This Row],[Class]]="B", WORKDAY(Main[[#This Row],[Tech Start Date]],6),IF(Main[[#This Row],[Class]]="A",WORKDAY(Main[[#This Row],[Tech Start Date]],2),""))))</f>
        <v/>
      </c>
      <c r="N1302" s="69" t="str">
        <f>IF(Main[[#This Row],[Tech Start Date]]&lt;1/1/1990,"",IF(Main[[#This Row],[Class]]="C",WORKDAY(Main[[#This Row],[Tech Start Date]],19),IF(Main[[#This Row],[Class]]="B", WORKDAY(Main[[#This Row],[Tech Start Date]],12),IF(Main[[#This Row],[Class]]="A",WORKDAY(Main[[#This Row],[Tech Start Date]],4),""))))</f>
        <v/>
      </c>
      <c r="O1302" s="69" t="str">
        <f>IF(Main[[#This Row],[Tech Start Date]]&lt;1/1/1990,"",IF(Main[[#This Row],[Class]]="C",WORKDAY(Main[[#This Row],[Tech Start Date]],23),IF(Main[[#This Row],[Class]]="B", WORKDAY(Main[[#This Row],[Tech Start Date]],15),IF(Main[[#This Row],[Class]]="A",WORKDAY(Main[[#This Row],[Tech Start Date]],5),""))))</f>
        <v/>
      </c>
      <c r="P1302" s="69" t="str">
        <f>IF(Main[[#This Row],[Tech Start Date]]&lt;1/1/1990,"",IF(Main[[#This Row],[Class]]="C",WORKDAY(Main[[#This Row],[Tech Start Date]],28),IF(Main[[#This Row],[Class]]="B", WORKDAY(Main[[#This Row],[Tech Start Date]],19),IF(Main[[#This Row],[Class]]="A",WORKDAY(Main[[#This Row],[Tech Start Date]],9),""))))</f>
        <v/>
      </c>
      <c r="Q1302" s="67"/>
      <c r="R1302" s="67"/>
      <c r="S1302" s="65" t="s">
        <v>17</v>
      </c>
      <c r="T1302" s="70" t="s">
        <v>4</v>
      </c>
      <c r="U1302" s="65" t="s">
        <v>7</v>
      </c>
      <c r="V1302" s="65" t="s">
        <v>1920</v>
      </c>
      <c r="W1302" s="65" t="s">
        <v>1922</v>
      </c>
      <c r="X1302" s="65" t="s">
        <v>654</v>
      </c>
      <c r="Y1302" s="65" t="s">
        <v>3132</v>
      </c>
      <c r="Z1302" s="65" t="s">
        <v>4</v>
      </c>
      <c r="AA1302" s="65" t="s">
        <v>654</v>
      </c>
    </row>
    <row r="1303" spans="1:27" ht="17.45" customHeight="1">
      <c r="A1303" s="131" t="str">
        <f>IF(priority(Main[[#This Row],[Comments]])&lt;&gt;0, priority(Main[[#This Row],[Comments]]),"")</f>
        <v/>
      </c>
      <c r="B1303" s="99" t="s">
        <v>1608</v>
      </c>
      <c r="C1303" s="65" t="s">
        <v>4</v>
      </c>
      <c r="D1303" s="66" t="s">
        <v>3777</v>
      </c>
      <c r="E1303" s="67">
        <v>40666.673935185187</v>
      </c>
      <c r="F1303" s="67"/>
      <c r="G1303" s="64" t="str">
        <f>IF(stdProdLT(Main[[#This Row],[Comments]])=0.1,"N/A",IF(stdProdLT(Main[[#This Row],[Comments]])=0,"",stdProdLT(Main[[#This Row],[Comments]])))</f>
        <v/>
      </c>
      <c r="H1303" s="68" t="str">
        <f>IF(AND(Main[[#This Row],[In Stock Date]]&lt;&gt;"",Main[[#This Row],[Revised Due Date]]&lt;&gt;""),Main[[#This Row],[In Stock Date]]-Main[[#This Row],[Revised Due Date]],"")</f>
        <v/>
      </c>
      <c r="I1303" s="65" t="s">
        <v>2211</v>
      </c>
      <c r="J1303" s="65" t="s">
        <v>75</v>
      </c>
      <c r="K1303" s="71" t="s">
        <v>1926</v>
      </c>
      <c r="L1303" s="67"/>
      <c r="M1303" s="69" t="str">
        <f>IF(Main[[#This Row],[Tech Start Date]]&lt;1/1/1990,"",IF(Main[[#This Row],[Class]]="C",WORKDAY(Main[[#This Row],[Tech Start Date]],9),IF(Main[[#This Row],[Class]]="B", WORKDAY(Main[[#This Row],[Tech Start Date]],6),IF(Main[[#This Row],[Class]]="A",WORKDAY(Main[[#This Row],[Tech Start Date]],2),""))))</f>
        <v/>
      </c>
      <c r="N1303" s="69" t="str">
        <f>IF(Main[[#This Row],[Tech Start Date]]&lt;1/1/1990,"",IF(Main[[#This Row],[Class]]="C",WORKDAY(Main[[#This Row],[Tech Start Date]],19),IF(Main[[#This Row],[Class]]="B", WORKDAY(Main[[#This Row],[Tech Start Date]],12),IF(Main[[#This Row],[Class]]="A",WORKDAY(Main[[#This Row],[Tech Start Date]],4),""))))</f>
        <v/>
      </c>
      <c r="O1303" s="69" t="str">
        <f>IF(Main[[#This Row],[Tech Start Date]]&lt;1/1/1990,"",IF(Main[[#This Row],[Class]]="C",WORKDAY(Main[[#This Row],[Tech Start Date]],23),IF(Main[[#This Row],[Class]]="B", WORKDAY(Main[[#This Row],[Tech Start Date]],15),IF(Main[[#This Row],[Class]]="A",WORKDAY(Main[[#This Row],[Tech Start Date]],5),""))))</f>
        <v/>
      </c>
      <c r="P1303" s="69" t="str">
        <f>IF(Main[[#This Row],[Tech Start Date]]&lt;1/1/1990,"",IF(Main[[#This Row],[Class]]="C",WORKDAY(Main[[#This Row],[Tech Start Date]],28),IF(Main[[#This Row],[Class]]="B", WORKDAY(Main[[#This Row],[Tech Start Date]],19),IF(Main[[#This Row],[Class]]="A",WORKDAY(Main[[#This Row],[Tech Start Date]],9),""))))</f>
        <v/>
      </c>
      <c r="Q1303" s="67"/>
      <c r="R1303" s="67"/>
      <c r="S1303" s="65" t="s">
        <v>6</v>
      </c>
      <c r="T1303" s="70" t="s">
        <v>4</v>
      </c>
      <c r="U1303" s="65" t="s">
        <v>29</v>
      </c>
      <c r="V1303" s="65" t="s">
        <v>1920</v>
      </c>
      <c r="W1303" s="65" t="s">
        <v>1921</v>
      </c>
      <c r="X1303" s="65" t="s">
        <v>74</v>
      </c>
      <c r="Y1303" s="65" t="s">
        <v>3037</v>
      </c>
      <c r="Z1303" s="65" t="s">
        <v>415</v>
      </c>
      <c r="AA1303" s="65" t="s">
        <v>74</v>
      </c>
    </row>
    <row r="1304" spans="1:27" ht="17.45" customHeight="1">
      <c r="A1304" s="131" t="str">
        <f>IF(priority(Main[[#This Row],[Comments]])&lt;&gt;0, priority(Main[[#This Row],[Comments]]),"")</f>
        <v/>
      </c>
      <c r="B1304" s="99" t="s">
        <v>3778</v>
      </c>
      <c r="C1304" s="65" t="s">
        <v>2359</v>
      </c>
      <c r="D1304" s="66" t="s">
        <v>3779</v>
      </c>
      <c r="E1304" s="67"/>
      <c r="F1304" s="67">
        <v>41014</v>
      </c>
      <c r="G1304" s="64" t="str">
        <f>IF(stdProdLT(Main[[#This Row],[Comments]])=0.1,"N/A",IF(stdProdLT(Main[[#This Row],[Comments]])=0,"",stdProdLT(Main[[#This Row],[Comments]])))</f>
        <v/>
      </c>
      <c r="H1304" s="68" t="str">
        <f>IF(AND(Main[[#This Row],[In Stock Date]]&lt;&gt;"",Main[[#This Row],[Revised Due Date]]&lt;&gt;""),Main[[#This Row],[In Stock Date]]-Main[[#This Row],[Revised Due Date]],"")</f>
        <v/>
      </c>
      <c r="I1304" s="65" t="s">
        <v>4</v>
      </c>
      <c r="J1304" s="65" t="s">
        <v>4</v>
      </c>
      <c r="K1304" s="65" t="s">
        <v>4</v>
      </c>
      <c r="L1304" s="67"/>
      <c r="M1304" s="69" t="str">
        <f>IF(Main[[#This Row],[Tech Start Date]]&lt;1/1/1990,"",IF(Main[[#This Row],[Class]]="C",WORKDAY(Main[[#This Row],[Tech Start Date]],9),IF(Main[[#This Row],[Class]]="B", WORKDAY(Main[[#This Row],[Tech Start Date]],6),IF(Main[[#This Row],[Class]]="A",WORKDAY(Main[[#This Row],[Tech Start Date]],2),""))))</f>
        <v/>
      </c>
      <c r="N1304" s="69" t="str">
        <f>IF(Main[[#This Row],[Tech Start Date]]&lt;1/1/1990,"",IF(Main[[#This Row],[Class]]="C",WORKDAY(Main[[#This Row],[Tech Start Date]],19),IF(Main[[#This Row],[Class]]="B", WORKDAY(Main[[#This Row],[Tech Start Date]],12),IF(Main[[#This Row],[Class]]="A",WORKDAY(Main[[#This Row],[Tech Start Date]],4),""))))</f>
        <v/>
      </c>
      <c r="O1304" s="69" t="str">
        <f>IF(Main[[#This Row],[Tech Start Date]]&lt;1/1/1990,"",IF(Main[[#This Row],[Class]]="C",WORKDAY(Main[[#This Row],[Tech Start Date]],23),IF(Main[[#This Row],[Class]]="B", WORKDAY(Main[[#This Row],[Tech Start Date]],15),IF(Main[[#This Row],[Class]]="A",WORKDAY(Main[[#This Row],[Tech Start Date]],5),""))))</f>
        <v/>
      </c>
      <c r="P1304" s="69" t="str">
        <f>IF(Main[[#This Row],[Tech Start Date]]&lt;1/1/1990,"",IF(Main[[#This Row],[Class]]="C",WORKDAY(Main[[#This Row],[Tech Start Date]],28),IF(Main[[#This Row],[Class]]="B", WORKDAY(Main[[#This Row],[Tech Start Date]],19),IF(Main[[#This Row],[Class]]="A",WORKDAY(Main[[#This Row],[Tech Start Date]],9),""))))</f>
        <v/>
      </c>
      <c r="Q1304" s="67">
        <v>40916</v>
      </c>
      <c r="R1304" s="67"/>
      <c r="S1304" s="65" t="s">
        <v>11</v>
      </c>
      <c r="T1304" s="70" t="s">
        <v>4</v>
      </c>
      <c r="U1304" s="65" t="s">
        <v>12</v>
      </c>
      <c r="V1304" s="65" t="s">
        <v>1927</v>
      </c>
      <c r="W1304" s="65" t="s">
        <v>1925</v>
      </c>
      <c r="X1304" s="65" t="s">
        <v>2849</v>
      </c>
      <c r="Y1304" s="65" t="s">
        <v>4</v>
      </c>
      <c r="Z1304" s="65" t="s">
        <v>4</v>
      </c>
      <c r="AA1304" s="65" t="s">
        <v>2849</v>
      </c>
    </row>
    <row r="1305" spans="1:27" ht="17.45" customHeight="1">
      <c r="A1305" s="131" t="str">
        <f>IF(priority(Main[[#This Row],[Comments]])&lt;&gt;0, priority(Main[[#This Row],[Comments]]),"")</f>
        <v/>
      </c>
      <c r="B1305" s="99" t="s">
        <v>3780</v>
      </c>
      <c r="C1305" s="65" t="s">
        <v>2359</v>
      </c>
      <c r="D1305" s="66" t="s">
        <v>3781</v>
      </c>
      <c r="E1305" s="67"/>
      <c r="F1305" s="67">
        <v>41014</v>
      </c>
      <c r="G1305" s="64" t="str">
        <f>IF(stdProdLT(Main[[#This Row],[Comments]])=0.1,"N/A",IF(stdProdLT(Main[[#This Row],[Comments]])=0,"",stdProdLT(Main[[#This Row],[Comments]])))</f>
        <v/>
      </c>
      <c r="H1305" s="68" t="str">
        <f>IF(AND(Main[[#This Row],[In Stock Date]]&lt;&gt;"",Main[[#This Row],[Revised Due Date]]&lt;&gt;""),Main[[#This Row],[In Stock Date]]-Main[[#This Row],[Revised Due Date]],"")</f>
        <v/>
      </c>
      <c r="I1305" s="65" t="s">
        <v>4</v>
      </c>
      <c r="J1305" s="65" t="s">
        <v>4</v>
      </c>
      <c r="K1305" s="65" t="s">
        <v>4</v>
      </c>
      <c r="L1305" s="67"/>
      <c r="M1305" s="69" t="str">
        <f>IF(Main[[#This Row],[Tech Start Date]]&lt;1/1/1990,"",IF(Main[[#This Row],[Class]]="C",WORKDAY(Main[[#This Row],[Tech Start Date]],9),IF(Main[[#This Row],[Class]]="B", WORKDAY(Main[[#This Row],[Tech Start Date]],6),IF(Main[[#This Row],[Class]]="A",WORKDAY(Main[[#This Row],[Tech Start Date]],2),""))))</f>
        <v/>
      </c>
      <c r="N1305" s="69" t="str">
        <f>IF(Main[[#This Row],[Tech Start Date]]&lt;1/1/1990,"",IF(Main[[#This Row],[Class]]="C",WORKDAY(Main[[#This Row],[Tech Start Date]],19),IF(Main[[#This Row],[Class]]="B", WORKDAY(Main[[#This Row],[Tech Start Date]],12),IF(Main[[#This Row],[Class]]="A",WORKDAY(Main[[#This Row],[Tech Start Date]],4),""))))</f>
        <v/>
      </c>
      <c r="O1305" s="69" t="str">
        <f>IF(Main[[#This Row],[Tech Start Date]]&lt;1/1/1990,"",IF(Main[[#This Row],[Class]]="C",WORKDAY(Main[[#This Row],[Tech Start Date]],23),IF(Main[[#This Row],[Class]]="B", WORKDAY(Main[[#This Row],[Tech Start Date]],15),IF(Main[[#This Row],[Class]]="A",WORKDAY(Main[[#This Row],[Tech Start Date]],5),""))))</f>
        <v/>
      </c>
      <c r="P1305" s="69" t="str">
        <f>IF(Main[[#This Row],[Tech Start Date]]&lt;1/1/1990,"",IF(Main[[#This Row],[Class]]="C",WORKDAY(Main[[#This Row],[Tech Start Date]],28),IF(Main[[#This Row],[Class]]="B", WORKDAY(Main[[#This Row],[Tech Start Date]],19),IF(Main[[#This Row],[Class]]="A",WORKDAY(Main[[#This Row],[Tech Start Date]],9),""))))</f>
        <v/>
      </c>
      <c r="Q1305" s="67">
        <v>40916</v>
      </c>
      <c r="R1305" s="67"/>
      <c r="S1305" s="65" t="s">
        <v>11</v>
      </c>
      <c r="T1305" s="70" t="s">
        <v>4</v>
      </c>
      <c r="U1305" s="65" t="s">
        <v>12</v>
      </c>
      <c r="V1305" s="65" t="s">
        <v>1927</v>
      </c>
      <c r="W1305" s="65" t="s">
        <v>1922</v>
      </c>
      <c r="X1305" s="65" t="s">
        <v>2849</v>
      </c>
      <c r="Y1305" s="65" t="s">
        <v>4</v>
      </c>
      <c r="Z1305" s="65" t="s">
        <v>4</v>
      </c>
      <c r="AA1305" s="65" t="s">
        <v>2849</v>
      </c>
    </row>
    <row r="1306" spans="1:27" ht="17.45" customHeight="1">
      <c r="A1306" s="131" t="str">
        <f>IF(priority(Main[[#This Row],[Comments]])&lt;&gt;0, priority(Main[[#This Row],[Comments]]),"")</f>
        <v/>
      </c>
      <c r="B1306" s="99" t="s">
        <v>2549</v>
      </c>
      <c r="C1306" s="65" t="s">
        <v>4</v>
      </c>
      <c r="D1306" s="66" t="s">
        <v>2550</v>
      </c>
      <c r="E1306" s="67">
        <v>40834.332835648151</v>
      </c>
      <c r="F1306" s="67"/>
      <c r="G1306" s="64" t="str">
        <f>IF(stdProdLT(Main[[#This Row],[Comments]])=0.1,"N/A",IF(stdProdLT(Main[[#This Row],[Comments]])=0,"",stdProdLT(Main[[#This Row],[Comments]])))</f>
        <v/>
      </c>
      <c r="H1306" s="68" t="str">
        <f>IF(AND(Main[[#This Row],[In Stock Date]]&lt;&gt;"",Main[[#This Row],[Revised Due Date]]&lt;&gt;""),Main[[#This Row],[In Stock Date]]-Main[[#This Row],[Revised Due Date]],"")</f>
        <v/>
      </c>
      <c r="I1306" s="65" t="s">
        <v>885</v>
      </c>
      <c r="J1306" s="65" t="s">
        <v>51</v>
      </c>
      <c r="K1306" s="65" t="s">
        <v>4</v>
      </c>
      <c r="L1306" s="67"/>
      <c r="M1306" s="69" t="str">
        <f>IF(Main[[#This Row],[Tech Start Date]]&lt;1/1/1990,"",IF(Main[[#This Row],[Class]]="C",WORKDAY(Main[[#This Row],[Tech Start Date]],9),IF(Main[[#This Row],[Class]]="B", WORKDAY(Main[[#This Row],[Tech Start Date]],6),IF(Main[[#This Row],[Class]]="A",WORKDAY(Main[[#This Row],[Tech Start Date]],2),""))))</f>
        <v/>
      </c>
      <c r="N1306" s="69" t="str">
        <f>IF(Main[[#This Row],[Tech Start Date]]&lt;1/1/1990,"",IF(Main[[#This Row],[Class]]="C",WORKDAY(Main[[#This Row],[Tech Start Date]],19),IF(Main[[#This Row],[Class]]="B", WORKDAY(Main[[#This Row],[Tech Start Date]],12),IF(Main[[#This Row],[Class]]="A",WORKDAY(Main[[#This Row],[Tech Start Date]],4),""))))</f>
        <v/>
      </c>
      <c r="O1306" s="69" t="str">
        <f>IF(Main[[#This Row],[Tech Start Date]]&lt;1/1/1990,"",IF(Main[[#This Row],[Class]]="C",WORKDAY(Main[[#This Row],[Tech Start Date]],23),IF(Main[[#This Row],[Class]]="B", WORKDAY(Main[[#This Row],[Tech Start Date]],15),IF(Main[[#This Row],[Class]]="A",WORKDAY(Main[[#This Row],[Tech Start Date]],5),""))))</f>
        <v/>
      </c>
      <c r="P1306" s="69" t="str">
        <f>IF(Main[[#This Row],[Tech Start Date]]&lt;1/1/1990,"",IF(Main[[#This Row],[Class]]="C",WORKDAY(Main[[#This Row],[Tech Start Date]],28),IF(Main[[#This Row],[Class]]="B", WORKDAY(Main[[#This Row],[Tech Start Date]],19),IF(Main[[#This Row],[Class]]="A",WORKDAY(Main[[#This Row],[Tech Start Date]],9),""))))</f>
        <v/>
      </c>
      <c r="Q1306" s="67"/>
      <c r="R1306" s="67"/>
      <c r="S1306" s="65" t="s">
        <v>6</v>
      </c>
      <c r="T1306" s="70" t="s">
        <v>4</v>
      </c>
      <c r="U1306" s="65" t="s">
        <v>29</v>
      </c>
      <c r="V1306" s="65" t="s">
        <v>1920</v>
      </c>
      <c r="W1306" s="65" t="s">
        <v>1921</v>
      </c>
      <c r="X1306" s="65" t="s">
        <v>399</v>
      </c>
      <c r="Y1306" s="65" t="s">
        <v>4</v>
      </c>
      <c r="Z1306" s="65" t="s">
        <v>4</v>
      </c>
      <c r="AA1306" s="65" t="s">
        <v>306</v>
      </c>
    </row>
    <row r="1307" spans="1:27" ht="17.45" customHeight="1">
      <c r="A1307" s="131" t="str">
        <f>IF(priority(Main[[#This Row],[Comments]])&lt;&gt;0, priority(Main[[#This Row],[Comments]]),"")</f>
        <v/>
      </c>
      <c r="B1307" s="99" t="s">
        <v>3782</v>
      </c>
      <c r="C1307" s="65" t="s">
        <v>148</v>
      </c>
      <c r="D1307" s="66" t="s">
        <v>3783</v>
      </c>
      <c r="E1307" s="67">
        <v>40967.383240740739</v>
      </c>
      <c r="F1307" s="67">
        <v>41096</v>
      </c>
      <c r="G1307" s="64" t="str">
        <f>IF(stdProdLT(Main[[#This Row],[Comments]])=0.1,"N/A",IF(stdProdLT(Main[[#This Row],[Comments]])=0,"",stdProdLT(Main[[#This Row],[Comments]])))</f>
        <v/>
      </c>
      <c r="H1307" s="68" t="str">
        <f>IF(AND(Main[[#This Row],[In Stock Date]]&lt;&gt;"",Main[[#This Row],[Revised Due Date]]&lt;&gt;""),Main[[#This Row],[In Stock Date]]-Main[[#This Row],[Revised Due Date]],"")</f>
        <v/>
      </c>
      <c r="I1307" s="65" t="s">
        <v>4</v>
      </c>
      <c r="J1307" s="65" t="s">
        <v>4</v>
      </c>
      <c r="K1307" s="65" t="s">
        <v>4</v>
      </c>
      <c r="L1307" s="67"/>
      <c r="M1307" s="69" t="str">
        <f>IF(Main[[#This Row],[Tech Start Date]]&lt;1/1/1990,"",IF(Main[[#This Row],[Class]]="C",WORKDAY(Main[[#This Row],[Tech Start Date]],9),IF(Main[[#This Row],[Class]]="B", WORKDAY(Main[[#This Row],[Tech Start Date]],6),IF(Main[[#This Row],[Class]]="A",WORKDAY(Main[[#This Row],[Tech Start Date]],2),""))))</f>
        <v/>
      </c>
      <c r="N1307" s="69" t="str">
        <f>IF(Main[[#This Row],[Tech Start Date]]&lt;1/1/1990,"",IF(Main[[#This Row],[Class]]="C",WORKDAY(Main[[#This Row],[Tech Start Date]],19),IF(Main[[#This Row],[Class]]="B", WORKDAY(Main[[#This Row],[Tech Start Date]],12),IF(Main[[#This Row],[Class]]="A",WORKDAY(Main[[#This Row],[Tech Start Date]],4),""))))</f>
        <v/>
      </c>
      <c r="O1307" s="69" t="str">
        <f>IF(Main[[#This Row],[Tech Start Date]]&lt;1/1/1990,"",IF(Main[[#This Row],[Class]]="C",WORKDAY(Main[[#This Row],[Tech Start Date]],23),IF(Main[[#This Row],[Class]]="B", WORKDAY(Main[[#This Row],[Tech Start Date]],15),IF(Main[[#This Row],[Class]]="A",WORKDAY(Main[[#This Row],[Tech Start Date]],5),""))))</f>
        <v/>
      </c>
      <c r="P1307" s="69" t="str">
        <f>IF(Main[[#This Row],[Tech Start Date]]&lt;1/1/1990,"",IF(Main[[#This Row],[Class]]="C",WORKDAY(Main[[#This Row],[Tech Start Date]],28),IF(Main[[#This Row],[Class]]="B", WORKDAY(Main[[#This Row],[Tech Start Date]],19),IF(Main[[#This Row],[Class]]="A",WORKDAY(Main[[#This Row],[Tech Start Date]],9),""))))</f>
        <v/>
      </c>
      <c r="Q1307" s="67"/>
      <c r="R1307" s="67"/>
      <c r="S1307" s="65" t="s">
        <v>11</v>
      </c>
      <c r="T1307" s="70" t="s">
        <v>4</v>
      </c>
      <c r="U1307" s="65" t="s">
        <v>7</v>
      </c>
      <c r="V1307" s="65" t="s">
        <v>1920</v>
      </c>
      <c r="W1307" s="65" t="s">
        <v>1925</v>
      </c>
      <c r="X1307" s="65" t="s">
        <v>50</v>
      </c>
      <c r="Y1307" s="65" t="s">
        <v>3785</v>
      </c>
      <c r="Z1307" s="65" t="s">
        <v>4</v>
      </c>
      <c r="AA1307" s="65" t="s">
        <v>3784</v>
      </c>
    </row>
    <row r="1308" spans="1:27" ht="17.45" customHeight="1">
      <c r="A1308" s="131" t="str">
        <f>IF(priority(Main[[#This Row],[Comments]])&lt;&gt;0, priority(Main[[#This Row],[Comments]]),"")</f>
        <v/>
      </c>
      <c r="B1308" s="99" t="s">
        <v>2463</v>
      </c>
      <c r="C1308" s="65" t="s">
        <v>4</v>
      </c>
      <c r="D1308" s="66" t="s">
        <v>2464</v>
      </c>
      <c r="E1308" s="67">
        <v>40855.432083333333</v>
      </c>
      <c r="F1308" s="67">
        <v>40877</v>
      </c>
      <c r="G1308" s="64" t="str">
        <f>IF(stdProdLT(Main[[#This Row],[Comments]])=0.1,"N/A",IF(stdProdLT(Main[[#This Row],[Comments]])=0,"",stdProdLT(Main[[#This Row],[Comments]])))</f>
        <v/>
      </c>
      <c r="H1308" s="68" t="str">
        <f>IF(AND(Main[[#This Row],[In Stock Date]]&lt;&gt;"",Main[[#This Row],[Revised Due Date]]&lt;&gt;""),Main[[#This Row],[In Stock Date]]-Main[[#This Row],[Revised Due Date]],"")</f>
        <v/>
      </c>
      <c r="I1308" s="65" t="s">
        <v>4</v>
      </c>
      <c r="J1308" s="65" t="s">
        <v>4</v>
      </c>
      <c r="K1308" s="65" t="s">
        <v>4</v>
      </c>
      <c r="L1308" s="67"/>
      <c r="M1308" s="69" t="str">
        <f>IF(Main[[#This Row],[Tech Start Date]]&lt;1/1/1990,"",IF(Main[[#This Row],[Class]]="C",WORKDAY(Main[[#This Row],[Tech Start Date]],9),IF(Main[[#This Row],[Class]]="B", WORKDAY(Main[[#This Row],[Tech Start Date]],6),IF(Main[[#This Row],[Class]]="A",WORKDAY(Main[[#This Row],[Tech Start Date]],2),""))))</f>
        <v/>
      </c>
      <c r="N1308" s="69" t="str">
        <f>IF(Main[[#This Row],[Tech Start Date]]&lt;1/1/1990,"",IF(Main[[#This Row],[Class]]="C",WORKDAY(Main[[#This Row],[Tech Start Date]],19),IF(Main[[#This Row],[Class]]="B", WORKDAY(Main[[#This Row],[Tech Start Date]],12),IF(Main[[#This Row],[Class]]="A",WORKDAY(Main[[#This Row],[Tech Start Date]],4),""))))</f>
        <v/>
      </c>
      <c r="O1308" s="69" t="str">
        <f>IF(Main[[#This Row],[Tech Start Date]]&lt;1/1/1990,"",IF(Main[[#This Row],[Class]]="C",WORKDAY(Main[[#This Row],[Tech Start Date]],23),IF(Main[[#This Row],[Class]]="B", WORKDAY(Main[[#This Row],[Tech Start Date]],15),IF(Main[[#This Row],[Class]]="A",WORKDAY(Main[[#This Row],[Tech Start Date]],5),""))))</f>
        <v/>
      </c>
      <c r="P1308" s="69" t="str">
        <f>IF(Main[[#This Row],[Tech Start Date]]&lt;1/1/1990,"",IF(Main[[#This Row],[Class]]="C",WORKDAY(Main[[#This Row],[Tech Start Date]],28),IF(Main[[#This Row],[Class]]="B", WORKDAY(Main[[#This Row],[Tech Start Date]],19),IF(Main[[#This Row],[Class]]="A",WORKDAY(Main[[#This Row],[Tech Start Date]],9),""))))</f>
        <v/>
      </c>
      <c r="Q1308" s="67">
        <v>40865</v>
      </c>
      <c r="R1308" s="67"/>
      <c r="S1308" s="65" t="s">
        <v>11</v>
      </c>
      <c r="T1308" s="70" t="s">
        <v>4</v>
      </c>
      <c r="U1308" s="65" t="s">
        <v>7</v>
      </c>
      <c r="V1308" s="65" t="s">
        <v>2288</v>
      </c>
      <c r="W1308" s="65" t="s">
        <v>1925</v>
      </c>
      <c r="X1308" s="65" t="s">
        <v>2919</v>
      </c>
      <c r="Y1308" s="65" t="s">
        <v>3142</v>
      </c>
      <c r="Z1308" s="65" t="s">
        <v>4</v>
      </c>
      <c r="AA1308" s="65" t="s">
        <v>3478</v>
      </c>
    </row>
    <row r="1309" spans="1:27" ht="17.45" customHeight="1">
      <c r="A1309" s="131" t="str">
        <f>IF(priority(Main[[#This Row],[Comments]])&lt;&gt;0, priority(Main[[#This Row],[Comments]]),"")</f>
        <v/>
      </c>
      <c r="B1309" s="99" t="s">
        <v>2490</v>
      </c>
      <c r="C1309" s="65" t="s">
        <v>4</v>
      </c>
      <c r="D1309" s="66" t="s">
        <v>2491</v>
      </c>
      <c r="E1309" s="67">
        <v>40864.625219907408</v>
      </c>
      <c r="F1309" s="67"/>
      <c r="G1309" s="64" t="str">
        <f>IF(stdProdLT(Main[[#This Row],[Comments]])=0.1,"N/A",IF(stdProdLT(Main[[#This Row],[Comments]])=0,"",stdProdLT(Main[[#This Row],[Comments]])))</f>
        <v/>
      </c>
      <c r="H1309" s="68" t="str">
        <f>IF(AND(Main[[#This Row],[In Stock Date]]&lt;&gt;"",Main[[#This Row],[Revised Due Date]]&lt;&gt;""),Main[[#This Row],[In Stock Date]]-Main[[#This Row],[Revised Due Date]],"")</f>
        <v/>
      </c>
      <c r="I1309" s="65" t="s">
        <v>4</v>
      </c>
      <c r="J1309" s="65" t="s">
        <v>4</v>
      </c>
      <c r="K1309" s="65" t="s">
        <v>4</v>
      </c>
      <c r="L1309" s="67"/>
      <c r="M1309" s="69" t="str">
        <f>IF(Main[[#This Row],[Tech Start Date]]&lt;1/1/1990,"",IF(Main[[#This Row],[Class]]="C",WORKDAY(Main[[#This Row],[Tech Start Date]],9),IF(Main[[#This Row],[Class]]="B", WORKDAY(Main[[#This Row],[Tech Start Date]],6),IF(Main[[#This Row],[Class]]="A",WORKDAY(Main[[#This Row],[Tech Start Date]],2),""))))</f>
        <v/>
      </c>
      <c r="N1309" s="69" t="str">
        <f>IF(Main[[#This Row],[Tech Start Date]]&lt;1/1/1990,"",IF(Main[[#This Row],[Class]]="C",WORKDAY(Main[[#This Row],[Tech Start Date]],19),IF(Main[[#This Row],[Class]]="B", WORKDAY(Main[[#This Row],[Tech Start Date]],12),IF(Main[[#This Row],[Class]]="A",WORKDAY(Main[[#This Row],[Tech Start Date]],4),""))))</f>
        <v/>
      </c>
      <c r="O1309" s="69" t="str">
        <f>IF(Main[[#This Row],[Tech Start Date]]&lt;1/1/1990,"",IF(Main[[#This Row],[Class]]="C",WORKDAY(Main[[#This Row],[Tech Start Date]],23),IF(Main[[#This Row],[Class]]="B", WORKDAY(Main[[#This Row],[Tech Start Date]],15),IF(Main[[#This Row],[Class]]="A",WORKDAY(Main[[#This Row],[Tech Start Date]],5),""))))</f>
        <v/>
      </c>
      <c r="P1309" s="69" t="str">
        <f>IF(Main[[#This Row],[Tech Start Date]]&lt;1/1/1990,"",IF(Main[[#This Row],[Class]]="C",WORKDAY(Main[[#This Row],[Tech Start Date]],28),IF(Main[[#This Row],[Class]]="B", WORKDAY(Main[[#This Row],[Tech Start Date]],19),IF(Main[[#This Row],[Class]]="A",WORKDAY(Main[[#This Row],[Tech Start Date]],9),""))))</f>
        <v/>
      </c>
      <c r="Q1309" s="67"/>
      <c r="R1309" s="67"/>
      <c r="S1309" s="65" t="s">
        <v>17</v>
      </c>
      <c r="T1309" s="70" t="s">
        <v>4</v>
      </c>
      <c r="U1309" s="65" t="s">
        <v>7</v>
      </c>
      <c r="V1309" s="65" t="s">
        <v>1918</v>
      </c>
      <c r="W1309" s="65" t="s">
        <v>1921</v>
      </c>
      <c r="X1309" s="65" t="s">
        <v>2872</v>
      </c>
      <c r="Y1309" s="65" t="s">
        <v>3006</v>
      </c>
      <c r="Z1309" s="65" t="s">
        <v>4</v>
      </c>
      <c r="AA1309" s="65" t="s">
        <v>2872</v>
      </c>
    </row>
    <row r="1310" spans="1:27" ht="17.45" customHeight="1">
      <c r="A1310" s="131" t="str">
        <f>IF(priority(Main[[#This Row],[Comments]])&lt;&gt;0, priority(Main[[#This Row],[Comments]]),"")</f>
        <v/>
      </c>
      <c r="B1310" s="99" t="s">
        <v>2237</v>
      </c>
      <c r="C1310" s="65" t="s">
        <v>4</v>
      </c>
      <c r="D1310" s="66" t="s">
        <v>2577</v>
      </c>
      <c r="E1310" s="67">
        <v>40798.47016203704</v>
      </c>
      <c r="F1310" s="67"/>
      <c r="G1310" s="64" t="str">
        <f>IF(stdProdLT(Main[[#This Row],[Comments]])=0.1,"N/A",IF(stdProdLT(Main[[#This Row],[Comments]])=0,"",stdProdLT(Main[[#This Row],[Comments]])))</f>
        <v/>
      </c>
      <c r="H1310" s="68" t="str">
        <f>IF(AND(Main[[#This Row],[In Stock Date]]&lt;&gt;"",Main[[#This Row],[Revised Due Date]]&lt;&gt;""),Main[[#This Row],[In Stock Date]]-Main[[#This Row],[Revised Due Date]],"")</f>
        <v/>
      </c>
      <c r="I1310" s="65" t="s">
        <v>130</v>
      </c>
      <c r="J1310" s="65" t="s">
        <v>28</v>
      </c>
      <c r="K1310" s="65" t="s">
        <v>1926</v>
      </c>
      <c r="L1310" s="67"/>
      <c r="M1310" s="69" t="str">
        <f>IF(Main[[#This Row],[Tech Start Date]]&lt;1/1/1990,"",IF(Main[[#This Row],[Class]]="C",WORKDAY(Main[[#This Row],[Tech Start Date]],9),IF(Main[[#This Row],[Class]]="B", WORKDAY(Main[[#This Row],[Tech Start Date]],6),IF(Main[[#This Row],[Class]]="A",WORKDAY(Main[[#This Row],[Tech Start Date]],2),""))))</f>
        <v/>
      </c>
      <c r="N1310" s="69" t="str">
        <f>IF(Main[[#This Row],[Tech Start Date]]&lt;1/1/1990,"",IF(Main[[#This Row],[Class]]="C",WORKDAY(Main[[#This Row],[Tech Start Date]],19),IF(Main[[#This Row],[Class]]="B", WORKDAY(Main[[#This Row],[Tech Start Date]],12),IF(Main[[#This Row],[Class]]="A",WORKDAY(Main[[#This Row],[Tech Start Date]],4),""))))</f>
        <v/>
      </c>
      <c r="O1310" s="69" t="str">
        <f>IF(Main[[#This Row],[Tech Start Date]]&lt;1/1/1990,"",IF(Main[[#This Row],[Class]]="C",WORKDAY(Main[[#This Row],[Tech Start Date]],23),IF(Main[[#This Row],[Class]]="B", WORKDAY(Main[[#This Row],[Tech Start Date]],15),IF(Main[[#This Row],[Class]]="A",WORKDAY(Main[[#This Row],[Tech Start Date]],5),""))))</f>
        <v/>
      </c>
      <c r="P1310" s="69" t="str">
        <f>IF(Main[[#This Row],[Tech Start Date]]&lt;1/1/1990,"",IF(Main[[#This Row],[Class]]="C",WORKDAY(Main[[#This Row],[Tech Start Date]],28),IF(Main[[#This Row],[Class]]="B", WORKDAY(Main[[#This Row],[Tech Start Date]],19),IF(Main[[#This Row],[Class]]="A",WORKDAY(Main[[#This Row],[Tech Start Date]],9),""))))</f>
        <v/>
      </c>
      <c r="Q1310" s="67">
        <v>40847</v>
      </c>
      <c r="R1310" s="67"/>
      <c r="S1310" s="65" t="s">
        <v>6</v>
      </c>
      <c r="T1310" s="70" t="s">
        <v>4</v>
      </c>
      <c r="U1310" s="65" t="s">
        <v>29</v>
      </c>
      <c r="V1310" s="65" t="s">
        <v>1920</v>
      </c>
      <c r="W1310" s="65" t="s">
        <v>1921</v>
      </c>
      <c r="X1310" s="65" t="s">
        <v>30</v>
      </c>
      <c r="Y1310" s="65" t="s">
        <v>3143</v>
      </c>
      <c r="Z1310" s="65" t="s">
        <v>30</v>
      </c>
      <c r="AA1310" s="65" t="s">
        <v>3479</v>
      </c>
    </row>
    <row r="1311" spans="1:27" ht="17.45" customHeight="1">
      <c r="A1311" s="131" t="str">
        <f>IF(priority(Main[[#This Row],[Comments]])&lt;&gt;0, priority(Main[[#This Row],[Comments]]),"")</f>
        <v/>
      </c>
      <c r="B1311" s="99" t="s">
        <v>1604</v>
      </c>
      <c r="C1311" s="65" t="s">
        <v>275</v>
      </c>
      <c r="D1311" s="66" t="s">
        <v>678</v>
      </c>
      <c r="E1311" s="67">
        <v>40500.611724537041</v>
      </c>
      <c r="F1311" s="67">
        <v>40444</v>
      </c>
      <c r="G1311" s="64" t="str">
        <f>IF(stdProdLT(Main[[#This Row],[Comments]])=0.1,"N/A",IF(stdProdLT(Main[[#This Row],[Comments]])=0,"",stdProdLT(Main[[#This Row],[Comments]])))</f>
        <v/>
      </c>
      <c r="H1311" s="68">
        <f>IF(AND(Main[[#This Row],[In Stock Date]]&lt;&gt;"",Main[[#This Row],[Revised Due Date]]&lt;&gt;""),Main[[#This Row],[In Stock Date]]-Main[[#This Row],[Revised Due Date]],"")</f>
        <v>-349</v>
      </c>
      <c r="I1311" s="65" t="s">
        <v>4</v>
      </c>
      <c r="J1311" s="65" t="s">
        <v>4</v>
      </c>
      <c r="K1311" s="65" t="s">
        <v>4</v>
      </c>
      <c r="L1311" s="67"/>
      <c r="M1311" s="69" t="str">
        <f>IF(Main[[#This Row],[Tech Start Date]]&lt;1/1/1990,"",IF(Main[[#This Row],[Class]]="C",WORKDAY(Main[[#This Row],[Tech Start Date]],9),IF(Main[[#This Row],[Class]]="B", WORKDAY(Main[[#This Row],[Tech Start Date]],6),IF(Main[[#This Row],[Class]]="A",WORKDAY(Main[[#This Row],[Tech Start Date]],2),""))))</f>
        <v/>
      </c>
      <c r="N1311" s="69" t="str">
        <f>IF(Main[[#This Row],[Tech Start Date]]&lt;1/1/1990,"",IF(Main[[#This Row],[Class]]="C",WORKDAY(Main[[#This Row],[Tech Start Date]],19),IF(Main[[#This Row],[Class]]="B", WORKDAY(Main[[#This Row],[Tech Start Date]],12),IF(Main[[#This Row],[Class]]="A",WORKDAY(Main[[#This Row],[Tech Start Date]],4),""))))</f>
        <v/>
      </c>
      <c r="O1311" s="69" t="str">
        <f>IF(Main[[#This Row],[Tech Start Date]]&lt;1/1/1990,"",IF(Main[[#This Row],[Class]]="C",WORKDAY(Main[[#This Row],[Tech Start Date]],23),IF(Main[[#This Row],[Class]]="B", WORKDAY(Main[[#This Row],[Tech Start Date]],15),IF(Main[[#This Row],[Class]]="A",WORKDAY(Main[[#This Row],[Tech Start Date]],5),""))))</f>
        <v/>
      </c>
      <c r="P1311" s="69" t="str">
        <f>IF(Main[[#This Row],[Tech Start Date]]&lt;1/1/1990,"",IF(Main[[#This Row],[Class]]="C",WORKDAY(Main[[#This Row],[Tech Start Date]],28),IF(Main[[#This Row],[Class]]="B", WORKDAY(Main[[#This Row],[Tech Start Date]],19),IF(Main[[#This Row],[Class]]="A",WORKDAY(Main[[#This Row],[Tech Start Date]],9),""))))</f>
        <v/>
      </c>
      <c r="Q1311" s="67">
        <v>40262</v>
      </c>
      <c r="R1311" s="67">
        <v>40793</v>
      </c>
      <c r="S1311" s="65" t="s">
        <v>17</v>
      </c>
      <c r="T1311" s="70" t="s">
        <v>4</v>
      </c>
      <c r="U1311" s="65" t="s">
        <v>29</v>
      </c>
      <c r="V1311" s="65" t="s">
        <v>1920</v>
      </c>
      <c r="W1311" s="65" t="s">
        <v>1922</v>
      </c>
      <c r="X1311" s="65" t="s">
        <v>306</v>
      </c>
      <c r="Y1311" s="65" t="s">
        <v>4</v>
      </c>
      <c r="Z1311" s="65" t="s">
        <v>4</v>
      </c>
      <c r="AA1311" s="65" t="s">
        <v>65</v>
      </c>
    </row>
    <row r="1312" spans="1:27" ht="17.45" customHeight="1">
      <c r="A1312" s="131" t="str">
        <f>IF(priority(Main[[#This Row],[Comments]])&lt;&gt;0, priority(Main[[#This Row],[Comments]]),"")</f>
        <v/>
      </c>
      <c r="B1312" s="99" t="s">
        <v>2358</v>
      </c>
      <c r="C1312" s="65" t="s">
        <v>2359</v>
      </c>
      <c r="D1312" s="66" t="s">
        <v>2360</v>
      </c>
      <c r="E1312" s="67"/>
      <c r="F1312" s="67">
        <v>41008</v>
      </c>
      <c r="G1312" s="64" t="str">
        <f>IF(stdProdLT(Main[[#This Row],[Comments]])=0.1,"N/A",IF(stdProdLT(Main[[#This Row],[Comments]])=0,"",stdProdLT(Main[[#This Row],[Comments]])))</f>
        <v/>
      </c>
      <c r="H1312" s="68" t="str">
        <f>IF(AND(Main[[#This Row],[In Stock Date]]&lt;&gt;"",Main[[#This Row],[Revised Due Date]]&lt;&gt;""),Main[[#This Row],[In Stock Date]]-Main[[#This Row],[Revised Due Date]],"")</f>
        <v/>
      </c>
      <c r="I1312" s="65" t="s">
        <v>4</v>
      </c>
      <c r="J1312" s="65" t="s">
        <v>4</v>
      </c>
      <c r="K1312" s="65" t="s">
        <v>4</v>
      </c>
      <c r="L1312" s="67"/>
      <c r="M1312" s="69" t="str">
        <f>IF(Main[[#This Row],[Tech Start Date]]&lt;1/1/1990,"",IF(Main[[#This Row],[Class]]="C",WORKDAY(Main[[#This Row],[Tech Start Date]],9),IF(Main[[#This Row],[Class]]="B", WORKDAY(Main[[#This Row],[Tech Start Date]],6),IF(Main[[#This Row],[Class]]="A",WORKDAY(Main[[#This Row],[Tech Start Date]],2),""))))</f>
        <v/>
      </c>
      <c r="N1312" s="69" t="str">
        <f>IF(Main[[#This Row],[Tech Start Date]]&lt;1/1/1990,"",IF(Main[[#This Row],[Class]]="C",WORKDAY(Main[[#This Row],[Tech Start Date]],19),IF(Main[[#This Row],[Class]]="B", WORKDAY(Main[[#This Row],[Tech Start Date]],12),IF(Main[[#This Row],[Class]]="A",WORKDAY(Main[[#This Row],[Tech Start Date]],4),""))))</f>
        <v/>
      </c>
      <c r="O1312" s="69" t="str">
        <f>IF(Main[[#This Row],[Tech Start Date]]&lt;1/1/1990,"",IF(Main[[#This Row],[Class]]="C",WORKDAY(Main[[#This Row],[Tech Start Date]],23),IF(Main[[#This Row],[Class]]="B", WORKDAY(Main[[#This Row],[Tech Start Date]],15),IF(Main[[#This Row],[Class]]="A",WORKDAY(Main[[#This Row],[Tech Start Date]],5),""))))</f>
        <v/>
      </c>
      <c r="P1312" s="69" t="str">
        <f>IF(Main[[#This Row],[Tech Start Date]]&lt;1/1/1990,"",IF(Main[[#This Row],[Class]]="C",WORKDAY(Main[[#This Row],[Tech Start Date]],28),IF(Main[[#This Row],[Class]]="B", WORKDAY(Main[[#This Row],[Tech Start Date]],19),IF(Main[[#This Row],[Class]]="A",WORKDAY(Main[[#This Row],[Tech Start Date]],9),""))))</f>
        <v/>
      </c>
      <c r="Q1312" s="67">
        <v>40826</v>
      </c>
      <c r="R1312" s="67"/>
      <c r="S1312" s="65" t="s">
        <v>11</v>
      </c>
      <c r="T1312" s="70" t="s">
        <v>4</v>
      </c>
      <c r="U1312" s="65" t="s">
        <v>12</v>
      </c>
      <c r="V1312" s="65" t="s">
        <v>1920</v>
      </c>
      <c r="W1312" s="65" t="s">
        <v>1923</v>
      </c>
      <c r="X1312" s="65" t="s">
        <v>2849</v>
      </c>
      <c r="Y1312" s="65" t="s">
        <v>4</v>
      </c>
      <c r="Z1312" s="65" t="s">
        <v>4</v>
      </c>
      <c r="AA1312" s="65" t="s">
        <v>2849</v>
      </c>
    </row>
    <row r="1313" spans="1:27" ht="17.45" customHeight="1">
      <c r="A1313" s="131" t="str">
        <f>IF(priority(Main[[#This Row],[Comments]])&lt;&gt;0, priority(Main[[#This Row],[Comments]]),"")</f>
        <v/>
      </c>
      <c r="B1313" s="99" t="s">
        <v>2592</v>
      </c>
      <c r="C1313" s="65" t="s">
        <v>4</v>
      </c>
      <c r="D1313" s="66" t="s">
        <v>2593</v>
      </c>
      <c r="E1313" s="67">
        <v>40843.713865740741</v>
      </c>
      <c r="F1313" s="67"/>
      <c r="G1313" s="64" t="str">
        <f>IF(stdProdLT(Main[[#This Row],[Comments]])=0.1,"N/A",IF(stdProdLT(Main[[#This Row],[Comments]])=0,"",stdProdLT(Main[[#This Row],[Comments]])))</f>
        <v/>
      </c>
      <c r="H1313" s="68" t="str">
        <f>IF(AND(Main[[#This Row],[In Stock Date]]&lt;&gt;"",Main[[#This Row],[Revised Due Date]]&lt;&gt;""),Main[[#This Row],[In Stock Date]]-Main[[#This Row],[Revised Due Date]],"")</f>
        <v/>
      </c>
      <c r="I1313" s="65" t="s">
        <v>4</v>
      </c>
      <c r="J1313" s="65" t="s">
        <v>51</v>
      </c>
      <c r="K1313" s="65" t="s">
        <v>4</v>
      </c>
      <c r="L1313" s="67"/>
      <c r="M1313" s="69" t="str">
        <f>IF(Main[[#This Row],[Tech Start Date]]&lt;1/1/1990,"",IF(Main[[#This Row],[Class]]="C",WORKDAY(Main[[#This Row],[Tech Start Date]],9),IF(Main[[#This Row],[Class]]="B", WORKDAY(Main[[#This Row],[Tech Start Date]],6),IF(Main[[#This Row],[Class]]="A",WORKDAY(Main[[#This Row],[Tech Start Date]],2),""))))</f>
        <v/>
      </c>
      <c r="N1313" s="69" t="str">
        <f>IF(Main[[#This Row],[Tech Start Date]]&lt;1/1/1990,"",IF(Main[[#This Row],[Class]]="C",WORKDAY(Main[[#This Row],[Tech Start Date]],19),IF(Main[[#This Row],[Class]]="B", WORKDAY(Main[[#This Row],[Tech Start Date]],12),IF(Main[[#This Row],[Class]]="A",WORKDAY(Main[[#This Row],[Tech Start Date]],4),""))))</f>
        <v/>
      </c>
      <c r="O1313" s="69" t="str">
        <f>IF(Main[[#This Row],[Tech Start Date]]&lt;1/1/1990,"",IF(Main[[#This Row],[Class]]="C",WORKDAY(Main[[#This Row],[Tech Start Date]],23),IF(Main[[#This Row],[Class]]="B", WORKDAY(Main[[#This Row],[Tech Start Date]],15),IF(Main[[#This Row],[Class]]="A",WORKDAY(Main[[#This Row],[Tech Start Date]],5),""))))</f>
        <v/>
      </c>
      <c r="P1313" s="69" t="str">
        <f>IF(Main[[#This Row],[Tech Start Date]]&lt;1/1/1990,"",IF(Main[[#This Row],[Class]]="C",WORKDAY(Main[[#This Row],[Tech Start Date]],28),IF(Main[[#This Row],[Class]]="B", WORKDAY(Main[[#This Row],[Tech Start Date]],19),IF(Main[[#This Row],[Class]]="A",WORKDAY(Main[[#This Row],[Tech Start Date]],9),""))))</f>
        <v/>
      </c>
      <c r="Q1313" s="67"/>
      <c r="R1313" s="67"/>
      <c r="S1313" s="65" t="s">
        <v>6</v>
      </c>
      <c r="T1313" s="70" t="s">
        <v>2417</v>
      </c>
      <c r="U1313" s="65" t="s">
        <v>534</v>
      </c>
      <c r="V1313" s="65" t="s">
        <v>1917</v>
      </c>
      <c r="W1313" s="65" t="s">
        <v>1923</v>
      </c>
      <c r="X1313" s="65" t="s">
        <v>306</v>
      </c>
      <c r="Y1313" s="65" t="s">
        <v>4</v>
      </c>
      <c r="Z1313" s="65" t="s">
        <v>4</v>
      </c>
      <c r="AA1313" s="65" t="s">
        <v>2845</v>
      </c>
    </row>
    <row r="1314" spans="1:27" ht="17.45" customHeight="1">
      <c r="A1314" s="131" t="str">
        <f>IF(priority(Main[[#This Row],[Comments]])&lt;&gt;0, priority(Main[[#This Row],[Comments]]),"")</f>
        <v/>
      </c>
      <c r="B1314" s="99" t="s">
        <v>2300</v>
      </c>
      <c r="C1314" s="65" t="s">
        <v>4</v>
      </c>
      <c r="D1314" s="66" t="s">
        <v>2301</v>
      </c>
      <c r="E1314" s="67">
        <v>40815.373611111114</v>
      </c>
      <c r="F1314" s="67"/>
      <c r="G1314" s="64" t="str">
        <f>IF(stdProdLT(Main[[#This Row],[Comments]])=0.1,"N/A",IF(stdProdLT(Main[[#This Row],[Comments]])=0,"",stdProdLT(Main[[#This Row],[Comments]])))</f>
        <v/>
      </c>
      <c r="H1314" s="68" t="str">
        <f>IF(AND(Main[[#This Row],[In Stock Date]]&lt;&gt;"",Main[[#This Row],[Revised Due Date]]&lt;&gt;""),Main[[#This Row],[In Stock Date]]-Main[[#This Row],[Revised Due Date]],"")</f>
        <v/>
      </c>
      <c r="I1314" s="65" t="s">
        <v>4</v>
      </c>
      <c r="J1314" s="65" t="s">
        <v>4</v>
      </c>
      <c r="K1314" s="65" t="s">
        <v>4</v>
      </c>
      <c r="L1314" s="67"/>
      <c r="M1314" s="69" t="str">
        <f>IF(Main[[#This Row],[Tech Start Date]]&lt;1/1/1990,"",IF(Main[[#This Row],[Class]]="C",WORKDAY(Main[[#This Row],[Tech Start Date]],9),IF(Main[[#This Row],[Class]]="B", WORKDAY(Main[[#This Row],[Tech Start Date]],6),IF(Main[[#This Row],[Class]]="A",WORKDAY(Main[[#This Row],[Tech Start Date]],2),""))))</f>
        <v/>
      </c>
      <c r="N1314" s="69" t="str">
        <f>IF(Main[[#This Row],[Tech Start Date]]&lt;1/1/1990,"",IF(Main[[#This Row],[Class]]="C",WORKDAY(Main[[#This Row],[Tech Start Date]],19),IF(Main[[#This Row],[Class]]="B", WORKDAY(Main[[#This Row],[Tech Start Date]],12),IF(Main[[#This Row],[Class]]="A",WORKDAY(Main[[#This Row],[Tech Start Date]],4),""))))</f>
        <v/>
      </c>
      <c r="O1314" s="69" t="str">
        <f>IF(Main[[#This Row],[Tech Start Date]]&lt;1/1/1990,"",IF(Main[[#This Row],[Class]]="C",WORKDAY(Main[[#This Row],[Tech Start Date]],23),IF(Main[[#This Row],[Class]]="B", WORKDAY(Main[[#This Row],[Tech Start Date]],15),IF(Main[[#This Row],[Class]]="A",WORKDAY(Main[[#This Row],[Tech Start Date]],5),""))))</f>
        <v/>
      </c>
      <c r="P1314" s="69" t="str">
        <f>IF(Main[[#This Row],[Tech Start Date]]&lt;1/1/1990,"",IF(Main[[#This Row],[Class]]="C",WORKDAY(Main[[#This Row],[Tech Start Date]],28),IF(Main[[#This Row],[Class]]="B", WORKDAY(Main[[#This Row],[Tech Start Date]],19),IF(Main[[#This Row],[Class]]="A",WORKDAY(Main[[#This Row],[Tech Start Date]],9),""))))</f>
        <v/>
      </c>
      <c r="Q1314" s="67"/>
      <c r="R1314" s="67"/>
      <c r="S1314" s="65" t="s">
        <v>6</v>
      </c>
      <c r="T1314" s="70" t="s">
        <v>4</v>
      </c>
      <c r="U1314" s="65" t="s">
        <v>29</v>
      </c>
      <c r="V1314" s="65" t="s">
        <v>1920</v>
      </c>
      <c r="W1314" s="65" t="s">
        <v>1921</v>
      </c>
      <c r="X1314" s="65" t="s">
        <v>102</v>
      </c>
      <c r="Y1314" s="65" t="s">
        <v>3144</v>
      </c>
      <c r="Z1314" s="65" t="s">
        <v>4</v>
      </c>
      <c r="AA1314" s="65" t="s">
        <v>3426</v>
      </c>
    </row>
    <row r="1315" spans="1:27" ht="17.45" customHeight="1">
      <c r="A1315" s="131" t="str">
        <f>IF(priority(Main[[#This Row],[Comments]])&lt;&gt;0, priority(Main[[#This Row],[Comments]]),"")</f>
        <v/>
      </c>
      <c r="B1315" s="99" t="s">
        <v>2319</v>
      </c>
      <c r="C1315" s="65" t="s">
        <v>2307</v>
      </c>
      <c r="D1315" s="66" t="s">
        <v>2308</v>
      </c>
      <c r="E1315" s="67"/>
      <c r="F1315" s="67">
        <v>40544</v>
      </c>
      <c r="G1315" s="64" t="str">
        <f>IF(stdProdLT(Main[[#This Row],[Comments]])=0.1,"N/A",IF(stdProdLT(Main[[#This Row],[Comments]])=0,"",stdProdLT(Main[[#This Row],[Comments]])))</f>
        <v/>
      </c>
      <c r="H1315" s="68" t="str">
        <f>IF(AND(Main[[#This Row],[In Stock Date]]&lt;&gt;"",Main[[#This Row],[Revised Due Date]]&lt;&gt;""),Main[[#This Row],[In Stock Date]]-Main[[#This Row],[Revised Due Date]],"")</f>
        <v/>
      </c>
      <c r="I1315" s="65" t="s">
        <v>4</v>
      </c>
      <c r="J1315" s="65" t="s">
        <v>4</v>
      </c>
      <c r="K1315" s="65" t="s">
        <v>4</v>
      </c>
      <c r="L1315" s="67"/>
      <c r="M1315" s="69" t="str">
        <f>IF(Main[[#This Row],[Tech Start Date]]&lt;1/1/1990,"",IF(Main[[#This Row],[Class]]="C",WORKDAY(Main[[#This Row],[Tech Start Date]],9),IF(Main[[#This Row],[Class]]="B", WORKDAY(Main[[#This Row],[Tech Start Date]],6),IF(Main[[#This Row],[Class]]="A",WORKDAY(Main[[#This Row],[Tech Start Date]],2),""))))</f>
        <v/>
      </c>
      <c r="N1315" s="69" t="str">
        <f>IF(Main[[#This Row],[Tech Start Date]]&lt;1/1/1990,"",IF(Main[[#This Row],[Class]]="C",WORKDAY(Main[[#This Row],[Tech Start Date]],19),IF(Main[[#This Row],[Class]]="B", WORKDAY(Main[[#This Row],[Tech Start Date]],12),IF(Main[[#This Row],[Class]]="A",WORKDAY(Main[[#This Row],[Tech Start Date]],4),""))))</f>
        <v/>
      </c>
      <c r="O1315" s="69" t="str">
        <f>IF(Main[[#This Row],[Tech Start Date]]&lt;1/1/1990,"",IF(Main[[#This Row],[Class]]="C",WORKDAY(Main[[#This Row],[Tech Start Date]],23),IF(Main[[#This Row],[Class]]="B", WORKDAY(Main[[#This Row],[Tech Start Date]],15),IF(Main[[#This Row],[Class]]="A",WORKDAY(Main[[#This Row],[Tech Start Date]],5),""))))</f>
        <v/>
      </c>
      <c r="P1315" s="69" t="str">
        <f>IF(Main[[#This Row],[Tech Start Date]]&lt;1/1/1990,"",IF(Main[[#This Row],[Class]]="C",WORKDAY(Main[[#This Row],[Tech Start Date]],28),IF(Main[[#This Row],[Class]]="B", WORKDAY(Main[[#This Row],[Tech Start Date]],19),IF(Main[[#This Row],[Class]]="A",WORKDAY(Main[[#This Row],[Tech Start Date]],9),""))))</f>
        <v/>
      </c>
      <c r="Q1315" s="67"/>
      <c r="R1315" s="67"/>
      <c r="S1315" s="65" t="s">
        <v>11</v>
      </c>
      <c r="T1315" s="70" t="s">
        <v>4</v>
      </c>
      <c r="U1315" s="65" t="s">
        <v>12</v>
      </c>
      <c r="V1315" s="65" t="s">
        <v>1920</v>
      </c>
      <c r="W1315" s="65" t="s">
        <v>1925</v>
      </c>
      <c r="X1315" s="65" t="s">
        <v>2918</v>
      </c>
      <c r="Y1315" s="65" t="s">
        <v>3141</v>
      </c>
      <c r="Z1315" s="65" t="s">
        <v>4</v>
      </c>
      <c r="AA1315" s="65" t="s">
        <v>3477</v>
      </c>
    </row>
    <row r="1316" spans="1:27" ht="17.45" customHeight="1">
      <c r="A1316" s="131" t="str">
        <f>IF(priority(Main[[#This Row],[Comments]])&lt;&gt;0, priority(Main[[#This Row],[Comments]]),"")</f>
        <v/>
      </c>
      <c r="B1316" s="99" t="s">
        <v>1094</v>
      </c>
      <c r="C1316" s="65" t="s">
        <v>4</v>
      </c>
      <c r="D1316" s="66" t="s">
        <v>3786</v>
      </c>
      <c r="E1316" s="67">
        <v>40086.707800925928</v>
      </c>
      <c r="F1316" s="67"/>
      <c r="G1316" s="64" t="str">
        <f>IF(stdProdLT(Main[[#This Row],[Comments]])=0.1,"N/A",IF(stdProdLT(Main[[#This Row],[Comments]])=0,"",stdProdLT(Main[[#This Row],[Comments]])))</f>
        <v/>
      </c>
      <c r="H1316" s="68" t="str">
        <f>IF(AND(Main[[#This Row],[In Stock Date]]&lt;&gt;"",Main[[#This Row],[Revised Due Date]]&lt;&gt;""),Main[[#This Row],[In Stock Date]]-Main[[#This Row],[Revised Due Date]],"")</f>
        <v/>
      </c>
      <c r="I1316" s="65" t="s">
        <v>909</v>
      </c>
      <c r="J1316" s="65" t="s">
        <v>4</v>
      </c>
      <c r="K1316" s="65" t="s">
        <v>1929</v>
      </c>
      <c r="L1316" s="67"/>
      <c r="M1316" s="69" t="str">
        <f>IF(Main[[#This Row],[Tech Start Date]]&lt;1/1/1990,"",IF(Main[[#This Row],[Class]]="C",WORKDAY(Main[[#This Row],[Tech Start Date]],9),IF(Main[[#This Row],[Class]]="B", WORKDAY(Main[[#This Row],[Tech Start Date]],6),IF(Main[[#This Row],[Class]]="A",WORKDAY(Main[[#This Row],[Tech Start Date]],2),""))))</f>
        <v/>
      </c>
      <c r="N1316" s="69" t="str">
        <f>IF(Main[[#This Row],[Tech Start Date]]&lt;1/1/1990,"",IF(Main[[#This Row],[Class]]="C",WORKDAY(Main[[#This Row],[Tech Start Date]],19),IF(Main[[#This Row],[Class]]="B", WORKDAY(Main[[#This Row],[Tech Start Date]],12),IF(Main[[#This Row],[Class]]="A",WORKDAY(Main[[#This Row],[Tech Start Date]],4),""))))</f>
        <v/>
      </c>
      <c r="O1316" s="69" t="str">
        <f>IF(Main[[#This Row],[Tech Start Date]]&lt;1/1/1990,"",IF(Main[[#This Row],[Class]]="C",WORKDAY(Main[[#This Row],[Tech Start Date]],23),IF(Main[[#This Row],[Class]]="B", WORKDAY(Main[[#This Row],[Tech Start Date]],15),IF(Main[[#This Row],[Class]]="A",WORKDAY(Main[[#This Row],[Tech Start Date]],5),""))))</f>
        <v/>
      </c>
      <c r="P1316" s="69" t="str">
        <f>IF(Main[[#This Row],[Tech Start Date]]&lt;1/1/1990,"",IF(Main[[#This Row],[Class]]="C",WORKDAY(Main[[#This Row],[Tech Start Date]],28),IF(Main[[#This Row],[Class]]="B", WORKDAY(Main[[#This Row],[Tech Start Date]],19),IF(Main[[#This Row],[Class]]="A",WORKDAY(Main[[#This Row],[Tech Start Date]],9),""))))</f>
        <v/>
      </c>
      <c r="Q1316" s="67">
        <v>41005</v>
      </c>
      <c r="R1316" s="67">
        <v>41005</v>
      </c>
      <c r="S1316" s="65" t="s">
        <v>17</v>
      </c>
      <c r="T1316" s="70" t="s">
        <v>4</v>
      </c>
      <c r="U1316" s="65" t="s">
        <v>29</v>
      </c>
      <c r="V1316" s="65" t="s">
        <v>1917</v>
      </c>
      <c r="W1316" s="65" t="s">
        <v>1922</v>
      </c>
      <c r="X1316" s="65" t="s">
        <v>129</v>
      </c>
      <c r="Y1316" s="65" t="s">
        <v>2939</v>
      </c>
      <c r="Z1316" s="65" t="s">
        <v>879</v>
      </c>
      <c r="AA1316" s="65" t="s">
        <v>129</v>
      </c>
    </row>
    <row r="1317" spans="1:27" ht="17.45" customHeight="1">
      <c r="A1317" s="131" t="str">
        <f>IF(priority(Main[[#This Row],[Comments]])&lt;&gt;0, priority(Main[[#This Row],[Comments]]),"")</f>
        <v/>
      </c>
      <c r="B1317" s="99" t="s">
        <v>3787</v>
      </c>
      <c r="C1317" s="65" t="s">
        <v>4</v>
      </c>
      <c r="D1317" s="66" t="s">
        <v>3788</v>
      </c>
      <c r="E1317" s="67">
        <v>40967.414942129632</v>
      </c>
      <c r="F1317" s="67"/>
      <c r="G1317" s="64" t="str">
        <f>IF(stdProdLT(Main[[#This Row],[Comments]])=0.1,"N/A",IF(stdProdLT(Main[[#This Row],[Comments]])=0,"",stdProdLT(Main[[#This Row],[Comments]])))</f>
        <v/>
      </c>
      <c r="H1317" s="68" t="str">
        <f>IF(AND(Main[[#This Row],[In Stock Date]]&lt;&gt;"",Main[[#This Row],[Revised Due Date]]&lt;&gt;""),Main[[#This Row],[In Stock Date]]-Main[[#This Row],[Revised Due Date]],"")</f>
        <v/>
      </c>
      <c r="I1317" s="65" t="s">
        <v>4</v>
      </c>
      <c r="J1317" s="65" t="s">
        <v>4</v>
      </c>
      <c r="K1317" s="65" t="s">
        <v>4</v>
      </c>
      <c r="L1317" s="67"/>
      <c r="M1317" s="69" t="str">
        <f>IF(Main[[#This Row],[Tech Start Date]]&lt;1/1/1990,"",IF(Main[[#This Row],[Class]]="C",WORKDAY(Main[[#This Row],[Tech Start Date]],9),IF(Main[[#This Row],[Class]]="B", WORKDAY(Main[[#This Row],[Tech Start Date]],6),IF(Main[[#This Row],[Class]]="A",WORKDAY(Main[[#This Row],[Tech Start Date]],2),""))))</f>
        <v/>
      </c>
      <c r="N1317" s="69" t="str">
        <f>IF(Main[[#This Row],[Tech Start Date]]&lt;1/1/1990,"",IF(Main[[#This Row],[Class]]="C",WORKDAY(Main[[#This Row],[Tech Start Date]],19),IF(Main[[#This Row],[Class]]="B", WORKDAY(Main[[#This Row],[Tech Start Date]],12),IF(Main[[#This Row],[Class]]="A",WORKDAY(Main[[#This Row],[Tech Start Date]],4),""))))</f>
        <v/>
      </c>
      <c r="O1317" s="69" t="str">
        <f>IF(Main[[#This Row],[Tech Start Date]]&lt;1/1/1990,"",IF(Main[[#This Row],[Class]]="C",WORKDAY(Main[[#This Row],[Tech Start Date]],23),IF(Main[[#This Row],[Class]]="B", WORKDAY(Main[[#This Row],[Tech Start Date]],15),IF(Main[[#This Row],[Class]]="A",WORKDAY(Main[[#This Row],[Tech Start Date]],5),""))))</f>
        <v/>
      </c>
      <c r="P1317" s="69" t="str">
        <f>IF(Main[[#This Row],[Tech Start Date]]&lt;1/1/1990,"",IF(Main[[#This Row],[Class]]="C",WORKDAY(Main[[#This Row],[Tech Start Date]],28),IF(Main[[#This Row],[Class]]="B", WORKDAY(Main[[#This Row],[Tech Start Date]],19),IF(Main[[#This Row],[Class]]="A",WORKDAY(Main[[#This Row],[Tech Start Date]],9),""))))</f>
        <v/>
      </c>
      <c r="Q1317" s="67">
        <v>40977</v>
      </c>
      <c r="R1317" s="67"/>
      <c r="S1317" s="65" t="s">
        <v>6</v>
      </c>
      <c r="T1317" s="70" t="s">
        <v>4</v>
      </c>
      <c r="U1317" s="65" t="s">
        <v>7</v>
      </c>
      <c r="V1317" s="65" t="s">
        <v>1920</v>
      </c>
      <c r="W1317" s="65" t="s">
        <v>1921</v>
      </c>
      <c r="X1317" s="65" t="s">
        <v>2909</v>
      </c>
      <c r="Y1317" s="65" t="s">
        <v>3089</v>
      </c>
      <c r="Z1317" s="65" t="s">
        <v>4</v>
      </c>
      <c r="AA1317" s="65" t="s">
        <v>2909</v>
      </c>
    </row>
    <row r="1318" spans="1:27" ht="17.45" customHeight="1">
      <c r="A1318" s="131" t="str">
        <f>IF(priority(Main[[#This Row],[Comments]])&lt;&gt;0, priority(Main[[#This Row],[Comments]]),"")</f>
        <v/>
      </c>
      <c r="B1318" s="99" t="s">
        <v>3792</v>
      </c>
      <c r="C1318" s="65" t="s">
        <v>4</v>
      </c>
      <c r="D1318" s="66" t="s">
        <v>3793</v>
      </c>
      <c r="E1318" s="67">
        <v>40960.576238425929</v>
      </c>
      <c r="F1318" s="67"/>
      <c r="G1318" s="64" t="str">
        <f>IF(stdProdLT(Main[[#This Row],[Comments]])=0.1,"N/A",IF(stdProdLT(Main[[#This Row],[Comments]])=0,"",stdProdLT(Main[[#This Row],[Comments]])))</f>
        <v/>
      </c>
      <c r="H1318" s="68" t="str">
        <f>IF(AND(Main[[#This Row],[In Stock Date]]&lt;&gt;"",Main[[#This Row],[Revised Due Date]]&lt;&gt;""),Main[[#This Row],[In Stock Date]]-Main[[#This Row],[Revised Due Date]],"")</f>
        <v/>
      </c>
      <c r="I1318" s="65" t="s">
        <v>239</v>
      </c>
      <c r="J1318" s="65" t="s">
        <v>70</v>
      </c>
      <c r="K1318" s="65" t="s">
        <v>1926</v>
      </c>
      <c r="L1318" s="67"/>
      <c r="M1318" s="69" t="str">
        <f>IF(Main[[#This Row],[Tech Start Date]]&lt;1/1/1990,"",IF(Main[[#This Row],[Class]]="C",WORKDAY(Main[[#This Row],[Tech Start Date]],9),IF(Main[[#This Row],[Class]]="B", WORKDAY(Main[[#This Row],[Tech Start Date]],6),IF(Main[[#This Row],[Class]]="A",WORKDAY(Main[[#This Row],[Tech Start Date]],2),""))))</f>
        <v/>
      </c>
      <c r="N1318" s="69" t="str">
        <f>IF(Main[[#This Row],[Tech Start Date]]&lt;1/1/1990,"",IF(Main[[#This Row],[Class]]="C",WORKDAY(Main[[#This Row],[Tech Start Date]],19),IF(Main[[#This Row],[Class]]="B", WORKDAY(Main[[#This Row],[Tech Start Date]],12),IF(Main[[#This Row],[Class]]="A",WORKDAY(Main[[#This Row],[Tech Start Date]],4),""))))</f>
        <v/>
      </c>
      <c r="O1318" s="69" t="str">
        <f>IF(Main[[#This Row],[Tech Start Date]]&lt;1/1/1990,"",IF(Main[[#This Row],[Class]]="C",WORKDAY(Main[[#This Row],[Tech Start Date]],23),IF(Main[[#This Row],[Class]]="B", WORKDAY(Main[[#This Row],[Tech Start Date]],15),IF(Main[[#This Row],[Class]]="A",WORKDAY(Main[[#This Row],[Tech Start Date]],5),""))))</f>
        <v/>
      </c>
      <c r="P1318" s="69" t="str">
        <f>IF(Main[[#This Row],[Tech Start Date]]&lt;1/1/1990,"",IF(Main[[#This Row],[Class]]="C",WORKDAY(Main[[#This Row],[Tech Start Date]],28),IF(Main[[#This Row],[Class]]="B", WORKDAY(Main[[#This Row],[Tech Start Date]],19),IF(Main[[#This Row],[Class]]="A",WORKDAY(Main[[#This Row],[Tech Start Date]],9),""))))</f>
        <v/>
      </c>
      <c r="Q1318" s="67">
        <v>41029</v>
      </c>
      <c r="R1318" s="67"/>
      <c r="S1318" s="65" t="s">
        <v>6</v>
      </c>
      <c r="T1318" s="70" t="s">
        <v>4</v>
      </c>
      <c r="U1318" s="65" t="s">
        <v>29</v>
      </c>
      <c r="V1318" s="65" t="s">
        <v>1920</v>
      </c>
      <c r="W1318" s="65" t="s">
        <v>1921</v>
      </c>
      <c r="X1318" s="65" t="s">
        <v>30</v>
      </c>
      <c r="Y1318" s="65" t="s">
        <v>3794</v>
      </c>
      <c r="Z1318" s="65" t="s">
        <v>30</v>
      </c>
      <c r="AA1318" s="65" t="s">
        <v>30</v>
      </c>
    </row>
    <row r="1319" spans="1:27" ht="17.45" customHeight="1">
      <c r="A1319" s="131" t="str">
        <f>IF(priority(Main[[#This Row],[Comments]])&lt;&gt;0, priority(Main[[#This Row],[Comments]]),"")</f>
        <v/>
      </c>
      <c r="B1319" s="99" t="s">
        <v>3795</v>
      </c>
      <c r="C1319" s="65" t="s">
        <v>4</v>
      </c>
      <c r="D1319" s="66" t="s">
        <v>3796</v>
      </c>
      <c r="E1319" s="67">
        <v>40959.601018518515</v>
      </c>
      <c r="F1319" s="67"/>
      <c r="G1319" s="64" t="str">
        <f>IF(stdProdLT(Main[[#This Row],[Comments]])=0.1,"N/A",IF(stdProdLT(Main[[#This Row],[Comments]])=0,"",stdProdLT(Main[[#This Row],[Comments]])))</f>
        <v/>
      </c>
      <c r="H1319" s="68" t="str">
        <f>IF(AND(Main[[#This Row],[In Stock Date]]&lt;&gt;"",Main[[#This Row],[Revised Due Date]]&lt;&gt;""),Main[[#This Row],[In Stock Date]]-Main[[#This Row],[Revised Due Date]],"")</f>
        <v/>
      </c>
      <c r="I1319" s="65" t="s">
        <v>562</v>
      </c>
      <c r="J1319" s="65" t="s">
        <v>28</v>
      </c>
      <c r="K1319" s="65" t="s">
        <v>4</v>
      </c>
      <c r="L1319" s="67"/>
      <c r="M1319" s="69" t="str">
        <f>IF(Main[[#This Row],[Tech Start Date]]&lt;1/1/1990,"",IF(Main[[#This Row],[Class]]="C",WORKDAY(Main[[#This Row],[Tech Start Date]],9),IF(Main[[#This Row],[Class]]="B", WORKDAY(Main[[#This Row],[Tech Start Date]],6),IF(Main[[#This Row],[Class]]="A",WORKDAY(Main[[#This Row],[Tech Start Date]],2),""))))</f>
        <v/>
      </c>
      <c r="N1319" s="69" t="str">
        <f>IF(Main[[#This Row],[Tech Start Date]]&lt;1/1/1990,"",IF(Main[[#This Row],[Class]]="C",WORKDAY(Main[[#This Row],[Tech Start Date]],19),IF(Main[[#This Row],[Class]]="B", WORKDAY(Main[[#This Row],[Tech Start Date]],12),IF(Main[[#This Row],[Class]]="A",WORKDAY(Main[[#This Row],[Tech Start Date]],4),""))))</f>
        <v/>
      </c>
      <c r="O1319" s="69" t="str">
        <f>IF(Main[[#This Row],[Tech Start Date]]&lt;1/1/1990,"",IF(Main[[#This Row],[Class]]="C",WORKDAY(Main[[#This Row],[Tech Start Date]],23),IF(Main[[#This Row],[Class]]="B", WORKDAY(Main[[#This Row],[Tech Start Date]],15),IF(Main[[#This Row],[Class]]="A",WORKDAY(Main[[#This Row],[Tech Start Date]],5),""))))</f>
        <v/>
      </c>
      <c r="P1319" s="69" t="str">
        <f>IF(Main[[#This Row],[Tech Start Date]]&lt;1/1/1990,"",IF(Main[[#This Row],[Class]]="C",WORKDAY(Main[[#This Row],[Tech Start Date]],28),IF(Main[[#This Row],[Class]]="B", WORKDAY(Main[[#This Row],[Tech Start Date]],19),IF(Main[[#This Row],[Class]]="A",WORKDAY(Main[[#This Row],[Tech Start Date]],9),""))))</f>
        <v/>
      </c>
      <c r="Q1319" s="67"/>
      <c r="R1319" s="67"/>
      <c r="S1319" s="65" t="s">
        <v>6</v>
      </c>
      <c r="T1319" s="70" t="s">
        <v>4</v>
      </c>
      <c r="U1319" s="65" t="s">
        <v>29</v>
      </c>
      <c r="V1319" s="65" t="s">
        <v>1917</v>
      </c>
      <c r="W1319" s="65" t="s">
        <v>4</v>
      </c>
      <c r="X1319" s="65" t="s">
        <v>562</v>
      </c>
      <c r="Y1319" s="65" t="s">
        <v>3062</v>
      </c>
      <c r="Z1319" s="65" t="s">
        <v>4</v>
      </c>
      <c r="AA1319" s="65" t="s">
        <v>562</v>
      </c>
    </row>
    <row r="1320" spans="1:27" ht="17.45" customHeight="1">
      <c r="A1320" s="131" t="str">
        <f>IF(priority(Main[[#This Row],[Comments]])&lt;&gt;0, priority(Main[[#This Row],[Comments]]),"")</f>
        <v/>
      </c>
      <c r="B1320" s="99" t="s">
        <v>3797</v>
      </c>
      <c r="C1320" s="65" t="s">
        <v>4</v>
      </c>
      <c r="D1320" s="66" t="s">
        <v>3798</v>
      </c>
      <c r="E1320" s="67">
        <v>40955.139027777775</v>
      </c>
      <c r="F1320" s="67"/>
      <c r="G1320" s="64" t="str">
        <f>IF(stdProdLT(Main[[#This Row],[Comments]])=0.1,"N/A",IF(stdProdLT(Main[[#This Row],[Comments]])=0,"",stdProdLT(Main[[#This Row],[Comments]])))</f>
        <v/>
      </c>
      <c r="H1320" s="68" t="str">
        <f>IF(AND(Main[[#This Row],[In Stock Date]]&lt;&gt;"",Main[[#This Row],[Revised Due Date]]&lt;&gt;""),Main[[#This Row],[In Stock Date]]-Main[[#This Row],[Revised Due Date]],"")</f>
        <v/>
      </c>
      <c r="I1320" s="65" t="s">
        <v>4</v>
      </c>
      <c r="J1320" s="65" t="s">
        <v>4</v>
      </c>
      <c r="K1320" s="65" t="s">
        <v>4</v>
      </c>
      <c r="L1320" s="67"/>
      <c r="M1320" s="69" t="str">
        <f>IF(Main[[#This Row],[Tech Start Date]]&lt;1/1/1990,"",IF(Main[[#This Row],[Class]]="C",WORKDAY(Main[[#This Row],[Tech Start Date]],9),IF(Main[[#This Row],[Class]]="B", WORKDAY(Main[[#This Row],[Tech Start Date]],6),IF(Main[[#This Row],[Class]]="A",WORKDAY(Main[[#This Row],[Tech Start Date]],2),""))))</f>
        <v/>
      </c>
      <c r="N1320" s="69" t="str">
        <f>IF(Main[[#This Row],[Tech Start Date]]&lt;1/1/1990,"",IF(Main[[#This Row],[Class]]="C",WORKDAY(Main[[#This Row],[Tech Start Date]],19),IF(Main[[#This Row],[Class]]="B", WORKDAY(Main[[#This Row],[Tech Start Date]],12),IF(Main[[#This Row],[Class]]="A",WORKDAY(Main[[#This Row],[Tech Start Date]],4),""))))</f>
        <v/>
      </c>
      <c r="O1320" s="69" t="str">
        <f>IF(Main[[#This Row],[Tech Start Date]]&lt;1/1/1990,"",IF(Main[[#This Row],[Class]]="C",WORKDAY(Main[[#This Row],[Tech Start Date]],23),IF(Main[[#This Row],[Class]]="B", WORKDAY(Main[[#This Row],[Tech Start Date]],15),IF(Main[[#This Row],[Class]]="A",WORKDAY(Main[[#This Row],[Tech Start Date]],5),""))))</f>
        <v/>
      </c>
      <c r="P1320" s="69" t="str">
        <f>IF(Main[[#This Row],[Tech Start Date]]&lt;1/1/1990,"",IF(Main[[#This Row],[Class]]="C",WORKDAY(Main[[#This Row],[Tech Start Date]],28),IF(Main[[#This Row],[Class]]="B", WORKDAY(Main[[#This Row],[Tech Start Date]],19),IF(Main[[#This Row],[Class]]="A",WORKDAY(Main[[#This Row],[Tech Start Date]],9),""))))</f>
        <v/>
      </c>
      <c r="Q1320" s="67">
        <v>40984</v>
      </c>
      <c r="R1320" s="67"/>
      <c r="S1320" s="65" t="s">
        <v>6</v>
      </c>
      <c r="T1320" s="70" t="s">
        <v>4</v>
      </c>
      <c r="U1320" s="65" t="s">
        <v>7</v>
      </c>
      <c r="V1320" s="65" t="s">
        <v>1917</v>
      </c>
      <c r="W1320" s="65" t="s">
        <v>4</v>
      </c>
      <c r="X1320" s="65" t="s">
        <v>2828</v>
      </c>
      <c r="Y1320" s="65" t="s">
        <v>2944</v>
      </c>
      <c r="Z1320" s="65" t="s">
        <v>4</v>
      </c>
      <c r="AA1320" s="65" t="s">
        <v>2828</v>
      </c>
    </row>
    <row r="1321" spans="1:27" ht="17.45" customHeight="1">
      <c r="A1321" s="131" t="str">
        <f>IF(priority(Main[[#This Row],[Comments]])&lt;&gt;0, priority(Main[[#This Row],[Comments]]),"")</f>
        <v/>
      </c>
      <c r="B1321" s="99" t="s">
        <v>2794</v>
      </c>
      <c r="C1321" s="65" t="s">
        <v>4</v>
      </c>
      <c r="D1321" s="66" t="s">
        <v>2795</v>
      </c>
      <c r="E1321" s="67">
        <v>40883.621099537035</v>
      </c>
      <c r="F1321" s="67"/>
      <c r="G1321" s="64" t="str">
        <f>IF(stdProdLT(Main[[#This Row],[Comments]])=0.1,"N/A",IF(stdProdLT(Main[[#This Row],[Comments]])=0,"",stdProdLT(Main[[#This Row],[Comments]])))</f>
        <v/>
      </c>
      <c r="H1321" s="68" t="str">
        <f>IF(AND(Main[[#This Row],[In Stock Date]]&lt;&gt;"",Main[[#This Row],[Revised Due Date]]&lt;&gt;""),Main[[#This Row],[In Stock Date]]-Main[[#This Row],[Revised Due Date]],"")</f>
        <v/>
      </c>
      <c r="I1321" s="65" t="s">
        <v>3553</v>
      </c>
      <c r="J1321" s="65" t="s">
        <v>4</v>
      </c>
      <c r="K1321" s="65" t="s">
        <v>1929</v>
      </c>
      <c r="L1321" s="67"/>
      <c r="M1321" s="69" t="str">
        <f>IF(Main[[#This Row],[Tech Start Date]]&lt;1/1/1990,"",IF(Main[[#This Row],[Class]]="C",WORKDAY(Main[[#This Row],[Tech Start Date]],9),IF(Main[[#This Row],[Class]]="B", WORKDAY(Main[[#This Row],[Tech Start Date]],6),IF(Main[[#This Row],[Class]]="A",WORKDAY(Main[[#This Row],[Tech Start Date]],2),""))))</f>
        <v/>
      </c>
      <c r="N1321" s="69" t="str">
        <f>IF(Main[[#This Row],[Tech Start Date]]&lt;1/1/1990,"",IF(Main[[#This Row],[Class]]="C",WORKDAY(Main[[#This Row],[Tech Start Date]],19),IF(Main[[#This Row],[Class]]="B", WORKDAY(Main[[#This Row],[Tech Start Date]],12),IF(Main[[#This Row],[Class]]="A",WORKDAY(Main[[#This Row],[Tech Start Date]],4),""))))</f>
        <v/>
      </c>
      <c r="O1321" s="69" t="str">
        <f>IF(Main[[#This Row],[Tech Start Date]]&lt;1/1/1990,"",IF(Main[[#This Row],[Class]]="C",WORKDAY(Main[[#This Row],[Tech Start Date]],23),IF(Main[[#This Row],[Class]]="B", WORKDAY(Main[[#This Row],[Tech Start Date]],15),IF(Main[[#This Row],[Class]]="A",WORKDAY(Main[[#This Row],[Tech Start Date]],5),""))))</f>
        <v/>
      </c>
      <c r="P1321" s="69" t="str">
        <f>IF(Main[[#This Row],[Tech Start Date]]&lt;1/1/1990,"",IF(Main[[#This Row],[Class]]="C",WORKDAY(Main[[#This Row],[Tech Start Date]],28),IF(Main[[#This Row],[Class]]="B", WORKDAY(Main[[#This Row],[Tech Start Date]],19),IF(Main[[#This Row],[Class]]="A",WORKDAY(Main[[#This Row],[Tech Start Date]],9),""))))</f>
        <v/>
      </c>
      <c r="Q1321" s="67"/>
      <c r="R1321" s="67"/>
      <c r="S1321" s="65" t="s">
        <v>17</v>
      </c>
      <c r="T1321" s="70" t="s">
        <v>4</v>
      </c>
      <c r="U1321" s="65" t="s">
        <v>29</v>
      </c>
      <c r="V1321" s="65" t="s">
        <v>1920</v>
      </c>
      <c r="W1321" s="65" t="s">
        <v>1922</v>
      </c>
      <c r="X1321" s="65" t="s">
        <v>415</v>
      </c>
      <c r="Y1321" s="65" t="s">
        <v>2981</v>
      </c>
      <c r="Z1321" s="65" t="s">
        <v>654</v>
      </c>
      <c r="AA1321" s="65" t="s">
        <v>415</v>
      </c>
    </row>
    <row r="1322" spans="1:27" ht="17.45" customHeight="1">
      <c r="A1322" s="131" t="str">
        <f>IF(priority(Main[[#This Row],[Comments]])&lt;&gt;0, priority(Main[[#This Row],[Comments]]),"")</f>
        <v/>
      </c>
      <c r="B1322" s="99" t="s">
        <v>1116</v>
      </c>
      <c r="C1322" s="65" t="s">
        <v>4</v>
      </c>
      <c r="D1322" s="66" t="s">
        <v>3799</v>
      </c>
      <c r="E1322" s="67"/>
      <c r="F1322" s="67">
        <v>40602</v>
      </c>
      <c r="G1322" s="64" t="str">
        <f>IF(stdProdLT(Main[[#This Row],[Comments]])=0.1,"N/A",IF(stdProdLT(Main[[#This Row],[Comments]])=0,"",stdProdLT(Main[[#This Row],[Comments]])))</f>
        <v/>
      </c>
      <c r="H1322" s="68" t="str">
        <f>IF(AND(Main[[#This Row],[In Stock Date]]&lt;&gt;"",Main[[#This Row],[Revised Due Date]]&lt;&gt;""),Main[[#This Row],[In Stock Date]]-Main[[#This Row],[Revised Due Date]],"")</f>
        <v/>
      </c>
      <c r="I1322" s="65" t="s">
        <v>2211</v>
      </c>
      <c r="J1322" s="65" t="s">
        <v>75</v>
      </c>
      <c r="K1322" s="65" t="s">
        <v>1926</v>
      </c>
      <c r="L1322" s="67"/>
      <c r="M1322" s="69" t="str">
        <f>IF(Main[[#This Row],[Tech Start Date]]&lt;1/1/1990,"",IF(Main[[#This Row],[Class]]="C",WORKDAY(Main[[#This Row],[Tech Start Date]],9),IF(Main[[#This Row],[Class]]="B", WORKDAY(Main[[#This Row],[Tech Start Date]],6),IF(Main[[#This Row],[Class]]="A",WORKDAY(Main[[#This Row],[Tech Start Date]],2),""))))</f>
        <v/>
      </c>
      <c r="N1322" s="69" t="str">
        <f>IF(Main[[#This Row],[Tech Start Date]]&lt;1/1/1990,"",IF(Main[[#This Row],[Class]]="C",WORKDAY(Main[[#This Row],[Tech Start Date]],19),IF(Main[[#This Row],[Class]]="B", WORKDAY(Main[[#This Row],[Tech Start Date]],12),IF(Main[[#This Row],[Class]]="A",WORKDAY(Main[[#This Row],[Tech Start Date]],4),""))))</f>
        <v/>
      </c>
      <c r="O1322" s="69" t="str">
        <f>IF(Main[[#This Row],[Tech Start Date]]&lt;1/1/1990,"",IF(Main[[#This Row],[Class]]="C",WORKDAY(Main[[#This Row],[Tech Start Date]],23),IF(Main[[#This Row],[Class]]="B", WORKDAY(Main[[#This Row],[Tech Start Date]],15),IF(Main[[#This Row],[Class]]="A",WORKDAY(Main[[#This Row],[Tech Start Date]],5),""))))</f>
        <v/>
      </c>
      <c r="P1322" s="69" t="str">
        <f>IF(Main[[#This Row],[Tech Start Date]]&lt;1/1/1990,"",IF(Main[[#This Row],[Class]]="C",WORKDAY(Main[[#This Row],[Tech Start Date]],28),IF(Main[[#This Row],[Class]]="B", WORKDAY(Main[[#This Row],[Tech Start Date]],19),IF(Main[[#This Row],[Class]]="A",WORKDAY(Main[[#This Row],[Tech Start Date]],9),""))))</f>
        <v/>
      </c>
      <c r="Q1322" s="67">
        <v>40602</v>
      </c>
      <c r="R1322" s="67"/>
      <c r="S1322" s="65" t="s">
        <v>6</v>
      </c>
      <c r="T1322" s="70" t="s">
        <v>4</v>
      </c>
      <c r="U1322" s="65" t="s">
        <v>14</v>
      </c>
      <c r="V1322" s="65" t="s">
        <v>1920</v>
      </c>
      <c r="W1322" s="65" t="s">
        <v>1919</v>
      </c>
      <c r="X1322" s="65" t="s">
        <v>30</v>
      </c>
      <c r="Y1322" s="65" t="s">
        <v>2963</v>
      </c>
      <c r="Z1322" s="65" t="s">
        <v>415</v>
      </c>
      <c r="AA1322" s="65" t="s">
        <v>30</v>
      </c>
    </row>
    <row r="1323" spans="1:27" ht="17.45" customHeight="1">
      <c r="A1323" s="131" t="str">
        <f>IF(priority(Main[[#This Row],[Comments]])&lt;&gt;0, priority(Main[[#This Row],[Comments]]),"")</f>
        <v/>
      </c>
      <c r="B1323" s="99" t="s">
        <v>2594</v>
      </c>
      <c r="C1323" s="65" t="s">
        <v>4</v>
      </c>
      <c r="D1323" s="66" t="s">
        <v>2595</v>
      </c>
      <c r="E1323" s="67"/>
      <c r="F1323" s="67"/>
      <c r="G1323" s="64" t="str">
        <f>IF(stdProdLT(Main[[#This Row],[Comments]])=0.1,"N/A",IF(stdProdLT(Main[[#This Row],[Comments]])=0,"",stdProdLT(Main[[#This Row],[Comments]])))</f>
        <v/>
      </c>
      <c r="H1323" s="68" t="str">
        <f>IF(AND(Main[[#This Row],[In Stock Date]]&lt;&gt;"",Main[[#This Row],[Revised Due Date]]&lt;&gt;""),Main[[#This Row],[In Stock Date]]-Main[[#This Row],[Revised Due Date]],"")</f>
        <v/>
      </c>
      <c r="I1323" s="65" t="s">
        <v>4</v>
      </c>
      <c r="J1323" s="65" t="s">
        <v>4</v>
      </c>
      <c r="K1323" s="65" t="s">
        <v>4</v>
      </c>
      <c r="L1323" s="67"/>
      <c r="M1323" s="69" t="str">
        <f>IF(Main[[#This Row],[Tech Start Date]]&lt;1/1/1990,"",IF(Main[[#This Row],[Class]]="C",WORKDAY(Main[[#This Row],[Tech Start Date]],9),IF(Main[[#This Row],[Class]]="B", WORKDAY(Main[[#This Row],[Tech Start Date]],6),IF(Main[[#This Row],[Class]]="A",WORKDAY(Main[[#This Row],[Tech Start Date]],2),""))))</f>
        <v/>
      </c>
      <c r="N1323" s="69" t="str">
        <f>IF(Main[[#This Row],[Tech Start Date]]&lt;1/1/1990,"",IF(Main[[#This Row],[Class]]="C",WORKDAY(Main[[#This Row],[Tech Start Date]],19),IF(Main[[#This Row],[Class]]="B", WORKDAY(Main[[#This Row],[Tech Start Date]],12),IF(Main[[#This Row],[Class]]="A",WORKDAY(Main[[#This Row],[Tech Start Date]],4),""))))</f>
        <v/>
      </c>
      <c r="O1323" s="69" t="str">
        <f>IF(Main[[#This Row],[Tech Start Date]]&lt;1/1/1990,"",IF(Main[[#This Row],[Class]]="C",WORKDAY(Main[[#This Row],[Tech Start Date]],23),IF(Main[[#This Row],[Class]]="B", WORKDAY(Main[[#This Row],[Tech Start Date]],15),IF(Main[[#This Row],[Class]]="A",WORKDAY(Main[[#This Row],[Tech Start Date]],5),""))))</f>
        <v/>
      </c>
      <c r="P1323" s="69" t="str">
        <f>IF(Main[[#This Row],[Tech Start Date]]&lt;1/1/1990,"",IF(Main[[#This Row],[Class]]="C",WORKDAY(Main[[#This Row],[Tech Start Date]],28),IF(Main[[#This Row],[Class]]="B", WORKDAY(Main[[#This Row],[Tech Start Date]],19),IF(Main[[#This Row],[Class]]="A",WORKDAY(Main[[#This Row],[Tech Start Date]],9),""))))</f>
        <v/>
      </c>
      <c r="Q1323" s="67"/>
      <c r="R1323" s="67"/>
      <c r="S1323" s="65" t="s">
        <v>11</v>
      </c>
      <c r="T1323" s="70" t="s">
        <v>4</v>
      </c>
      <c r="U1323" s="65" t="s">
        <v>14</v>
      </c>
      <c r="V1323" s="65" t="s">
        <v>1920</v>
      </c>
      <c r="W1323" s="65" t="s">
        <v>1925</v>
      </c>
      <c r="X1323" s="65" t="s">
        <v>306</v>
      </c>
      <c r="Y1323" s="65" t="s">
        <v>4</v>
      </c>
      <c r="Z1323" s="65" t="s">
        <v>4</v>
      </c>
      <c r="AA1323" s="65" t="s">
        <v>4</v>
      </c>
    </row>
    <row r="1324" spans="1:27" ht="17.45" customHeight="1">
      <c r="A1324" s="131" t="str">
        <f>IF(priority(Main[[#This Row],[Comments]])&lt;&gt;0, priority(Main[[#This Row],[Comments]]),"")</f>
        <v/>
      </c>
      <c r="B1324" s="99" t="s">
        <v>2289</v>
      </c>
      <c r="C1324" s="65" t="s">
        <v>67</v>
      </c>
      <c r="D1324" s="66" t="s">
        <v>2290</v>
      </c>
      <c r="E1324" s="67"/>
      <c r="F1324" s="67">
        <v>41075</v>
      </c>
      <c r="G1324" s="64" t="str">
        <f>IF(stdProdLT(Main[[#This Row],[Comments]])=0.1,"N/A",IF(stdProdLT(Main[[#This Row],[Comments]])=0,"",stdProdLT(Main[[#This Row],[Comments]])))</f>
        <v/>
      </c>
      <c r="H1324" s="68" t="str">
        <f>IF(AND(Main[[#This Row],[In Stock Date]]&lt;&gt;"",Main[[#This Row],[Revised Due Date]]&lt;&gt;""),Main[[#This Row],[In Stock Date]]-Main[[#This Row],[Revised Due Date]],"")</f>
        <v/>
      </c>
      <c r="I1324" s="65" t="s">
        <v>4</v>
      </c>
      <c r="J1324" s="65" t="s">
        <v>4</v>
      </c>
      <c r="K1324" s="65" t="s">
        <v>4</v>
      </c>
      <c r="L1324" s="67"/>
      <c r="M1324" s="69" t="str">
        <f>IF(Main[[#This Row],[Tech Start Date]]&lt;1/1/1990,"",IF(Main[[#This Row],[Class]]="C",WORKDAY(Main[[#This Row],[Tech Start Date]],9),IF(Main[[#This Row],[Class]]="B", WORKDAY(Main[[#This Row],[Tech Start Date]],6),IF(Main[[#This Row],[Class]]="A",WORKDAY(Main[[#This Row],[Tech Start Date]],2),""))))</f>
        <v/>
      </c>
      <c r="N1324" s="69" t="str">
        <f>IF(Main[[#This Row],[Tech Start Date]]&lt;1/1/1990,"",IF(Main[[#This Row],[Class]]="C",WORKDAY(Main[[#This Row],[Tech Start Date]],19),IF(Main[[#This Row],[Class]]="B", WORKDAY(Main[[#This Row],[Tech Start Date]],12),IF(Main[[#This Row],[Class]]="A",WORKDAY(Main[[#This Row],[Tech Start Date]],4),""))))</f>
        <v/>
      </c>
      <c r="O1324" s="69" t="str">
        <f>IF(Main[[#This Row],[Tech Start Date]]&lt;1/1/1990,"",IF(Main[[#This Row],[Class]]="C",WORKDAY(Main[[#This Row],[Tech Start Date]],23),IF(Main[[#This Row],[Class]]="B", WORKDAY(Main[[#This Row],[Tech Start Date]],15),IF(Main[[#This Row],[Class]]="A",WORKDAY(Main[[#This Row],[Tech Start Date]],5),""))))</f>
        <v/>
      </c>
      <c r="P1324" s="69" t="str">
        <f>IF(Main[[#This Row],[Tech Start Date]]&lt;1/1/1990,"",IF(Main[[#This Row],[Class]]="C",WORKDAY(Main[[#This Row],[Tech Start Date]],28),IF(Main[[#This Row],[Class]]="B", WORKDAY(Main[[#This Row],[Tech Start Date]],19),IF(Main[[#This Row],[Class]]="A",WORKDAY(Main[[#This Row],[Tech Start Date]],9),""))))</f>
        <v/>
      </c>
      <c r="Q1324" s="67">
        <v>40908</v>
      </c>
      <c r="R1324" s="67"/>
      <c r="S1324" s="65" t="s">
        <v>17</v>
      </c>
      <c r="T1324" s="70" t="s">
        <v>4</v>
      </c>
      <c r="U1324" s="65" t="s">
        <v>14</v>
      </c>
      <c r="V1324" s="65" t="s">
        <v>1927</v>
      </c>
      <c r="W1324" s="65" t="s">
        <v>1928</v>
      </c>
      <c r="X1324" s="65" t="s">
        <v>554</v>
      </c>
      <c r="Y1324" s="65" t="s">
        <v>2958</v>
      </c>
      <c r="Z1324" s="65" t="s">
        <v>4</v>
      </c>
      <c r="AA1324" s="65" t="s">
        <v>554</v>
      </c>
    </row>
    <row r="1325" spans="1:27" ht="17.45" customHeight="1">
      <c r="A1325" s="131" t="str">
        <f>IF(priority(Main[[#This Row],[Comments]])&lt;&gt;0, priority(Main[[#This Row],[Comments]]),"")</f>
        <v/>
      </c>
      <c r="B1325" s="99" t="s">
        <v>2604</v>
      </c>
      <c r="C1325" s="65" t="s">
        <v>4</v>
      </c>
      <c r="D1325" s="66" t="s">
        <v>2605</v>
      </c>
      <c r="E1325" s="67">
        <v>40877.273229166669</v>
      </c>
      <c r="F1325" s="67"/>
      <c r="G1325" s="64" t="str">
        <f>IF(stdProdLT(Main[[#This Row],[Comments]])=0.1,"N/A",IF(stdProdLT(Main[[#This Row],[Comments]])=0,"",stdProdLT(Main[[#This Row],[Comments]])))</f>
        <v/>
      </c>
      <c r="H1325" s="68" t="str">
        <f>IF(AND(Main[[#This Row],[In Stock Date]]&lt;&gt;"",Main[[#This Row],[Revised Due Date]]&lt;&gt;""),Main[[#This Row],[In Stock Date]]-Main[[#This Row],[Revised Due Date]],"")</f>
        <v/>
      </c>
      <c r="I1325" s="65" t="s">
        <v>69</v>
      </c>
      <c r="J1325" s="65" t="s">
        <v>70</v>
      </c>
      <c r="K1325" s="71" t="s">
        <v>1926</v>
      </c>
      <c r="L1325" s="67"/>
      <c r="M1325" s="69" t="str">
        <f>IF(Main[[#This Row],[Tech Start Date]]&lt;1/1/1990,"",IF(Main[[#This Row],[Class]]="C",WORKDAY(Main[[#This Row],[Tech Start Date]],9),IF(Main[[#This Row],[Class]]="B", WORKDAY(Main[[#This Row],[Tech Start Date]],6),IF(Main[[#This Row],[Class]]="A",WORKDAY(Main[[#This Row],[Tech Start Date]],2),""))))</f>
        <v/>
      </c>
      <c r="N1325" s="69" t="str">
        <f>IF(Main[[#This Row],[Tech Start Date]]&lt;1/1/1990,"",IF(Main[[#This Row],[Class]]="C",WORKDAY(Main[[#This Row],[Tech Start Date]],19),IF(Main[[#This Row],[Class]]="B", WORKDAY(Main[[#This Row],[Tech Start Date]],12),IF(Main[[#This Row],[Class]]="A",WORKDAY(Main[[#This Row],[Tech Start Date]],4),""))))</f>
        <v/>
      </c>
      <c r="O1325" s="69" t="str">
        <f>IF(Main[[#This Row],[Tech Start Date]]&lt;1/1/1990,"",IF(Main[[#This Row],[Class]]="C",WORKDAY(Main[[#This Row],[Tech Start Date]],23),IF(Main[[#This Row],[Class]]="B", WORKDAY(Main[[#This Row],[Tech Start Date]],15),IF(Main[[#This Row],[Class]]="A",WORKDAY(Main[[#This Row],[Tech Start Date]],5),""))))</f>
        <v/>
      </c>
      <c r="P1325" s="69" t="str">
        <f>IF(Main[[#This Row],[Tech Start Date]]&lt;1/1/1990,"",IF(Main[[#This Row],[Class]]="C",WORKDAY(Main[[#This Row],[Tech Start Date]],28),IF(Main[[#This Row],[Class]]="B", WORKDAY(Main[[#This Row],[Tech Start Date]],19),IF(Main[[#This Row],[Class]]="A",WORKDAY(Main[[#This Row],[Tech Start Date]],9),""))))</f>
        <v/>
      </c>
      <c r="Q1325" s="67">
        <v>40906</v>
      </c>
      <c r="R1325" s="67"/>
      <c r="S1325" s="65" t="s">
        <v>6</v>
      </c>
      <c r="T1325" s="70" t="s">
        <v>4</v>
      </c>
      <c r="U1325" s="65" t="s">
        <v>29</v>
      </c>
      <c r="V1325" s="65" t="s">
        <v>1920</v>
      </c>
      <c r="W1325" s="65" t="s">
        <v>1921</v>
      </c>
      <c r="X1325" s="65" t="s">
        <v>30</v>
      </c>
      <c r="Y1325" s="65" t="s">
        <v>3145</v>
      </c>
      <c r="Z1325" s="65" t="s">
        <v>30</v>
      </c>
      <c r="AA1325" s="65" t="s">
        <v>3480</v>
      </c>
    </row>
    <row r="1326" spans="1:27" ht="17.45" customHeight="1">
      <c r="A1326" s="131" t="str">
        <f>IF(priority(Main[[#This Row],[Comments]])&lt;&gt;0, priority(Main[[#This Row],[Comments]]),"")</f>
        <v/>
      </c>
      <c r="B1326" s="99" t="s">
        <v>2725</v>
      </c>
      <c r="C1326" s="65" t="s">
        <v>4</v>
      </c>
      <c r="D1326" s="66" t="s">
        <v>3247</v>
      </c>
      <c r="E1326" s="67"/>
      <c r="F1326" s="67"/>
      <c r="G1326" s="64" t="str">
        <f>IF(stdProdLT(Main[[#This Row],[Comments]])=0.1,"N/A",IF(stdProdLT(Main[[#This Row],[Comments]])=0,"",stdProdLT(Main[[#This Row],[Comments]])))</f>
        <v/>
      </c>
      <c r="H1326" s="68" t="str">
        <f>IF(AND(Main[[#This Row],[In Stock Date]]&lt;&gt;"",Main[[#This Row],[Revised Due Date]]&lt;&gt;""),Main[[#This Row],[In Stock Date]]-Main[[#This Row],[Revised Due Date]],"")</f>
        <v/>
      </c>
      <c r="I1326" s="65" t="s">
        <v>2211</v>
      </c>
      <c r="J1326" s="65" t="s">
        <v>75</v>
      </c>
      <c r="K1326" s="65" t="s">
        <v>1926</v>
      </c>
      <c r="L1326" s="67"/>
      <c r="M1326" s="69" t="str">
        <f>IF(Main[[#This Row],[Tech Start Date]]&lt;1/1/1990,"",IF(Main[[#This Row],[Class]]="C",WORKDAY(Main[[#This Row],[Tech Start Date]],9),IF(Main[[#This Row],[Class]]="B", WORKDAY(Main[[#This Row],[Tech Start Date]],6),IF(Main[[#This Row],[Class]]="A",WORKDAY(Main[[#This Row],[Tech Start Date]],2),""))))</f>
        <v/>
      </c>
      <c r="N1326" s="69" t="str">
        <f>IF(Main[[#This Row],[Tech Start Date]]&lt;1/1/1990,"",IF(Main[[#This Row],[Class]]="C",WORKDAY(Main[[#This Row],[Tech Start Date]],19),IF(Main[[#This Row],[Class]]="B", WORKDAY(Main[[#This Row],[Tech Start Date]],12),IF(Main[[#This Row],[Class]]="A",WORKDAY(Main[[#This Row],[Tech Start Date]],4),""))))</f>
        <v/>
      </c>
      <c r="O1326" s="69" t="str">
        <f>IF(Main[[#This Row],[Tech Start Date]]&lt;1/1/1990,"",IF(Main[[#This Row],[Class]]="C",WORKDAY(Main[[#This Row],[Tech Start Date]],23),IF(Main[[#This Row],[Class]]="B", WORKDAY(Main[[#This Row],[Tech Start Date]],15),IF(Main[[#This Row],[Class]]="A",WORKDAY(Main[[#This Row],[Tech Start Date]],5),""))))</f>
        <v/>
      </c>
      <c r="P1326" s="69" t="str">
        <f>IF(Main[[#This Row],[Tech Start Date]]&lt;1/1/1990,"",IF(Main[[#This Row],[Class]]="C",WORKDAY(Main[[#This Row],[Tech Start Date]],28),IF(Main[[#This Row],[Class]]="B", WORKDAY(Main[[#This Row],[Tech Start Date]],19),IF(Main[[#This Row],[Class]]="A",WORKDAY(Main[[#This Row],[Tech Start Date]],9),""))))</f>
        <v/>
      </c>
      <c r="Q1326" s="67">
        <v>40939</v>
      </c>
      <c r="R1326" s="67"/>
      <c r="S1326" s="65" t="s">
        <v>6</v>
      </c>
      <c r="T1326" s="70" t="s">
        <v>4</v>
      </c>
      <c r="U1326" s="65" t="s">
        <v>14</v>
      </c>
      <c r="V1326" s="65" t="s">
        <v>1920</v>
      </c>
      <c r="W1326" s="65" t="s">
        <v>1921</v>
      </c>
      <c r="X1326" s="65" t="s">
        <v>2825</v>
      </c>
      <c r="Y1326" s="65" t="s">
        <v>2938</v>
      </c>
      <c r="Z1326" s="65" t="s">
        <v>30</v>
      </c>
      <c r="AA1326" s="65" t="s">
        <v>2825</v>
      </c>
    </row>
    <row r="1327" spans="1:27" ht="17.45" customHeight="1">
      <c r="A1327" s="131" t="str">
        <f>IF(priority(Main[[#This Row],[Comments]])&lt;&gt;0, priority(Main[[#This Row],[Comments]]),"")</f>
        <v/>
      </c>
      <c r="B1327" s="99" t="s">
        <v>3307</v>
      </c>
      <c r="C1327" s="65" t="s">
        <v>4</v>
      </c>
      <c r="D1327" s="66" t="s">
        <v>3308</v>
      </c>
      <c r="E1327" s="67"/>
      <c r="F1327" s="67"/>
      <c r="G1327" s="64" t="str">
        <f>IF(stdProdLT(Main[[#This Row],[Comments]])=0.1,"N/A",IF(stdProdLT(Main[[#This Row],[Comments]])=0,"",stdProdLT(Main[[#This Row],[Comments]])))</f>
        <v/>
      </c>
      <c r="H1327" s="68" t="str">
        <f>IF(AND(Main[[#This Row],[In Stock Date]]&lt;&gt;"",Main[[#This Row],[Revised Due Date]]&lt;&gt;""),Main[[#This Row],[In Stock Date]]-Main[[#This Row],[Revised Due Date]],"")</f>
        <v/>
      </c>
      <c r="I1327" s="65" t="s">
        <v>4</v>
      </c>
      <c r="J1327" s="65" t="s">
        <v>4</v>
      </c>
      <c r="K1327" s="65" t="s">
        <v>4</v>
      </c>
      <c r="L1327" s="67"/>
      <c r="M1327" s="69" t="str">
        <f>IF(Main[[#This Row],[Tech Start Date]]&lt;1/1/1990,"",IF(Main[[#This Row],[Class]]="C",WORKDAY(Main[[#This Row],[Tech Start Date]],9),IF(Main[[#This Row],[Class]]="B", WORKDAY(Main[[#This Row],[Tech Start Date]],6),IF(Main[[#This Row],[Class]]="A",WORKDAY(Main[[#This Row],[Tech Start Date]],2),""))))</f>
        <v/>
      </c>
      <c r="N1327" s="69" t="str">
        <f>IF(Main[[#This Row],[Tech Start Date]]&lt;1/1/1990,"",IF(Main[[#This Row],[Class]]="C",WORKDAY(Main[[#This Row],[Tech Start Date]],19),IF(Main[[#This Row],[Class]]="B", WORKDAY(Main[[#This Row],[Tech Start Date]],12),IF(Main[[#This Row],[Class]]="A",WORKDAY(Main[[#This Row],[Tech Start Date]],4),""))))</f>
        <v/>
      </c>
      <c r="O1327" s="69" t="str">
        <f>IF(Main[[#This Row],[Tech Start Date]]&lt;1/1/1990,"",IF(Main[[#This Row],[Class]]="C",WORKDAY(Main[[#This Row],[Tech Start Date]],23),IF(Main[[#This Row],[Class]]="B", WORKDAY(Main[[#This Row],[Tech Start Date]],15),IF(Main[[#This Row],[Class]]="A",WORKDAY(Main[[#This Row],[Tech Start Date]],5),""))))</f>
        <v/>
      </c>
      <c r="P1327" s="69" t="str">
        <f>IF(Main[[#This Row],[Tech Start Date]]&lt;1/1/1990,"",IF(Main[[#This Row],[Class]]="C",WORKDAY(Main[[#This Row],[Tech Start Date]],28),IF(Main[[#This Row],[Class]]="B", WORKDAY(Main[[#This Row],[Tech Start Date]],19),IF(Main[[#This Row],[Class]]="A",WORKDAY(Main[[#This Row],[Tech Start Date]],9),""))))</f>
        <v/>
      </c>
      <c r="Q1327" s="67">
        <v>40969</v>
      </c>
      <c r="R1327" s="67"/>
      <c r="S1327" s="65" t="s">
        <v>11</v>
      </c>
      <c r="T1327" s="70" t="s">
        <v>4</v>
      </c>
      <c r="U1327" s="65" t="s">
        <v>14</v>
      </c>
      <c r="V1327" s="65" t="s">
        <v>1920</v>
      </c>
      <c r="W1327" s="65" t="s">
        <v>1922</v>
      </c>
      <c r="X1327" s="65" t="s">
        <v>554</v>
      </c>
      <c r="Y1327" s="65" t="s">
        <v>2958</v>
      </c>
      <c r="Z1327" s="65" t="s">
        <v>4</v>
      </c>
      <c r="AA1327" s="65" t="s">
        <v>554</v>
      </c>
    </row>
    <row r="1328" spans="1:27" ht="17.45" customHeight="1">
      <c r="A1328" s="131" t="str">
        <f>IF(priority(Main[[#This Row],[Comments]])&lt;&gt;0, priority(Main[[#This Row],[Comments]]),"")</f>
        <v/>
      </c>
      <c r="B1328" s="99" t="s">
        <v>1479</v>
      </c>
      <c r="C1328" s="65" t="s">
        <v>4</v>
      </c>
      <c r="D1328" s="66" t="s">
        <v>358</v>
      </c>
      <c r="E1328" s="67">
        <v>40926.591666666667</v>
      </c>
      <c r="F1328" s="67"/>
      <c r="G1328" s="64" t="str">
        <f>IF(stdProdLT(Main[[#This Row],[Comments]])=0.1,"N/A",IF(stdProdLT(Main[[#This Row],[Comments]])=0,"",stdProdLT(Main[[#This Row],[Comments]])))</f>
        <v/>
      </c>
      <c r="H1328" s="68" t="str">
        <f>IF(AND(Main[[#This Row],[In Stock Date]]&lt;&gt;"",Main[[#This Row],[Revised Due Date]]&lt;&gt;""),Main[[#This Row],[In Stock Date]]-Main[[#This Row],[Revised Due Date]],"")</f>
        <v/>
      </c>
      <c r="I1328" s="65" t="s">
        <v>530</v>
      </c>
      <c r="J1328" s="65" t="s">
        <v>28</v>
      </c>
      <c r="K1328" s="65" t="s">
        <v>1926</v>
      </c>
      <c r="L1328" s="67"/>
      <c r="M1328" s="69" t="str">
        <f>IF(Main[[#This Row],[Tech Start Date]]&lt;1/1/1990,"",IF(Main[[#This Row],[Class]]="C",WORKDAY(Main[[#This Row],[Tech Start Date]],9),IF(Main[[#This Row],[Class]]="B", WORKDAY(Main[[#This Row],[Tech Start Date]],6),IF(Main[[#This Row],[Class]]="A",WORKDAY(Main[[#This Row],[Tech Start Date]],2),""))))</f>
        <v/>
      </c>
      <c r="N1328" s="69" t="str">
        <f>IF(Main[[#This Row],[Tech Start Date]]&lt;1/1/1990,"",IF(Main[[#This Row],[Class]]="C",WORKDAY(Main[[#This Row],[Tech Start Date]],19),IF(Main[[#This Row],[Class]]="B", WORKDAY(Main[[#This Row],[Tech Start Date]],12),IF(Main[[#This Row],[Class]]="A",WORKDAY(Main[[#This Row],[Tech Start Date]],4),""))))</f>
        <v/>
      </c>
      <c r="O1328" s="69" t="str">
        <f>IF(Main[[#This Row],[Tech Start Date]]&lt;1/1/1990,"",IF(Main[[#This Row],[Class]]="C",WORKDAY(Main[[#This Row],[Tech Start Date]],23),IF(Main[[#This Row],[Class]]="B", WORKDAY(Main[[#This Row],[Tech Start Date]],15),IF(Main[[#This Row],[Class]]="A",WORKDAY(Main[[#This Row],[Tech Start Date]],5),""))))</f>
        <v/>
      </c>
      <c r="P1328" s="69" t="str">
        <f>IF(Main[[#This Row],[Tech Start Date]]&lt;1/1/1990,"",IF(Main[[#This Row],[Class]]="C",WORKDAY(Main[[#This Row],[Tech Start Date]],28),IF(Main[[#This Row],[Class]]="B", WORKDAY(Main[[#This Row],[Tech Start Date]],19),IF(Main[[#This Row],[Class]]="A",WORKDAY(Main[[#This Row],[Tech Start Date]],9),""))))</f>
        <v/>
      </c>
      <c r="Q1328" s="67">
        <v>40746</v>
      </c>
      <c r="R1328" s="67"/>
      <c r="S1328" s="65" t="s">
        <v>6</v>
      </c>
      <c r="T1328" s="70" t="s">
        <v>4</v>
      </c>
      <c r="U1328" s="65" t="s">
        <v>29</v>
      </c>
      <c r="V1328" s="65" t="s">
        <v>1920</v>
      </c>
      <c r="W1328" s="65" t="s">
        <v>1921</v>
      </c>
      <c r="X1328" s="65" t="s">
        <v>2825</v>
      </c>
      <c r="Y1328" s="65" t="s">
        <v>2938</v>
      </c>
      <c r="Z1328" s="65" t="s">
        <v>30</v>
      </c>
      <c r="AA1328" s="65" t="s">
        <v>2825</v>
      </c>
    </row>
    <row r="1329" spans="1:27" ht="17.45" customHeight="1">
      <c r="A1329" s="131" t="str">
        <f>IF(priority(Main[[#This Row],[Comments]])&lt;&gt;0, priority(Main[[#This Row],[Comments]]),"")</f>
        <v/>
      </c>
      <c r="B1329" s="99" t="s">
        <v>2815</v>
      </c>
      <c r="C1329" s="65" t="s">
        <v>4</v>
      </c>
      <c r="D1329" s="66" t="s">
        <v>2816</v>
      </c>
      <c r="E1329" s="67">
        <v>40918.365578703706</v>
      </c>
      <c r="F1329" s="67"/>
      <c r="G1329" s="64" t="str">
        <f>IF(stdProdLT(Main[[#This Row],[Comments]])=0.1,"N/A",IF(stdProdLT(Main[[#This Row],[Comments]])=0,"",stdProdLT(Main[[#This Row],[Comments]])))</f>
        <v/>
      </c>
      <c r="H1329" s="68" t="str">
        <f>IF(AND(Main[[#This Row],[In Stock Date]]&lt;&gt;"",Main[[#This Row],[Revised Due Date]]&lt;&gt;""),Main[[#This Row],[In Stock Date]]-Main[[#This Row],[Revised Due Date]],"")</f>
        <v/>
      </c>
      <c r="I1329" s="65" t="s">
        <v>4</v>
      </c>
      <c r="J1329" s="65" t="s">
        <v>4</v>
      </c>
      <c r="K1329" s="65" t="s">
        <v>4</v>
      </c>
      <c r="L1329" s="67"/>
      <c r="M1329" s="69" t="str">
        <f>IF(Main[[#This Row],[Tech Start Date]]&lt;1/1/1990,"",IF(Main[[#This Row],[Class]]="C",WORKDAY(Main[[#This Row],[Tech Start Date]],9),IF(Main[[#This Row],[Class]]="B", WORKDAY(Main[[#This Row],[Tech Start Date]],6),IF(Main[[#This Row],[Class]]="A",WORKDAY(Main[[#This Row],[Tech Start Date]],2),""))))</f>
        <v/>
      </c>
      <c r="N1329" s="69" t="str">
        <f>IF(Main[[#This Row],[Tech Start Date]]&lt;1/1/1990,"",IF(Main[[#This Row],[Class]]="C",WORKDAY(Main[[#This Row],[Tech Start Date]],19),IF(Main[[#This Row],[Class]]="B", WORKDAY(Main[[#This Row],[Tech Start Date]],12),IF(Main[[#This Row],[Class]]="A",WORKDAY(Main[[#This Row],[Tech Start Date]],4),""))))</f>
        <v/>
      </c>
      <c r="O1329" s="69" t="str">
        <f>IF(Main[[#This Row],[Tech Start Date]]&lt;1/1/1990,"",IF(Main[[#This Row],[Class]]="C",WORKDAY(Main[[#This Row],[Tech Start Date]],23),IF(Main[[#This Row],[Class]]="B", WORKDAY(Main[[#This Row],[Tech Start Date]],15),IF(Main[[#This Row],[Class]]="A",WORKDAY(Main[[#This Row],[Tech Start Date]],5),""))))</f>
        <v/>
      </c>
      <c r="P1329" s="69" t="str">
        <f>IF(Main[[#This Row],[Tech Start Date]]&lt;1/1/1990,"",IF(Main[[#This Row],[Class]]="C",WORKDAY(Main[[#This Row],[Tech Start Date]],28),IF(Main[[#This Row],[Class]]="B", WORKDAY(Main[[#This Row],[Tech Start Date]],19),IF(Main[[#This Row],[Class]]="A",WORKDAY(Main[[#This Row],[Tech Start Date]],9),""))))</f>
        <v/>
      </c>
      <c r="Q1329" s="67">
        <v>40925</v>
      </c>
      <c r="R1329" s="67"/>
      <c r="S1329" s="65" t="s">
        <v>6</v>
      </c>
      <c r="T1329" s="70" t="s">
        <v>4</v>
      </c>
      <c r="U1329" s="65" t="s">
        <v>7</v>
      </c>
      <c r="V1329" s="65" t="s">
        <v>1917</v>
      </c>
      <c r="W1329" s="65" t="s">
        <v>4</v>
      </c>
      <c r="X1329" s="65" t="s">
        <v>2825</v>
      </c>
      <c r="Y1329" s="65" t="s">
        <v>2938</v>
      </c>
      <c r="Z1329" s="65" t="s">
        <v>4</v>
      </c>
      <c r="AA1329" s="65" t="s">
        <v>2825</v>
      </c>
    </row>
    <row r="1330" spans="1:27" ht="17.45" customHeight="1">
      <c r="A1330" s="131" t="str">
        <f>IF(priority(Main[[#This Row],[Comments]])&lt;&gt;0, priority(Main[[#This Row],[Comments]]),"")</f>
        <v/>
      </c>
      <c r="B1330" s="99" t="s">
        <v>3198</v>
      </c>
      <c r="C1330" s="65" t="s">
        <v>31</v>
      </c>
      <c r="D1330" s="66" t="s">
        <v>3199</v>
      </c>
      <c r="E1330" s="67"/>
      <c r="F1330" s="67">
        <v>41122</v>
      </c>
      <c r="G1330" s="64" t="str">
        <f>IF(stdProdLT(Main[[#This Row],[Comments]])=0.1,"N/A",IF(stdProdLT(Main[[#This Row],[Comments]])=0,"",stdProdLT(Main[[#This Row],[Comments]])))</f>
        <v/>
      </c>
      <c r="H1330" s="68" t="str">
        <f>IF(AND(Main[[#This Row],[In Stock Date]]&lt;&gt;"",Main[[#This Row],[Revised Due Date]]&lt;&gt;""),Main[[#This Row],[In Stock Date]]-Main[[#This Row],[Revised Due Date]],"")</f>
        <v/>
      </c>
      <c r="I1330" s="65" t="s">
        <v>4</v>
      </c>
      <c r="J1330" s="65" t="s">
        <v>4</v>
      </c>
      <c r="K1330" s="65" t="s">
        <v>4</v>
      </c>
      <c r="L1330" s="67"/>
      <c r="M1330" s="69" t="str">
        <f>IF(Main[[#This Row],[Tech Start Date]]&lt;1/1/1990,"",IF(Main[[#This Row],[Class]]="C",WORKDAY(Main[[#This Row],[Tech Start Date]],9),IF(Main[[#This Row],[Class]]="B", WORKDAY(Main[[#This Row],[Tech Start Date]],6),IF(Main[[#This Row],[Class]]="A",WORKDAY(Main[[#This Row],[Tech Start Date]],2),""))))</f>
        <v/>
      </c>
      <c r="N1330" s="69" t="str">
        <f>IF(Main[[#This Row],[Tech Start Date]]&lt;1/1/1990,"",IF(Main[[#This Row],[Class]]="C",WORKDAY(Main[[#This Row],[Tech Start Date]],19),IF(Main[[#This Row],[Class]]="B", WORKDAY(Main[[#This Row],[Tech Start Date]],12),IF(Main[[#This Row],[Class]]="A",WORKDAY(Main[[#This Row],[Tech Start Date]],4),""))))</f>
        <v/>
      </c>
      <c r="O1330" s="69" t="str">
        <f>IF(Main[[#This Row],[Tech Start Date]]&lt;1/1/1990,"",IF(Main[[#This Row],[Class]]="C",WORKDAY(Main[[#This Row],[Tech Start Date]],23),IF(Main[[#This Row],[Class]]="B", WORKDAY(Main[[#This Row],[Tech Start Date]],15),IF(Main[[#This Row],[Class]]="A",WORKDAY(Main[[#This Row],[Tech Start Date]],5),""))))</f>
        <v/>
      </c>
      <c r="P1330" s="69" t="str">
        <f>IF(Main[[#This Row],[Tech Start Date]]&lt;1/1/1990,"",IF(Main[[#This Row],[Class]]="C",WORKDAY(Main[[#This Row],[Tech Start Date]],28),IF(Main[[#This Row],[Class]]="B", WORKDAY(Main[[#This Row],[Tech Start Date]],19),IF(Main[[#This Row],[Class]]="A",WORKDAY(Main[[#This Row],[Tech Start Date]],9),""))))</f>
        <v/>
      </c>
      <c r="Q1330" s="67">
        <v>40940</v>
      </c>
      <c r="R1330" s="67"/>
      <c r="S1330" s="65" t="s">
        <v>11</v>
      </c>
      <c r="T1330" s="70" t="s">
        <v>4</v>
      </c>
      <c r="U1330" s="65" t="s">
        <v>12</v>
      </c>
      <c r="V1330" s="65" t="s">
        <v>1920</v>
      </c>
      <c r="W1330" s="65" t="s">
        <v>1928</v>
      </c>
      <c r="X1330" s="65" t="s">
        <v>2852</v>
      </c>
      <c r="Y1330" s="65" t="s">
        <v>4</v>
      </c>
      <c r="Z1330" s="65" t="s">
        <v>4</v>
      </c>
      <c r="AA1330" s="65" t="s">
        <v>2852</v>
      </c>
    </row>
    <row r="1331" spans="1:27" ht="17.45" customHeight="1">
      <c r="A1331" s="131" t="str">
        <f>IF(priority(Main[[#This Row],[Comments]])&lt;&gt;0, priority(Main[[#This Row],[Comments]]),"")</f>
        <v/>
      </c>
      <c r="B1331" s="99" t="s">
        <v>3219</v>
      </c>
      <c r="C1331" s="65" t="s">
        <v>4</v>
      </c>
      <c r="D1331" s="66" t="s">
        <v>3377</v>
      </c>
      <c r="E1331" s="67">
        <v>40921.54005787037</v>
      </c>
      <c r="F1331" s="67"/>
      <c r="G1331" s="64" t="str">
        <f>IF(stdProdLT(Main[[#This Row],[Comments]])=0.1,"N/A",IF(stdProdLT(Main[[#This Row],[Comments]])=0,"",stdProdLT(Main[[#This Row],[Comments]])))</f>
        <v/>
      </c>
      <c r="H1331" s="68" t="str">
        <f>IF(AND(Main[[#This Row],[In Stock Date]]&lt;&gt;"",Main[[#This Row],[Revised Due Date]]&lt;&gt;""),Main[[#This Row],[In Stock Date]]-Main[[#This Row],[Revised Due Date]],"")</f>
        <v/>
      </c>
      <c r="I1331" s="65" t="s">
        <v>914</v>
      </c>
      <c r="J1331" s="65" t="s">
        <v>52</v>
      </c>
      <c r="K1331" s="65" t="s">
        <v>4</v>
      </c>
      <c r="L1331" s="67"/>
      <c r="M1331" s="69" t="str">
        <f>IF(Main[[#This Row],[Tech Start Date]]&lt;1/1/1990,"",IF(Main[[#This Row],[Class]]="C",WORKDAY(Main[[#This Row],[Tech Start Date]],9),IF(Main[[#This Row],[Class]]="B", WORKDAY(Main[[#This Row],[Tech Start Date]],6),IF(Main[[#This Row],[Class]]="A",WORKDAY(Main[[#This Row],[Tech Start Date]],2),""))))</f>
        <v/>
      </c>
      <c r="N1331" s="69" t="str">
        <f>IF(Main[[#This Row],[Tech Start Date]]&lt;1/1/1990,"",IF(Main[[#This Row],[Class]]="C",WORKDAY(Main[[#This Row],[Tech Start Date]],19),IF(Main[[#This Row],[Class]]="B", WORKDAY(Main[[#This Row],[Tech Start Date]],12),IF(Main[[#This Row],[Class]]="A",WORKDAY(Main[[#This Row],[Tech Start Date]],4),""))))</f>
        <v/>
      </c>
      <c r="O1331" s="69" t="str">
        <f>IF(Main[[#This Row],[Tech Start Date]]&lt;1/1/1990,"",IF(Main[[#This Row],[Class]]="C",WORKDAY(Main[[#This Row],[Tech Start Date]],23),IF(Main[[#This Row],[Class]]="B", WORKDAY(Main[[#This Row],[Tech Start Date]],15),IF(Main[[#This Row],[Class]]="A",WORKDAY(Main[[#This Row],[Tech Start Date]],5),""))))</f>
        <v/>
      </c>
      <c r="P1331" s="69" t="str">
        <f>IF(Main[[#This Row],[Tech Start Date]]&lt;1/1/1990,"",IF(Main[[#This Row],[Class]]="C",WORKDAY(Main[[#This Row],[Tech Start Date]],28),IF(Main[[#This Row],[Class]]="B", WORKDAY(Main[[#This Row],[Tech Start Date]],19),IF(Main[[#This Row],[Class]]="A",WORKDAY(Main[[#This Row],[Tech Start Date]],9),""))))</f>
        <v/>
      </c>
      <c r="Q1331" s="67"/>
      <c r="R1331" s="67"/>
      <c r="S1331" s="65" t="s">
        <v>6</v>
      </c>
      <c r="T1331" s="70" t="s">
        <v>4</v>
      </c>
      <c r="U1331" s="65" t="s">
        <v>29</v>
      </c>
      <c r="V1331" s="65" t="s">
        <v>1917</v>
      </c>
      <c r="W1331" s="65" t="s">
        <v>1921</v>
      </c>
      <c r="X1331" s="65" t="s">
        <v>939</v>
      </c>
      <c r="Y1331" s="65" t="s">
        <v>2990</v>
      </c>
      <c r="Z1331" s="65" t="s">
        <v>4</v>
      </c>
      <c r="AA1331" s="65" t="s">
        <v>939</v>
      </c>
    </row>
    <row r="1332" spans="1:27" ht="17.45" customHeight="1">
      <c r="A1332" s="131" t="str">
        <f>IF(priority(Main[[#This Row],[Comments]])&lt;&gt;0, priority(Main[[#This Row],[Comments]]),"")</f>
        <v/>
      </c>
      <c r="B1332" s="99" t="s">
        <v>3800</v>
      </c>
      <c r="C1332" s="65" t="s">
        <v>47</v>
      </c>
      <c r="D1332" s="66" t="s">
        <v>3801</v>
      </c>
      <c r="E1332" s="67">
        <v>40961.495104166665</v>
      </c>
      <c r="F1332" s="67"/>
      <c r="G1332" s="64" t="str">
        <f>IF(stdProdLT(Main[[#This Row],[Comments]])=0.1,"N/A",IF(stdProdLT(Main[[#This Row],[Comments]])=0,"",stdProdLT(Main[[#This Row],[Comments]])))</f>
        <v/>
      </c>
      <c r="H1332" s="68" t="str">
        <f>IF(AND(Main[[#This Row],[In Stock Date]]&lt;&gt;"",Main[[#This Row],[Revised Due Date]]&lt;&gt;""),Main[[#This Row],[In Stock Date]]-Main[[#This Row],[Revised Due Date]],"")</f>
        <v/>
      </c>
      <c r="I1332" s="65" t="s">
        <v>4</v>
      </c>
      <c r="J1332" s="65" t="s">
        <v>4</v>
      </c>
      <c r="K1332" s="65" t="s">
        <v>4</v>
      </c>
      <c r="L1332" s="67"/>
      <c r="M1332" s="69" t="str">
        <f>IF(Main[[#This Row],[Tech Start Date]]&lt;1/1/1990,"",IF(Main[[#This Row],[Class]]="C",WORKDAY(Main[[#This Row],[Tech Start Date]],9),IF(Main[[#This Row],[Class]]="B", WORKDAY(Main[[#This Row],[Tech Start Date]],6),IF(Main[[#This Row],[Class]]="A",WORKDAY(Main[[#This Row],[Tech Start Date]],2),""))))</f>
        <v/>
      </c>
      <c r="N1332" s="69" t="str">
        <f>IF(Main[[#This Row],[Tech Start Date]]&lt;1/1/1990,"",IF(Main[[#This Row],[Class]]="C",WORKDAY(Main[[#This Row],[Tech Start Date]],19),IF(Main[[#This Row],[Class]]="B", WORKDAY(Main[[#This Row],[Tech Start Date]],12),IF(Main[[#This Row],[Class]]="A",WORKDAY(Main[[#This Row],[Tech Start Date]],4),""))))</f>
        <v/>
      </c>
      <c r="O1332" s="69" t="str">
        <f>IF(Main[[#This Row],[Tech Start Date]]&lt;1/1/1990,"",IF(Main[[#This Row],[Class]]="C",WORKDAY(Main[[#This Row],[Tech Start Date]],23),IF(Main[[#This Row],[Class]]="B", WORKDAY(Main[[#This Row],[Tech Start Date]],15),IF(Main[[#This Row],[Class]]="A",WORKDAY(Main[[#This Row],[Tech Start Date]],5),""))))</f>
        <v/>
      </c>
      <c r="P1332" s="69" t="str">
        <f>IF(Main[[#This Row],[Tech Start Date]]&lt;1/1/1990,"",IF(Main[[#This Row],[Class]]="C",WORKDAY(Main[[#This Row],[Tech Start Date]],28),IF(Main[[#This Row],[Class]]="B", WORKDAY(Main[[#This Row],[Tech Start Date]],19),IF(Main[[#This Row],[Class]]="A",WORKDAY(Main[[#This Row],[Tech Start Date]],9),""))))</f>
        <v/>
      </c>
      <c r="Q1332" s="67"/>
      <c r="R1332" s="67"/>
      <c r="S1332" s="65" t="s">
        <v>6</v>
      </c>
      <c r="T1332" s="70" t="s">
        <v>4</v>
      </c>
      <c r="U1332" s="65" t="s">
        <v>29</v>
      </c>
      <c r="V1332" s="65" t="s">
        <v>2288</v>
      </c>
      <c r="W1332" s="65" t="s">
        <v>1921</v>
      </c>
      <c r="X1332" s="65" t="s">
        <v>2847</v>
      </c>
      <c r="Y1332" s="65" t="s">
        <v>2977</v>
      </c>
      <c r="Z1332" s="65" t="s">
        <v>4</v>
      </c>
      <c r="AA1332" s="65" t="s">
        <v>2847</v>
      </c>
    </row>
    <row r="1333" spans="1:27" ht="17.45" customHeight="1">
      <c r="A1333" s="131" t="str">
        <f>IF(priority(Main[[#This Row],[Comments]])&lt;&gt;0, priority(Main[[#This Row],[Comments]]),"")</f>
        <v/>
      </c>
      <c r="B1333" s="99" t="s">
        <v>2305</v>
      </c>
      <c r="C1333" s="65" t="s">
        <v>4</v>
      </c>
      <c r="D1333" s="66" t="s">
        <v>2598</v>
      </c>
      <c r="E1333" s="67">
        <v>40820.42082175926</v>
      </c>
      <c r="F1333" s="67"/>
      <c r="G1333" s="64" t="str">
        <f>IF(stdProdLT(Main[[#This Row],[Comments]])=0.1,"N/A",IF(stdProdLT(Main[[#This Row],[Comments]])=0,"",stdProdLT(Main[[#This Row],[Comments]])))</f>
        <v/>
      </c>
      <c r="H1333" s="68" t="str">
        <f>IF(AND(Main[[#This Row],[In Stock Date]]&lt;&gt;"",Main[[#This Row],[Revised Due Date]]&lt;&gt;""),Main[[#This Row],[In Stock Date]]-Main[[#This Row],[Revised Due Date]],"")</f>
        <v/>
      </c>
      <c r="I1333" s="65" t="s">
        <v>562</v>
      </c>
      <c r="J1333" s="65" t="s">
        <v>21</v>
      </c>
      <c r="K1333" s="71" t="s">
        <v>4</v>
      </c>
      <c r="L1333" s="67"/>
      <c r="M1333" s="69" t="str">
        <f>IF(Main[[#This Row],[Tech Start Date]]&lt;1/1/1990,"",IF(Main[[#This Row],[Class]]="C",WORKDAY(Main[[#This Row],[Tech Start Date]],9),IF(Main[[#This Row],[Class]]="B", WORKDAY(Main[[#This Row],[Tech Start Date]],6),IF(Main[[#This Row],[Class]]="A",WORKDAY(Main[[#This Row],[Tech Start Date]],2),""))))</f>
        <v/>
      </c>
      <c r="N1333" s="69" t="str">
        <f>IF(Main[[#This Row],[Tech Start Date]]&lt;1/1/1990,"",IF(Main[[#This Row],[Class]]="C",WORKDAY(Main[[#This Row],[Tech Start Date]],19),IF(Main[[#This Row],[Class]]="B", WORKDAY(Main[[#This Row],[Tech Start Date]],12),IF(Main[[#This Row],[Class]]="A",WORKDAY(Main[[#This Row],[Tech Start Date]],4),""))))</f>
        <v/>
      </c>
      <c r="O1333" s="69" t="str">
        <f>IF(Main[[#This Row],[Tech Start Date]]&lt;1/1/1990,"",IF(Main[[#This Row],[Class]]="C",WORKDAY(Main[[#This Row],[Tech Start Date]],23),IF(Main[[#This Row],[Class]]="B", WORKDAY(Main[[#This Row],[Tech Start Date]],15),IF(Main[[#This Row],[Class]]="A",WORKDAY(Main[[#This Row],[Tech Start Date]],5),""))))</f>
        <v/>
      </c>
      <c r="P1333" s="69" t="str">
        <f>IF(Main[[#This Row],[Tech Start Date]]&lt;1/1/1990,"",IF(Main[[#This Row],[Class]]="C",WORKDAY(Main[[#This Row],[Tech Start Date]],28),IF(Main[[#This Row],[Class]]="B", WORKDAY(Main[[#This Row],[Tech Start Date]],19),IF(Main[[#This Row],[Class]]="A",WORKDAY(Main[[#This Row],[Tech Start Date]],9),""))))</f>
        <v/>
      </c>
      <c r="Q1333" s="67"/>
      <c r="R1333" s="67">
        <v>40840</v>
      </c>
      <c r="S1333" s="65" t="s">
        <v>6</v>
      </c>
      <c r="T1333" s="70" t="s">
        <v>4</v>
      </c>
      <c r="U1333" s="65" t="s">
        <v>29</v>
      </c>
      <c r="V1333" s="65" t="s">
        <v>1917</v>
      </c>
      <c r="W1333" s="65" t="s">
        <v>1925</v>
      </c>
      <c r="X1333" s="65" t="s">
        <v>50</v>
      </c>
      <c r="Y1333" s="65" t="s">
        <v>2965</v>
      </c>
      <c r="Z1333" s="65" t="s">
        <v>4</v>
      </c>
      <c r="AA1333" s="65" t="s">
        <v>2834</v>
      </c>
    </row>
    <row r="1334" spans="1:27" ht="17.45" customHeight="1">
      <c r="A1334" s="131" t="str">
        <f>IF(priority(Main[[#This Row],[Comments]])&lt;&gt;0, priority(Main[[#This Row],[Comments]]),"")</f>
        <v/>
      </c>
      <c r="B1334" s="99" t="s">
        <v>3567</v>
      </c>
      <c r="C1334" s="65" t="s">
        <v>4</v>
      </c>
      <c r="D1334" s="66" t="s">
        <v>3568</v>
      </c>
      <c r="E1334" s="67">
        <v>40945.679675925923</v>
      </c>
      <c r="F1334" s="67"/>
      <c r="G1334" s="64" t="str">
        <f>IF(stdProdLT(Main[[#This Row],[Comments]])=0.1,"N/A",IF(stdProdLT(Main[[#This Row],[Comments]])=0,"",stdProdLT(Main[[#This Row],[Comments]])))</f>
        <v/>
      </c>
      <c r="H1334" s="68" t="str">
        <f>IF(AND(Main[[#This Row],[In Stock Date]]&lt;&gt;"",Main[[#This Row],[Revised Due Date]]&lt;&gt;""),Main[[#This Row],[In Stock Date]]-Main[[#This Row],[Revised Due Date]],"")</f>
        <v/>
      </c>
      <c r="I1334" s="65" t="s">
        <v>4</v>
      </c>
      <c r="J1334" s="65" t="s">
        <v>4</v>
      </c>
      <c r="K1334" s="65" t="s">
        <v>4</v>
      </c>
      <c r="L1334" s="67"/>
      <c r="M1334" s="69" t="str">
        <f>IF(Main[[#This Row],[Tech Start Date]]&lt;1/1/1990,"",IF(Main[[#This Row],[Class]]="C",WORKDAY(Main[[#This Row],[Tech Start Date]],9),IF(Main[[#This Row],[Class]]="B", WORKDAY(Main[[#This Row],[Tech Start Date]],6),IF(Main[[#This Row],[Class]]="A",WORKDAY(Main[[#This Row],[Tech Start Date]],2),""))))</f>
        <v/>
      </c>
      <c r="N1334" s="69" t="str">
        <f>IF(Main[[#This Row],[Tech Start Date]]&lt;1/1/1990,"",IF(Main[[#This Row],[Class]]="C",WORKDAY(Main[[#This Row],[Tech Start Date]],19),IF(Main[[#This Row],[Class]]="B", WORKDAY(Main[[#This Row],[Tech Start Date]],12),IF(Main[[#This Row],[Class]]="A",WORKDAY(Main[[#This Row],[Tech Start Date]],4),""))))</f>
        <v/>
      </c>
      <c r="O1334" s="69" t="str">
        <f>IF(Main[[#This Row],[Tech Start Date]]&lt;1/1/1990,"",IF(Main[[#This Row],[Class]]="C",WORKDAY(Main[[#This Row],[Tech Start Date]],23),IF(Main[[#This Row],[Class]]="B", WORKDAY(Main[[#This Row],[Tech Start Date]],15),IF(Main[[#This Row],[Class]]="A",WORKDAY(Main[[#This Row],[Tech Start Date]],5),""))))</f>
        <v/>
      </c>
      <c r="P1334" s="69" t="str">
        <f>IF(Main[[#This Row],[Tech Start Date]]&lt;1/1/1990,"",IF(Main[[#This Row],[Class]]="C",WORKDAY(Main[[#This Row],[Tech Start Date]],28),IF(Main[[#This Row],[Class]]="B", WORKDAY(Main[[#This Row],[Tech Start Date]],19),IF(Main[[#This Row],[Class]]="A",WORKDAY(Main[[#This Row],[Tech Start Date]],9),""))))</f>
        <v/>
      </c>
      <c r="Q1334" s="67"/>
      <c r="R1334" s="67"/>
      <c r="S1334" s="65" t="s">
        <v>4</v>
      </c>
      <c r="T1334" s="70" t="s">
        <v>4</v>
      </c>
      <c r="U1334" s="65" t="s">
        <v>7</v>
      </c>
      <c r="V1334" s="65" t="s">
        <v>1917</v>
      </c>
      <c r="W1334" s="65" t="s">
        <v>4</v>
      </c>
      <c r="X1334" s="65" t="s">
        <v>3569</v>
      </c>
      <c r="Y1334" s="65" t="s">
        <v>3570</v>
      </c>
      <c r="Z1334" s="65" t="s">
        <v>4</v>
      </c>
      <c r="AA1334" s="65" t="s">
        <v>3569</v>
      </c>
    </row>
    <row r="1335" spans="1:27" ht="17.45" customHeight="1">
      <c r="A1335" s="131" t="str">
        <f>IF(priority(Main[[#This Row],[Comments]])&lt;&gt;0, priority(Main[[#This Row],[Comments]]),"")</f>
        <v/>
      </c>
      <c r="B1335" s="99" t="s">
        <v>3283</v>
      </c>
      <c r="C1335" s="65" t="s">
        <v>4</v>
      </c>
      <c r="D1335" s="66" t="s">
        <v>3802</v>
      </c>
      <c r="E1335" s="67">
        <v>40935.663275462961</v>
      </c>
      <c r="F1335" s="67"/>
      <c r="G1335" s="64" t="str">
        <f>IF(stdProdLT(Main[[#This Row],[Comments]])=0.1,"N/A",IF(stdProdLT(Main[[#This Row],[Comments]])=0,"",stdProdLT(Main[[#This Row],[Comments]])))</f>
        <v/>
      </c>
      <c r="H1335" s="68" t="str">
        <f>IF(AND(Main[[#This Row],[In Stock Date]]&lt;&gt;"",Main[[#This Row],[Revised Due Date]]&lt;&gt;""),Main[[#This Row],[In Stock Date]]-Main[[#This Row],[Revised Due Date]],"")</f>
        <v/>
      </c>
      <c r="I1335" s="65" t="s">
        <v>2054</v>
      </c>
      <c r="J1335" s="65" t="s">
        <v>28</v>
      </c>
      <c r="K1335" s="65" t="s">
        <v>1926</v>
      </c>
      <c r="L1335" s="67"/>
      <c r="M1335" s="69" t="str">
        <f>IF(Main[[#This Row],[Tech Start Date]]&lt;1/1/1990,"",IF(Main[[#This Row],[Class]]="C",WORKDAY(Main[[#This Row],[Tech Start Date]],9),IF(Main[[#This Row],[Class]]="B", WORKDAY(Main[[#This Row],[Tech Start Date]],6),IF(Main[[#This Row],[Class]]="A",WORKDAY(Main[[#This Row],[Tech Start Date]],2),""))))</f>
        <v/>
      </c>
      <c r="N1335" s="69" t="str">
        <f>IF(Main[[#This Row],[Tech Start Date]]&lt;1/1/1990,"",IF(Main[[#This Row],[Class]]="C",WORKDAY(Main[[#This Row],[Tech Start Date]],19),IF(Main[[#This Row],[Class]]="B", WORKDAY(Main[[#This Row],[Tech Start Date]],12),IF(Main[[#This Row],[Class]]="A",WORKDAY(Main[[#This Row],[Tech Start Date]],4),""))))</f>
        <v/>
      </c>
      <c r="O1335" s="69" t="str">
        <f>IF(Main[[#This Row],[Tech Start Date]]&lt;1/1/1990,"",IF(Main[[#This Row],[Class]]="C",WORKDAY(Main[[#This Row],[Tech Start Date]],23),IF(Main[[#This Row],[Class]]="B", WORKDAY(Main[[#This Row],[Tech Start Date]],15),IF(Main[[#This Row],[Class]]="A",WORKDAY(Main[[#This Row],[Tech Start Date]],5),""))))</f>
        <v/>
      </c>
      <c r="P1335" s="69" t="str">
        <f>IF(Main[[#This Row],[Tech Start Date]]&lt;1/1/1990,"",IF(Main[[#This Row],[Class]]="C",WORKDAY(Main[[#This Row],[Tech Start Date]],28),IF(Main[[#This Row],[Class]]="B", WORKDAY(Main[[#This Row],[Tech Start Date]],19),IF(Main[[#This Row],[Class]]="A",WORKDAY(Main[[#This Row],[Tech Start Date]],9),""))))</f>
        <v/>
      </c>
      <c r="Q1335" s="67">
        <v>41015</v>
      </c>
      <c r="R1335" s="67"/>
      <c r="S1335" s="65" t="s">
        <v>6</v>
      </c>
      <c r="T1335" s="70" t="s">
        <v>4</v>
      </c>
      <c r="U1335" s="65" t="s">
        <v>29</v>
      </c>
      <c r="V1335" s="65" t="s">
        <v>1920</v>
      </c>
      <c r="W1335" s="65" t="s">
        <v>1921</v>
      </c>
      <c r="X1335" s="65" t="s">
        <v>2847</v>
      </c>
      <c r="Y1335" s="65" t="s">
        <v>2977</v>
      </c>
      <c r="Z1335" s="65" t="s">
        <v>30</v>
      </c>
      <c r="AA1335" s="65" t="s">
        <v>2847</v>
      </c>
    </row>
    <row r="1336" spans="1:27" ht="17.45" customHeight="1">
      <c r="A1336" s="131" t="str">
        <f>IF(priority(Main[[#This Row],[Comments]])&lt;&gt;0, priority(Main[[#This Row],[Comments]]),"")</f>
        <v/>
      </c>
      <c r="B1336" s="99" t="s">
        <v>3547</v>
      </c>
      <c r="C1336" s="65" t="s">
        <v>53</v>
      </c>
      <c r="D1336" s="66" t="s">
        <v>3548</v>
      </c>
      <c r="E1336" s="67">
        <v>40960.929155092592</v>
      </c>
      <c r="F1336" s="67"/>
      <c r="G1336" s="64">
        <f>IF(stdProdLT(Main[[#This Row],[Comments]])=0.1,"N/A",IF(stdProdLT(Main[[#This Row],[Comments]])=0,"",stdProdLT(Main[[#This Row],[Comments]])))</f>
        <v>112</v>
      </c>
      <c r="H1336" s="68" t="str">
        <f>IF(AND(Main[[#This Row],[In Stock Date]]&lt;&gt;"",Main[[#This Row],[Revised Due Date]]&lt;&gt;""),Main[[#This Row],[In Stock Date]]-Main[[#This Row],[Revised Due Date]],"")</f>
        <v/>
      </c>
      <c r="I1336" s="65" t="s">
        <v>4</v>
      </c>
      <c r="J1336" s="65" t="s">
        <v>4</v>
      </c>
      <c r="K1336" s="65" t="s">
        <v>4</v>
      </c>
      <c r="L1336" s="67"/>
      <c r="M1336" s="69" t="str">
        <f>IF(Main[[#This Row],[Tech Start Date]]&lt;1/1/1990,"",IF(Main[[#This Row],[Class]]="C",WORKDAY(Main[[#This Row],[Tech Start Date]],9),IF(Main[[#This Row],[Class]]="B", WORKDAY(Main[[#This Row],[Tech Start Date]],6),IF(Main[[#This Row],[Class]]="A",WORKDAY(Main[[#This Row],[Tech Start Date]],2),""))))</f>
        <v/>
      </c>
      <c r="N1336" s="69" t="str">
        <f>IF(Main[[#This Row],[Tech Start Date]]&lt;1/1/1990,"",IF(Main[[#This Row],[Class]]="C",WORKDAY(Main[[#This Row],[Tech Start Date]],19),IF(Main[[#This Row],[Class]]="B", WORKDAY(Main[[#This Row],[Tech Start Date]],12),IF(Main[[#This Row],[Class]]="A",WORKDAY(Main[[#This Row],[Tech Start Date]],4),""))))</f>
        <v/>
      </c>
      <c r="O1336" s="69" t="str">
        <f>IF(Main[[#This Row],[Tech Start Date]]&lt;1/1/1990,"",IF(Main[[#This Row],[Class]]="C",WORKDAY(Main[[#This Row],[Tech Start Date]],23),IF(Main[[#This Row],[Class]]="B", WORKDAY(Main[[#This Row],[Tech Start Date]],15),IF(Main[[#This Row],[Class]]="A",WORKDAY(Main[[#This Row],[Tech Start Date]],5),""))))</f>
        <v/>
      </c>
      <c r="P1336" s="69" t="str">
        <f>IF(Main[[#This Row],[Tech Start Date]]&lt;1/1/1990,"",IF(Main[[#This Row],[Class]]="C",WORKDAY(Main[[#This Row],[Tech Start Date]],28),IF(Main[[#This Row],[Class]]="B", WORKDAY(Main[[#This Row],[Tech Start Date]],19),IF(Main[[#This Row],[Class]]="A",WORKDAY(Main[[#This Row],[Tech Start Date]],9),""))))</f>
        <v/>
      </c>
      <c r="Q1336" s="67">
        <v>40956</v>
      </c>
      <c r="R1336" s="67"/>
      <c r="S1336" s="65" t="s">
        <v>11</v>
      </c>
      <c r="T1336" s="70" t="s">
        <v>3803</v>
      </c>
      <c r="U1336" s="65" t="s">
        <v>696</v>
      </c>
      <c r="V1336" s="65" t="s">
        <v>1920</v>
      </c>
      <c r="W1336" s="65" t="s">
        <v>1919</v>
      </c>
      <c r="X1336" s="65" t="s">
        <v>3549</v>
      </c>
      <c r="Y1336" s="65" t="s">
        <v>4</v>
      </c>
      <c r="Z1336" s="65" t="s">
        <v>4</v>
      </c>
      <c r="AA1336" s="65" t="s">
        <v>3549</v>
      </c>
    </row>
    <row r="1337" spans="1:27" ht="17.45" customHeight="1">
      <c r="A1337" s="131" t="str">
        <f>IF(priority(Main[[#This Row],[Comments]])&lt;&gt;0, priority(Main[[#This Row],[Comments]]),"")</f>
        <v/>
      </c>
      <c r="B1337" s="99" t="s">
        <v>3382</v>
      </c>
      <c r="C1337" s="65" t="s">
        <v>4</v>
      </c>
      <c r="D1337" s="66" t="s">
        <v>3804</v>
      </c>
      <c r="E1337" s="67">
        <v>40940.228032407409</v>
      </c>
      <c r="F1337" s="67"/>
      <c r="G1337" s="64" t="str">
        <f>IF(stdProdLT(Main[[#This Row],[Comments]])=0.1,"N/A",IF(stdProdLT(Main[[#This Row],[Comments]])=0,"",stdProdLT(Main[[#This Row],[Comments]])))</f>
        <v/>
      </c>
      <c r="H1337" s="68" t="str">
        <f>IF(AND(Main[[#This Row],[In Stock Date]]&lt;&gt;"",Main[[#This Row],[Revised Due Date]]&lt;&gt;""),Main[[#This Row],[In Stock Date]]-Main[[#This Row],[Revised Due Date]],"")</f>
        <v/>
      </c>
      <c r="I1337" s="65" t="s">
        <v>69</v>
      </c>
      <c r="J1337" s="65" t="s">
        <v>70</v>
      </c>
      <c r="K1337" s="71" t="s">
        <v>4</v>
      </c>
      <c r="L1337" s="67"/>
      <c r="M1337" s="69" t="str">
        <f>IF(Main[[#This Row],[Tech Start Date]]&lt;1/1/1990,"",IF(Main[[#This Row],[Class]]="C",WORKDAY(Main[[#This Row],[Tech Start Date]],9),IF(Main[[#This Row],[Class]]="B", WORKDAY(Main[[#This Row],[Tech Start Date]],6),IF(Main[[#This Row],[Class]]="A",WORKDAY(Main[[#This Row],[Tech Start Date]],2),""))))</f>
        <v/>
      </c>
      <c r="N1337" s="69" t="str">
        <f>IF(Main[[#This Row],[Tech Start Date]]&lt;1/1/1990,"",IF(Main[[#This Row],[Class]]="C",WORKDAY(Main[[#This Row],[Tech Start Date]],19),IF(Main[[#This Row],[Class]]="B", WORKDAY(Main[[#This Row],[Tech Start Date]],12),IF(Main[[#This Row],[Class]]="A",WORKDAY(Main[[#This Row],[Tech Start Date]],4),""))))</f>
        <v/>
      </c>
      <c r="O1337" s="69" t="str">
        <f>IF(Main[[#This Row],[Tech Start Date]]&lt;1/1/1990,"",IF(Main[[#This Row],[Class]]="C",WORKDAY(Main[[#This Row],[Tech Start Date]],23),IF(Main[[#This Row],[Class]]="B", WORKDAY(Main[[#This Row],[Tech Start Date]],15),IF(Main[[#This Row],[Class]]="A",WORKDAY(Main[[#This Row],[Tech Start Date]],5),""))))</f>
        <v/>
      </c>
      <c r="P1337" s="69" t="str">
        <f>IF(Main[[#This Row],[Tech Start Date]]&lt;1/1/1990,"",IF(Main[[#This Row],[Class]]="C",WORKDAY(Main[[#This Row],[Tech Start Date]],28),IF(Main[[#This Row],[Class]]="B", WORKDAY(Main[[#This Row],[Tech Start Date]],19),IF(Main[[#This Row],[Class]]="A",WORKDAY(Main[[#This Row],[Tech Start Date]],9),""))))</f>
        <v/>
      </c>
      <c r="Q1337" s="67">
        <v>40969</v>
      </c>
      <c r="R1337" s="67"/>
      <c r="S1337" s="65" t="s">
        <v>6</v>
      </c>
      <c r="T1337" s="70" t="s">
        <v>4</v>
      </c>
      <c r="U1337" s="65" t="s">
        <v>29</v>
      </c>
      <c r="V1337" s="65" t="s">
        <v>1920</v>
      </c>
      <c r="W1337" s="65" t="s">
        <v>4</v>
      </c>
      <c r="X1337" s="65" t="s">
        <v>2828</v>
      </c>
      <c r="Y1337" s="65" t="s">
        <v>2944</v>
      </c>
      <c r="Z1337" s="65" t="s">
        <v>4</v>
      </c>
      <c r="AA1337" s="65" t="s">
        <v>2828</v>
      </c>
    </row>
    <row r="1338" spans="1:27" ht="17.45" customHeight="1">
      <c r="A1338" s="131" t="str">
        <f>IF(priority(Main[[#This Row],[Comments]])&lt;&gt;0, priority(Main[[#This Row],[Comments]]),"")</f>
        <v/>
      </c>
      <c r="B1338" s="99" t="s">
        <v>2600</v>
      </c>
      <c r="C1338" s="65" t="s">
        <v>4</v>
      </c>
      <c r="D1338" s="66" t="s">
        <v>2601</v>
      </c>
      <c r="E1338" s="67">
        <v>40868.429988425924</v>
      </c>
      <c r="F1338" s="67"/>
      <c r="G1338" s="64" t="str">
        <f>IF(stdProdLT(Main[[#This Row],[Comments]])=0.1,"N/A",IF(stdProdLT(Main[[#This Row],[Comments]])=0,"",stdProdLT(Main[[#This Row],[Comments]])))</f>
        <v/>
      </c>
      <c r="H1338" s="68" t="str">
        <f>IF(AND(Main[[#This Row],[In Stock Date]]&lt;&gt;"",Main[[#This Row],[Revised Due Date]]&lt;&gt;""),Main[[#This Row],[In Stock Date]]-Main[[#This Row],[Revised Due Date]],"")</f>
        <v/>
      </c>
      <c r="I1338" s="65" t="s">
        <v>239</v>
      </c>
      <c r="J1338" s="65" t="s">
        <v>21</v>
      </c>
      <c r="K1338" s="65" t="s">
        <v>4</v>
      </c>
      <c r="L1338" s="67"/>
      <c r="M1338" s="69" t="str">
        <f>IF(Main[[#This Row],[Tech Start Date]]&lt;1/1/1990,"",IF(Main[[#This Row],[Class]]="C",WORKDAY(Main[[#This Row],[Tech Start Date]],9),IF(Main[[#This Row],[Class]]="B", WORKDAY(Main[[#This Row],[Tech Start Date]],6),IF(Main[[#This Row],[Class]]="A",WORKDAY(Main[[#This Row],[Tech Start Date]],2),""))))</f>
        <v/>
      </c>
      <c r="N1338" s="69" t="str">
        <f>IF(Main[[#This Row],[Tech Start Date]]&lt;1/1/1990,"",IF(Main[[#This Row],[Class]]="C",WORKDAY(Main[[#This Row],[Tech Start Date]],19),IF(Main[[#This Row],[Class]]="B", WORKDAY(Main[[#This Row],[Tech Start Date]],12),IF(Main[[#This Row],[Class]]="A",WORKDAY(Main[[#This Row],[Tech Start Date]],4),""))))</f>
        <v/>
      </c>
      <c r="O1338" s="69" t="str">
        <f>IF(Main[[#This Row],[Tech Start Date]]&lt;1/1/1990,"",IF(Main[[#This Row],[Class]]="C",WORKDAY(Main[[#This Row],[Tech Start Date]],23),IF(Main[[#This Row],[Class]]="B", WORKDAY(Main[[#This Row],[Tech Start Date]],15),IF(Main[[#This Row],[Class]]="A",WORKDAY(Main[[#This Row],[Tech Start Date]],5),""))))</f>
        <v/>
      </c>
      <c r="P1338" s="69" t="str">
        <f>IF(Main[[#This Row],[Tech Start Date]]&lt;1/1/1990,"",IF(Main[[#This Row],[Class]]="C",WORKDAY(Main[[#This Row],[Tech Start Date]],28),IF(Main[[#This Row],[Class]]="B", WORKDAY(Main[[#This Row],[Tech Start Date]],19),IF(Main[[#This Row],[Class]]="A",WORKDAY(Main[[#This Row],[Tech Start Date]],9),""))))</f>
        <v/>
      </c>
      <c r="Q1338" s="67">
        <v>40877</v>
      </c>
      <c r="R1338" s="67"/>
      <c r="S1338" s="65" t="s">
        <v>6</v>
      </c>
      <c r="T1338" s="70" t="s">
        <v>4</v>
      </c>
      <c r="U1338" s="65" t="s">
        <v>29</v>
      </c>
      <c r="V1338" s="65" t="s">
        <v>1920</v>
      </c>
      <c r="W1338" s="65" t="s">
        <v>1921</v>
      </c>
      <c r="X1338" s="65" t="s">
        <v>239</v>
      </c>
      <c r="Y1338" s="65" t="s">
        <v>3146</v>
      </c>
      <c r="Z1338" s="65" t="s">
        <v>239</v>
      </c>
      <c r="AA1338" s="65" t="s">
        <v>239</v>
      </c>
    </row>
    <row r="1339" spans="1:27" ht="17.45" customHeight="1">
      <c r="A1339" s="131" t="str">
        <f>IF(priority(Main[[#This Row],[Comments]])&lt;&gt;0, priority(Main[[#This Row],[Comments]]),"")</f>
        <v/>
      </c>
      <c r="B1339" s="99" t="s">
        <v>2602</v>
      </c>
      <c r="C1339" s="65" t="s">
        <v>4</v>
      </c>
      <c r="D1339" s="66" t="s">
        <v>2796</v>
      </c>
      <c r="E1339" s="67">
        <v>40870.471666666665</v>
      </c>
      <c r="F1339" s="67"/>
      <c r="G1339" s="64" t="str">
        <f>IF(stdProdLT(Main[[#This Row],[Comments]])=0.1,"N/A",IF(stdProdLT(Main[[#This Row],[Comments]])=0,"",stdProdLT(Main[[#This Row],[Comments]])))</f>
        <v/>
      </c>
      <c r="H1339" s="68" t="str">
        <f>IF(AND(Main[[#This Row],[In Stock Date]]&lt;&gt;"",Main[[#This Row],[Revised Due Date]]&lt;&gt;""),Main[[#This Row],[In Stock Date]]-Main[[#This Row],[Revised Due Date]],"")</f>
        <v/>
      </c>
      <c r="I1339" s="65" t="s">
        <v>4</v>
      </c>
      <c r="J1339" s="65" t="s">
        <v>28</v>
      </c>
      <c r="K1339" s="71" t="s">
        <v>1926</v>
      </c>
      <c r="L1339" s="67"/>
      <c r="M1339" s="69" t="str">
        <f>IF(Main[[#This Row],[Tech Start Date]]&lt;1/1/1990,"",IF(Main[[#This Row],[Class]]="C",WORKDAY(Main[[#This Row],[Tech Start Date]],9),IF(Main[[#This Row],[Class]]="B", WORKDAY(Main[[#This Row],[Tech Start Date]],6),IF(Main[[#This Row],[Class]]="A",WORKDAY(Main[[#This Row],[Tech Start Date]],2),""))))</f>
        <v/>
      </c>
      <c r="N1339" s="69" t="str">
        <f>IF(Main[[#This Row],[Tech Start Date]]&lt;1/1/1990,"",IF(Main[[#This Row],[Class]]="C",WORKDAY(Main[[#This Row],[Tech Start Date]],19),IF(Main[[#This Row],[Class]]="B", WORKDAY(Main[[#This Row],[Tech Start Date]],12),IF(Main[[#This Row],[Class]]="A",WORKDAY(Main[[#This Row],[Tech Start Date]],4),""))))</f>
        <v/>
      </c>
      <c r="O1339" s="69" t="str">
        <f>IF(Main[[#This Row],[Tech Start Date]]&lt;1/1/1990,"",IF(Main[[#This Row],[Class]]="C",WORKDAY(Main[[#This Row],[Tech Start Date]],23),IF(Main[[#This Row],[Class]]="B", WORKDAY(Main[[#This Row],[Tech Start Date]],15),IF(Main[[#This Row],[Class]]="A",WORKDAY(Main[[#This Row],[Tech Start Date]],5),""))))</f>
        <v/>
      </c>
      <c r="P1339" s="69" t="str">
        <f>IF(Main[[#This Row],[Tech Start Date]]&lt;1/1/1990,"",IF(Main[[#This Row],[Class]]="C",WORKDAY(Main[[#This Row],[Tech Start Date]],28),IF(Main[[#This Row],[Class]]="B", WORKDAY(Main[[#This Row],[Tech Start Date]],19),IF(Main[[#This Row],[Class]]="A",WORKDAY(Main[[#This Row],[Tech Start Date]],9),""))))</f>
        <v/>
      </c>
      <c r="Q1339" s="67">
        <v>40905</v>
      </c>
      <c r="R1339" s="67"/>
      <c r="S1339" s="65" t="s">
        <v>6</v>
      </c>
      <c r="T1339" s="70" t="s">
        <v>4</v>
      </c>
      <c r="U1339" s="65" t="s">
        <v>29</v>
      </c>
      <c r="V1339" s="65" t="s">
        <v>1920</v>
      </c>
      <c r="W1339" s="65" t="s">
        <v>1921</v>
      </c>
      <c r="X1339" s="65" t="s">
        <v>2054</v>
      </c>
      <c r="Y1339" s="65" t="s">
        <v>3066</v>
      </c>
      <c r="Z1339" s="65" t="s">
        <v>30</v>
      </c>
      <c r="AA1339" s="65" t="s">
        <v>2901</v>
      </c>
    </row>
    <row r="1340" spans="1:27" ht="17.45" customHeight="1">
      <c r="A1340" s="131" t="str">
        <f>IF(priority(Main[[#This Row],[Comments]])&lt;&gt;0, priority(Main[[#This Row],[Comments]]),"")</f>
        <v/>
      </c>
      <c r="B1340" s="99" t="s">
        <v>1677</v>
      </c>
      <c r="C1340" s="65" t="s">
        <v>37</v>
      </c>
      <c r="D1340" s="66" t="s">
        <v>2603</v>
      </c>
      <c r="E1340" s="67">
        <v>40681.624918981484</v>
      </c>
      <c r="F1340" s="67"/>
      <c r="G1340" s="64" t="str">
        <f>IF(stdProdLT(Main[[#This Row],[Comments]])=0.1,"N/A",IF(stdProdLT(Main[[#This Row],[Comments]])=0,"",stdProdLT(Main[[#This Row],[Comments]])))</f>
        <v/>
      </c>
      <c r="H1340" s="68" t="str">
        <f>IF(AND(Main[[#This Row],[In Stock Date]]&lt;&gt;"",Main[[#This Row],[Revised Due Date]]&lt;&gt;""),Main[[#This Row],[In Stock Date]]-Main[[#This Row],[Revised Due Date]],"")</f>
        <v/>
      </c>
      <c r="I1340" s="65" t="s">
        <v>4</v>
      </c>
      <c r="J1340" s="65" t="s">
        <v>4</v>
      </c>
      <c r="K1340" s="71" t="s">
        <v>4</v>
      </c>
      <c r="L1340" s="67"/>
      <c r="M1340" s="69" t="str">
        <f>IF(Main[[#This Row],[Tech Start Date]]&lt;1/1/1990,"",IF(Main[[#This Row],[Class]]="C",WORKDAY(Main[[#This Row],[Tech Start Date]],9),IF(Main[[#This Row],[Class]]="B", WORKDAY(Main[[#This Row],[Tech Start Date]],6),IF(Main[[#This Row],[Class]]="A",WORKDAY(Main[[#This Row],[Tech Start Date]],2),""))))</f>
        <v/>
      </c>
      <c r="N1340" s="69" t="str">
        <f>IF(Main[[#This Row],[Tech Start Date]]&lt;1/1/1990,"",IF(Main[[#This Row],[Class]]="C",WORKDAY(Main[[#This Row],[Tech Start Date]],19),IF(Main[[#This Row],[Class]]="B", WORKDAY(Main[[#This Row],[Tech Start Date]],12),IF(Main[[#This Row],[Class]]="A",WORKDAY(Main[[#This Row],[Tech Start Date]],4),""))))</f>
        <v/>
      </c>
      <c r="O1340" s="69" t="str">
        <f>IF(Main[[#This Row],[Tech Start Date]]&lt;1/1/1990,"",IF(Main[[#This Row],[Class]]="C",WORKDAY(Main[[#This Row],[Tech Start Date]],23),IF(Main[[#This Row],[Class]]="B", WORKDAY(Main[[#This Row],[Tech Start Date]],15),IF(Main[[#This Row],[Class]]="A",WORKDAY(Main[[#This Row],[Tech Start Date]],5),""))))</f>
        <v/>
      </c>
      <c r="P1340" s="69" t="str">
        <f>IF(Main[[#This Row],[Tech Start Date]]&lt;1/1/1990,"",IF(Main[[#This Row],[Class]]="C",WORKDAY(Main[[#This Row],[Tech Start Date]],28),IF(Main[[#This Row],[Class]]="B", WORKDAY(Main[[#This Row],[Tech Start Date]],19),IF(Main[[#This Row],[Class]]="A",WORKDAY(Main[[#This Row],[Tech Start Date]],9),""))))</f>
        <v/>
      </c>
      <c r="Q1340" s="67"/>
      <c r="R1340" s="67"/>
      <c r="S1340" s="65" t="s">
        <v>6</v>
      </c>
      <c r="T1340" s="70" t="s">
        <v>4</v>
      </c>
      <c r="U1340" s="65" t="s">
        <v>534</v>
      </c>
      <c r="V1340" s="65" t="s">
        <v>1917</v>
      </c>
      <c r="W1340" s="65" t="s">
        <v>1928</v>
      </c>
      <c r="X1340" s="65" t="s">
        <v>972</v>
      </c>
      <c r="Y1340" s="65" t="s">
        <v>3103</v>
      </c>
      <c r="Z1340" s="65" t="s">
        <v>4</v>
      </c>
      <c r="AA1340" s="65" t="s">
        <v>972</v>
      </c>
    </row>
    <row r="1341" spans="1:27" ht="17.45" customHeight="1">
      <c r="A1341" s="131" t="str">
        <f>IF(priority(Main[[#This Row],[Comments]])&lt;&gt;0, priority(Main[[#This Row],[Comments]]),"")</f>
        <v/>
      </c>
      <c r="B1341" s="99" t="s">
        <v>2702</v>
      </c>
      <c r="C1341" s="65" t="s">
        <v>4</v>
      </c>
      <c r="D1341" s="66" t="s">
        <v>2703</v>
      </c>
      <c r="E1341" s="67">
        <v>40900.141886574071</v>
      </c>
      <c r="F1341" s="67"/>
      <c r="G1341" s="64" t="str">
        <f>IF(stdProdLT(Main[[#This Row],[Comments]])=0.1,"N/A",IF(stdProdLT(Main[[#This Row],[Comments]])=0,"",stdProdLT(Main[[#This Row],[Comments]])))</f>
        <v/>
      </c>
      <c r="H1341" s="68" t="str">
        <f>IF(AND(Main[[#This Row],[In Stock Date]]&lt;&gt;"",Main[[#This Row],[Revised Due Date]]&lt;&gt;""),Main[[#This Row],[In Stock Date]]-Main[[#This Row],[Revised Due Date]],"")</f>
        <v/>
      </c>
      <c r="I1341" s="65" t="s">
        <v>69</v>
      </c>
      <c r="J1341" s="65" t="s">
        <v>28</v>
      </c>
      <c r="K1341" s="71" t="s">
        <v>1926</v>
      </c>
      <c r="L1341" s="67"/>
      <c r="M1341" s="69" t="str">
        <f>IF(Main[[#This Row],[Tech Start Date]]&lt;1/1/1990,"",IF(Main[[#This Row],[Class]]="C",WORKDAY(Main[[#This Row],[Tech Start Date]],9),IF(Main[[#This Row],[Class]]="B", WORKDAY(Main[[#This Row],[Tech Start Date]],6),IF(Main[[#This Row],[Class]]="A",WORKDAY(Main[[#This Row],[Tech Start Date]],2),""))))</f>
        <v/>
      </c>
      <c r="N1341" s="69" t="str">
        <f>IF(Main[[#This Row],[Tech Start Date]]&lt;1/1/1990,"",IF(Main[[#This Row],[Class]]="C",WORKDAY(Main[[#This Row],[Tech Start Date]],19),IF(Main[[#This Row],[Class]]="B", WORKDAY(Main[[#This Row],[Tech Start Date]],12),IF(Main[[#This Row],[Class]]="A",WORKDAY(Main[[#This Row],[Tech Start Date]],4),""))))</f>
        <v/>
      </c>
      <c r="O1341" s="69" t="str">
        <f>IF(Main[[#This Row],[Tech Start Date]]&lt;1/1/1990,"",IF(Main[[#This Row],[Class]]="C",WORKDAY(Main[[#This Row],[Tech Start Date]],23),IF(Main[[#This Row],[Class]]="B", WORKDAY(Main[[#This Row],[Tech Start Date]],15),IF(Main[[#This Row],[Class]]="A",WORKDAY(Main[[#This Row],[Tech Start Date]],5),""))))</f>
        <v/>
      </c>
      <c r="P1341" s="69" t="str">
        <f>IF(Main[[#This Row],[Tech Start Date]]&lt;1/1/1990,"",IF(Main[[#This Row],[Class]]="C",WORKDAY(Main[[#This Row],[Tech Start Date]],28),IF(Main[[#This Row],[Class]]="B", WORKDAY(Main[[#This Row],[Tech Start Date]],19),IF(Main[[#This Row],[Class]]="A",WORKDAY(Main[[#This Row],[Tech Start Date]],9),""))))</f>
        <v/>
      </c>
      <c r="Q1341" s="67">
        <v>40931</v>
      </c>
      <c r="R1341" s="67"/>
      <c r="S1341" s="65" t="s">
        <v>6</v>
      </c>
      <c r="T1341" s="70" t="s">
        <v>4</v>
      </c>
      <c r="U1341" s="65" t="s">
        <v>29</v>
      </c>
      <c r="V1341" s="65" t="s">
        <v>1920</v>
      </c>
      <c r="W1341" s="65" t="s">
        <v>1921</v>
      </c>
      <c r="X1341" s="65" t="s">
        <v>2828</v>
      </c>
      <c r="Y1341" s="65" t="s">
        <v>2944</v>
      </c>
      <c r="Z1341" s="65" t="s">
        <v>30</v>
      </c>
      <c r="AA1341" s="65" t="s">
        <v>2828</v>
      </c>
    </row>
    <row r="1342" spans="1:27" ht="17.45" customHeight="1">
      <c r="A1342" s="131" t="str">
        <f>IF(priority(Main[[#This Row],[Comments]])&lt;&gt;0, priority(Main[[#This Row],[Comments]]),"")</f>
        <v/>
      </c>
      <c r="B1342" s="99" t="s">
        <v>3314</v>
      </c>
      <c r="C1342" s="65" t="s">
        <v>4</v>
      </c>
      <c r="D1342" s="66" t="s">
        <v>3315</v>
      </c>
      <c r="E1342" s="67">
        <v>40933.268750000003</v>
      </c>
      <c r="F1342" s="67"/>
      <c r="G1342" s="64" t="str">
        <f>IF(stdProdLT(Main[[#This Row],[Comments]])=0.1,"N/A",IF(stdProdLT(Main[[#This Row],[Comments]])=0,"",stdProdLT(Main[[#This Row],[Comments]])))</f>
        <v/>
      </c>
      <c r="H1342" s="68" t="str">
        <f>IF(AND(Main[[#This Row],[In Stock Date]]&lt;&gt;"",Main[[#This Row],[Revised Due Date]]&lt;&gt;""),Main[[#This Row],[In Stock Date]]-Main[[#This Row],[Revised Due Date]],"")</f>
        <v/>
      </c>
      <c r="I1342" s="65" t="s">
        <v>4</v>
      </c>
      <c r="J1342" s="65" t="s">
        <v>4</v>
      </c>
      <c r="K1342" s="65" t="s">
        <v>4</v>
      </c>
      <c r="L1342" s="67"/>
      <c r="M1342" s="69" t="str">
        <f>IF(Main[[#This Row],[Tech Start Date]]&lt;1/1/1990,"",IF(Main[[#This Row],[Class]]="C",WORKDAY(Main[[#This Row],[Tech Start Date]],9),IF(Main[[#This Row],[Class]]="B", WORKDAY(Main[[#This Row],[Tech Start Date]],6),IF(Main[[#This Row],[Class]]="A",WORKDAY(Main[[#This Row],[Tech Start Date]],2),""))))</f>
        <v/>
      </c>
      <c r="N1342" s="69" t="str">
        <f>IF(Main[[#This Row],[Tech Start Date]]&lt;1/1/1990,"",IF(Main[[#This Row],[Class]]="C",WORKDAY(Main[[#This Row],[Tech Start Date]],19),IF(Main[[#This Row],[Class]]="B", WORKDAY(Main[[#This Row],[Tech Start Date]],12),IF(Main[[#This Row],[Class]]="A",WORKDAY(Main[[#This Row],[Tech Start Date]],4),""))))</f>
        <v/>
      </c>
      <c r="O1342" s="69" t="str">
        <f>IF(Main[[#This Row],[Tech Start Date]]&lt;1/1/1990,"",IF(Main[[#This Row],[Class]]="C",WORKDAY(Main[[#This Row],[Tech Start Date]],23),IF(Main[[#This Row],[Class]]="B", WORKDAY(Main[[#This Row],[Tech Start Date]],15),IF(Main[[#This Row],[Class]]="A",WORKDAY(Main[[#This Row],[Tech Start Date]],5),""))))</f>
        <v/>
      </c>
      <c r="P1342" s="69" t="str">
        <f>IF(Main[[#This Row],[Tech Start Date]]&lt;1/1/1990,"",IF(Main[[#This Row],[Class]]="C",WORKDAY(Main[[#This Row],[Tech Start Date]],28),IF(Main[[#This Row],[Class]]="B", WORKDAY(Main[[#This Row],[Tech Start Date]],19),IF(Main[[#This Row],[Class]]="A",WORKDAY(Main[[#This Row],[Tech Start Date]],9),""))))</f>
        <v/>
      </c>
      <c r="Q1342" s="67">
        <v>40963</v>
      </c>
      <c r="R1342" s="67"/>
      <c r="S1342" s="65" t="s">
        <v>6</v>
      </c>
      <c r="T1342" s="70" t="s">
        <v>4</v>
      </c>
      <c r="U1342" s="65" t="s">
        <v>7</v>
      </c>
      <c r="V1342" s="65" t="s">
        <v>1917</v>
      </c>
      <c r="W1342" s="65" t="s">
        <v>4</v>
      </c>
      <c r="X1342" s="65" t="s">
        <v>2828</v>
      </c>
      <c r="Y1342" s="65" t="s">
        <v>2944</v>
      </c>
      <c r="Z1342" s="65" t="s">
        <v>4</v>
      </c>
      <c r="AA1342" s="65" t="s">
        <v>2828</v>
      </c>
    </row>
    <row r="1343" spans="1:27" ht="17.45" customHeight="1">
      <c r="A1343" s="131" t="str">
        <f>IF(priority(Main[[#This Row],[Comments]])&lt;&gt;0, priority(Main[[#This Row],[Comments]]),"")</f>
        <v/>
      </c>
      <c r="B1343" s="99" t="s">
        <v>2501</v>
      </c>
      <c r="C1343" s="65" t="s">
        <v>4</v>
      </c>
      <c r="D1343" s="66" t="s">
        <v>2502</v>
      </c>
      <c r="E1343" s="67">
        <v>40855.421446759261</v>
      </c>
      <c r="F1343" s="67"/>
      <c r="G1343" s="64" t="str">
        <f>IF(stdProdLT(Main[[#This Row],[Comments]])=0.1,"N/A",IF(stdProdLT(Main[[#This Row],[Comments]])=0,"",stdProdLT(Main[[#This Row],[Comments]])))</f>
        <v/>
      </c>
      <c r="H1343" s="68" t="str">
        <f>IF(AND(Main[[#This Row],[In Stock Date]]&lt;&gt;"",Main[[#This Row],[Revised Due Date]]&lt;&gt;""),Main[[#This Row],[In Stock Date]]-Main[[#This Row],[Revised Due Date]],"")</f>
        <v/>
      </c>
      <c r="I1343" s="65" t="s">
        <v>69</v>
      </c>
      <c r="J1343" s="65" t="s">
        <v>70</v>
      </c>
      <c r="K1343" s="71" t="s">
        <v>1929</v>
      </c>
      <c r="L1343" s="67"/>
      <c r="M1343" s="69" t="str">
        <f>IF(Main[[#This Row],[Tech Start Date]]&lt;1/1/1990,"",IF(Main[[#This Row],[Class]]="C",WORKDAY(Main[[#This Row],[Tech Start Date]],9),IF(Main[[#This Row],[Class]]="B", WORKDAY(Main[[#This Row],[Tech Start Date]],6),IF(Main[[#This Row],[Class]]="A",WORKDAY(Main[[#This Row],[Tech Start Date]],2),""))))</f>
        <v/>
      </c>
      <c r="N1343" s="69" t="str">
        <f>IF(Main[[#This Row],[Tech Start Date]]&lt;1/1/1990,"",IF(Main[[#This Row],[Class]]="C",WORKDAY(Main[[#This Row],[Tech Start Date]],19),IF(Main[[#This Row],[Class]]="B", WORKDAY(Main[[#This Row],[Tech Start Date]],12),IF(Main[[#This Row],[Class]]="A",WORKDAY(Main[[#This Row],[Tech Start Date]],4),""))))</f>
        <v/>
      </c>
      <c r="O1343" s="69" t="str">
        <f>IF(Main[[#This Row],[Tech Start Date]]&lt;1/1/1990,"",IF(Main[[#This Row],[Class]]="C",WORKDAY(Main[[#This Row],[Tech Start Date]],23),IF(Main[[#This Row],[Class]]="B", WORKDAY(Main[[#This Row],[Tech Start Date]],15),IF(Main[[#This Row],[Class]]="A",WORKDAY(Main[[#This Row],[Tech Start Date]],5),""))))</f>
        <v/>
      </c>
      <c r="P1343" s="69" t="str">
        <f>IF(Main[[#This Row],[Tech Start Date]]&lt;1/1/1990,"",IF(Main[[#This Row],[Class]]="C",WORKDAY(Main[[#This Row],[Tech Start Date]],28),IF(Main[[#This Row],[Class]]="B", WORKDAY(Main[[#This Row],[Tech Start Date]],19),IF(Main[[#This Row],[Class]]="A",WORKDAY(Main[[#This Row],[Tech Start Date]],9),""))))</f>
        <v/>
      </c>
      <c r="Q1343" s="67">
        <v>40907</v>
      </c>
      <c r="R1343" s="67"/>
      <c r="S1343" s="65" t="s">
        <v>17</v>
      </c>
      <c r="T1343" s="70" t="s">
        <v>4</v>
      </c>
      <c r="U1343" s="65" t="s">
        <v>29</v>
      </c>
      <c r="V1343" s="65" t="s">
        <v>1927</v>
      </c>
      <c r="W1343" s="65" t="s">
        <v>1919</v>
      </c>
      <c r="X1343" s="65" t="s">
        <v>2872</v>
      </c>
      <c r="Y1343" s="65" t="s">
        <v>3006</v>
      </c>
      <c r="Z1343" s="65" t="s">
        <v>30</v>
      </c>
      <c r="AA1343" s="65" t="s">
        <v>2872</v>
      </c>
    </row>
    <row r="1344" spans="1:27" ht="17.45" customHeight="1">
      <c r="A1344" s="131" t="str">
        <f>IF(priority(Main[[#This Row],[Comments]])&lt;&gt;0, priority(Main[[#This Row],[Comments]]),"")</f>
        <v/>
      </c>
      <c r="B1344" s="99" t="s">
        <v>3233</v>
      </c>
      <c r="C1344" s="65" t="s">
        <v>4</v>
      </c>
      <c r="D1344" s="66" t="s">
        <v>3809</v>
      </c>
      <c r="E1344" s="67">
        <v>40924.344918981478</v>
      </c>
      <c r="F1344" s="67"/>
      <c r="G1344" s="64" t="str">
        <f>IF(stdProdLT(Main[[#This Row],[Comments]])=0.1,"N/A",IF(stdProdLT(Main[[#This Row],[Comments]])=0,"",stdProdLT(Main[[#This Row],[Comments]])))</f>
        <v/>
      </c>
      <c r="H1344" s="68" t="str">
        <f>IF(AND(Main[[#This Row],[In Stock Date]]&lt;&gt;"",Main[[#This Row],[Revised Due Date]]&lt;&gt;""),Main[[#This Row],[In Stock Date]]-Main[[#This Row],[Revised Due Date]],"")</f>
        <v/>
      </c>
      <c r="I1344" s="65" t="s">
        <v>69</v>
      </c>
      <c r="J1344" s="65" t="s">
        <v>70</v>
      </c>
      <c r="K1344" s="65" t="s">
        <v>1926</v>
      </c>
      <c r="L1344" s="67"/>
      <c r="M1344" s="69" t="str">
        <f>IF(Main[[#This Row],[Tech Start Date]]&lt;1/1/1990,"",IF(Main[[#This Row],[Class]]="C",WORKDAY(Main[[#This Row],[Tech Start Date]],9),IF(Main[[#This Row],[Class]]="B", WORKDAY(Main[[#This Row],[Tech Start Date]],6),IF(Main[[#This Row],[Class]]="A",WORKDAY(Main[[#This Row],[Tech Start Date]],2),""))))</f>
        <v/>
      </c>
      <c r="N1344" s="69" t="str">
        <f>IF(Main[[#This Row],[Tech Start Date]]&lt;1/1/1990,"",IF(Main[[#This Row],[Class]]="C",WORKDAY(Main[[#This Row],[Tech Start Date]],19),IF(Main[[#This Row],[Class]]="B", WORKDAY(Main[[#This Row],[Tech Start Date]],12),IF(Main[[#This Row],[Class]]="A",WORKDAY(Main[[#This Row],[Tech Start Date]],4),""))))</f>
        <v/>
      </c>
      <c r="O1344" s="69" t="str">
        <f>IF(Main[[#This Row],[Tech Start Date]]&lt;1/1/1990,"",IF(Main[[#This Row],[Class]]="C",WORKDAY(Main[[#This Row],[Tech Start Date]],23),IF(Main[[#This Row],[Class]]="B", WORKDAY(Main[[#This Row],[Tech Start Date]],15),IF(Main[[#This Row],[Class]]="A",WORKDAY(Main[[#This Row],[Tech Start Date]],5),""))))</f>
        <v/>
      </c>
      <c r="P1344" s="69" t="str">
        <f>IF(Main[[#This Row],[Tech Start Date]]&lt;1/1/1990,"",IF(Main[[#This Row],[Class]]="C",WORKDAY(Main[[#This Row],[Tech Start Date]],28),IF(Main[[#This Row],[Class]]="B", WORKDAY(Main[[#This Row],[Tech Start Date]],19),IF(Main[[#This Row],[Class]]="A",WORKDAY(Main[[#This Row],[Tech Start Date]],9),""))))</f>
        <v/>
      </c>
      <c r="Q1344" s="67">
        <v>40952</v>
      </c>
      <c r="R1344" s="67"/>
      <c r="S1344" s="65" t="s">
        <v>6</v>
      </c>
      <c r="T1344" s="70" t="s">
        <v>4</v>
      </c>
      <c r="U1344" s="65" t="s">
        <v>29</v>
      </c>
      <c r="V1344" s="65" t="s">
        <v>1920</v>
      </c>
      <c r="W1344" s="65" t="s">
        <v>1921</v>
      </c>
      <c r="X1344" s="65" t="s">
        <v>2828</v>
      </c>
      <c r="Y1344" s="65" t="s">
        <v>2944</v>
      </c>
      <c r="Z1344" s="65" t="s">
        <v>30</v>
      </c>
      <c r="AA1344" s="65" t="s">
        <v>2828</v>
      </c>
    </row>
    <row r="1345" spans="1:27" ht="17.45" customHeight="1">
      <c r="A1345" s="131" t="str">
        <f>IF(priority(Main[[#This Row],[Comments]])&lt;&gt;0, priority(Main[[#This Row],[Comments]]),"")</f>
        <v/>
      </c>
      <c r="B1345" s="99" t="s">
        <v>3310</v>
      </c>
      <c r="C1345" s="65" t="s">
        <v>4</v>
      </c>
      <c r="D1345" s="66" t="s">
        <v>3810</v>
      </c>
      <c r="E1345" s="67">
        <v>40933.494502314818</v>
      </c>
      <c r="F1345" s="67"/>
      <c r="G1345" s="64" t="str">
        <f>IF(stdProdLT(Main[[#This Row],[Comments]])=0.1,"N/A",IF(stdProdLT(Main[[#This Row],[Comments]])=0,"",stdProdLT(Main[[#This Row],[Comments]])))</f>
        <v/>
      </c>
      <c r="H1345" s="68" t="str">
        <f>IF(AND(Main[[#This Row],[In Stock Date]]&lt;&gt;"",Main[[#This Row],[Revised Due Date]]&lt;&gt;""),Main[[#This Row],[In Stock Date]]-Main[[#This Row],[Revised Due Date]],"")</f>
        <v/>
      </c>
      <c r="I1345" s="65" t="s">
        <v>69</v>
      </c>
      <c r="J1345" s="65" t="s">
        <v>70</v>
      </c>
      <c r="K1345" s="71" t="s">
        <v>1926</v>
      </c>
      <c r="L1345" s="67"/>
      <c r="M1345" s="69" t="str">
        <f>IF(Main[[#This Row],[Tech Start Date]]&lt;1/1/1990,"",IF(Main[[#This Row],[Class]]="C",WORKDAY(Main[[#This Row],[Tech Start Date]],9),IF(Main[[#This Row],[Class]]="B", WORKDAY(Main[[#This Row],[Tech Start Date]],6),IF(Main[[#This Row],[Class]]="A",WORKDAY(Main[[#This Row],[Tech Start Date]],2),""))))</f>
        <v/>
      </c>
      <c r="N1345" s="69" t="str">
        <f>IF(Main[[#This Row],[Tech Start Date]]&lt;1/1/1990,"",IF(Main[[#This Row],[Class]]="C",WORKDAY(Main[[#This Row],[Tech Start Date]],19),IF(Main[[#This Row],[Class]]="B", WORKDAY(Main[[#This Row],[Tech Start Date]],12),IF(Main[[#This Row],[Class]]="A",WORKDAY(Main[[#This Row],[Tech Start Date]],4),""))))</f>
        <v/>
      </c>
      <c r="O1345" s="69" t="str">
        <f>IF(Main[[#This Row],[Tech Start Date]]&lt;1/1/1990,"",IF(Main[[#This Row],[Class]]="C",WORKDAY(Main[[#This Row],[Tech Start Date]],23),IF(Main[[#This Row],[Class]]="B", WORKDAY(Main[[#This Row],[Tech Start Date]],15),IF(Main[[#This Row],[Class]]="A",WORKDAY(Main[[#This Row],[Tech Start Date]],5),""))))</f>
        <v/>
      </c>
      <c r="P1345" s="69" t="str">
        <f>IF(Main[[#This Row],[Tech Start Date]]&lt;1/1/1990,"",IF(Main[[#This Row],[Class]]="C",WORKDAY(Main[[#This Row],[Tech Start Date]],28),IF(Main[[#This Row],[Class]]="B", WORKDAY(Main[[#This Row],[Tech Start Date]],19),IF(Main[[#This Row],[Class]]="A",WORKDAY(Main[[#This Row],[Tech Start Date]],9),""))))</f>
        <v/>
      </c>
      <c r="Q1345" s="67">
        <v>40968</v>
      </c>
      <c r="R1345" s="67"/>
      <c r="S1345" s="65" t="s">
        <v>6</v>
      </c>
      <c r="T1345" s="70" t="s">
        <v>4</v>
      </c>
      <c r="U1345" s="65" t="s">
        <v>29</v>
      </c>
      <c r="V1345" s="65" t="s">
        <v>1920</v>
      </c>
      <c r="W1345" s="65" t="s">
        <v>1921</v>
      </c>
      <c r="X1345" s="65" t="s">
        <v>2824</v>
      </c>
      <c r="Y1345" s="65" t="s">
        <v>2935</v>
      </c>
      <c r="Z1345" s="65" t="s">
        <v>30</v>
      </c>
      <c r="AA1345" s="65" t="s">
        <v>2824</v>
      </c>
    </row>
    <row r="1346" spans="1:27" ht="17.45" customHeight="1">
      <c r="A1346" s="131" t="str">
        <f>IF(priority(Main[[#This Row],[Comments]])&lt;&gt;0, priority(Main[[#This Row],[Comments]]),"")</f>
        <v/>
      </c>
      <c r="B1346" s="99" t="s">
        <v>3586</v>
      </c>
      <c r="C1346" s="65" t="s">
        <v>4</v>
      </c>
      <c r="D1346" s="66" t="s">
        <v>3587</v>
      </c>
      <c r="E1346" s="67">
        <v>40952.380486111113</v>
      </c>
      <c r="F1346" s="67"/>
      <c r="G1346" s="64" t="str">
        <f>IF(stdProdLT(Main[[#This Row],[Comments]])=0.1,"N/A",IF(stdProdLT(Main[[#This Row],[Comments]])=0,"",stdProdLT(Main[[#This Row],[Comments]])))</f>
        <v/>
      </c>
      <c r="H1346" s="68" t="str">
        <f>IF(AND(Main[[#This Row],[In Stock Date]]&lt;&gt;"",Main[[#This Row],[Revised Due Date]]&lt;&gt;""),Main[[#This Row],[In Stock Date]]-Main[[#This Row],[Revised Due Date]],"")</f>
        <v/>
      </c>
      <c r="I1346" s="65" t="s">
        <v>4</v>
      </c>
      <c r="J1346" s="65" t="s">
        <v>4</v>
      </c>
      <c r="K1346" s="65" t="s">
        <v>4</v>
      </c>
      <c r="L1346" s="67"/>
      <c r="M1346" s="69" t="str">
        <f>IF(Main[[#This Row],[Tech Start Date]]&lt;1/1/1990,"",IF(Main[[#This Row],[Class]]="C",WORKDAY(Main[[#This Row],[Tech Start Date]],9),IF(Main[[#This Row],[Class]]="B", WORKDAY(Main[[#This Row],[Tech Start Date]],6),IF(Main[[#This Row],[Class]]="A",WORKDAY(Main[[#This Row],[Tech Start Date]],2),""))))</f>
        <v/>
      </c>
      <c r="N1346" s="69" t="str">
        <f>IF(Main[[#This Row],[Tech Start Date]]&lt;1/1/1990,"",IF(Main[[#This Row],[Class]]="C",WORKDAY(Main[[#This Row],[Tech Start Date]],19),IF(Main[[#This Row],[Class]]="B", WORKDAY(Main[[#This Row],[Tech Start Date]],12),IF(Main[[#This Row],[Class]]="A",WORKDAY(Main[[#This Row],[Tech Start Date]],4),""))))</f>
        <v/>
      </c>
      <c r="O1346" s="69" t="str">
        <f>IF(Main[[#This Row],[Tech Start Date]]&lt;1/1/1990,"",IF(Main[[#This Row],[Class]]="C",WORKDAY(Main[[#This Row],[Tech Start Date]],23),IF(Main[[#This Row],[Class]]="B", WORKDAY(Main[[#This Row],[Tech Start Date]],15),IF(Main[[#This Row],[Class]]="A",WORKDAY(Main[[#This Row],[Tech Start Date]],5),""))))</f>
        <v/>
      </c>
      <c r="P1346" s="69" t="str">
        <f>IF(Main[[#This Row],[Tech Start Date]]&lt;1/1/1990,"",IF(Main[[#This Row],[Class]]="C",WORKDAY(Main[[#This Row],[Tech Start Date]],28),IF(Main[[#This Row],[Class]]="B", WORKDAY(Main[[#This Row],[Tech Start Date]],19),IF(Main[[#This Row],[Class]]="A",WORKDAY(Main[[#This Row],[Tech Start Date]],9),""))))</f>
        <v/>
      </c>
      <c r="Q1346" s="67"/>
      <c r="R1346" s="67"/>
      <c r="S1346" s="65" t="s">
        <v>6</v>
      </c>
      <c r="T1346" s="70" t="s">
        <v>4</v>
      </c>
      <c r="U1346" s="65" t="s">
        <v>7</v>
      </c>
      <c r="V1346" s="65" t="s">
        <v>1917</v>
      </c>
      <c r="W1346" s="65" t="s">
        <v>4</v>
      </c>
      <c r="X1346" s="65" t="s">
        <v>2828</v>
      </c>
      <c r="Y1346" s="65" t="s">
        <v>2944</v>
      </c>
      <c r="Z1346" s="65" t="s">
        <v>4</v>
      </c>
      <c r="AA1346" s="65" t="s">
        <v>2828</v>
      </c>
    </row>
    <row r="1347" spans="1:27" ht="17.45" customHeight="1">
      <c r="A1347" s="131" t="str">
        <f>IF(priority(Main[[#This Row],[Comments]])&lt;&gt;0, priority(Main[[#This Row],[Comments]]),"")</f>
        <v/>
      </c>
      <c r="B1347" s="99" t="s">
        <v>3811</v>
      </c>
      <c r="C1347" s="65" t="s">
        <v>31</v>
      </c>
      <c r="D1347" s="66" t="s">
        <v>3812</v>
      </c>
      <c r="E1347" s="67">
        <v>40953.054039351853</v>
      </c>
      <c r="F1347" s="67">
        <v>40968</v>
      </c>
      <c r="G1347" s="64" t="str">
        <f>IF(stdProdLT(Main[[#This Row],[Comments]])=0.1,"N/A",IF(stdProdLT(Main[[#This Row],[Comments]])=0,"",stdProdLT(Main[[#This Row],[Comments]])))</f>
        <v/>
      </c>
      <c r="H1347" s="68" t="str">
        <f>IF(AND(Main[[#This Row],[In Stock Date]]&lt;&gt;"",Main[[#This Row],[Revised Due Date]]&lt;&gt;""),Main[[#This Row],[In Stock Date]]-Main[[#This Row],[Revised Due Date]],"")</f>
        <v/>
      </c>
      <c r="I1347" s="65" t="s">
        <v>4</v>
      </c>
      <c r="J1347" s="65" t="s">
        <v>4</v>
      </c>
      <c r="K1347" s="71" t="s">
        <v>4</v>
      </c>
      <c r="L1347" s="67"/>
      <c r="M1347" s="69" t="str">
        <f>IF(Main[[#This Row],[Tech Start Date]]&lt;1/1/1990,"",IF(Main[[#This Row],[Class]]="C",WORKDAY(Main[[#This Row],[Tech Start Date]],9),IF(Main[[#This Row],[Class]]="B", WORKDAY(Main[[#This Row],[Tech Start Date]],6),IF(Main[[#This Row],[Class]]="A",WORKDAY(Main[[#This Row],[Tech Start Date]],2),""))))</f>
        <v/>
      </c>
      <c r="N1347" s="69" t="str">
        <f>IF(Main[[#This Row],[Tech Start Date]]&lt;1/1/1990,"",IF(Main[[#This Row],[Class]]="C",WORKDAY(Main[[#This Row],[Tech Start Date]],19),IF(Main[[#This Row],[Class]]="B", WORKDAY(Main[[#This Row],[Tech Start Date]],12),IF(Main[[#This Row],[Class]]="A",WORKDAY(Main[[#This Row],[Tech Start Date]],4),""))))</f>
        <v/>
      </c>
      <c r="O1347" s="69" t="str">
        <f>IF(Main[[#This Row],[Tech Start Date]]&lt;1/1/1990,"",IF(Main[[#This Row],[Class]]="C",WORKDAY(Main[[#This Row],[Tech Start Date]],23),IF(Main[[#This Row],[Class]]="B", WORKDAY(Main[[#This Row],[Tech Start Date]],15),IF(Main[[#This Row],[Class]]="A",WORKDAY(Main[[#This Row],[Tech Start Date]],5),""))))</f>
        <v/>
      </c>
      <c r="P1347" s="69" t="str">
        <f>IF(Main[[#This Row],[Tech Start Date]]&lt;1/1/1990,"",IF(Main[[#This Row],[Class]]="C",WORKDAY(Main[[#This Row],[Tech Start Date]],28),IF(Main[[#This Row],[Class]]="B", WORKDAY(Main[[#This Row],[Tech Start Date]],19),IF(Main[[#This Row],[Class]]="A",WORKDAY(Main[[#This Row],[Tech Start Date]],9),""))))</f>
        <v/>
      </c>
      <c r="Q1347" s="67">
        <v>40967</v>
      </c>
      <c r="R1347" s="67"/>
      <c r="S1347" s="65" t="s">
        <v>11</v>
      </c>
      <c r="T1347" s="70" t="s">
        <v>4</v>
      </c>
      <c r="U1347" s="65" t="s">
        <v>7</v>
      </c>
      <c r="V1347" s="65" t="s">
        <v>1932</v>
      </c>
      <c r="W1347" s="65" t="s">
        <v>1922</v>
      </c>
      <c r="X1347" s="65" t="s">
        <v>2841</v>
      </c>
      <c r="Y1347" s="65" t="s">
        <v>4</v>
      </c>
      <c r="Z1347" s="65" t="s">
        <v>2214</v>
      </c>
      <c r="AA1347" s="65" t="s">
        <v>2841</v>
      </c>
    </row>
    <row r="1348" spans="1:27" ht="17.45" customHeight="1">
      <c r="A1348" s="131" t="str">
        <f>IF(priority(Main[[#This Row],[Comments]])&lt;&gt;0, priority(Main[[#This Row],[Comments]]),"")</f>
        <v/>
      </c>
      <c r="B1348" s="99" t="s">
        <v>2606</v>
      </c>
      <c r="C1348" s="65" t="s">
        <v>31</v>
      </c>
      <c r="D1348" s="66" t="s">
        <v>2607</v>
      </c>
      <c r="E1348" s="67"/>
      <c r="F1348" s="67">
        <v>40969</v>
      </c>
      <c r="G1348" s="64" t="str">
        <f>IF(stdProdLT(Main[[#This Row],[Comments]])=0.1,"N/A",IF(stdProdLT(Main[[#This Row],[Comments]])=0,"",stdProdLT(Main[[#This Row],[Comments]])))</f>
        <v/>
      </c>
      <c r="H1348" s="68" t="str">
        <f>IF(AND(Main[[#This Row],[In Stock Date]]&lt;&gt;"",Main[[#This Row],[Revised Due Date]]&lt;&gt;""),Main[[#This Row],[In Stock Date]]-Main[[#This Row],[Revised Due Date]],"")</f>
        <v/>
      </c>
      <c r="I1348" s="65" t="s">
        <v>4</v>
      </c>
      <c r="J1348" s="65" t="s">
        <v>4</v>
      </c>
      <c r="K1348" s="71" t="s">
        <v>4</v>
      </c>
      <c r="L1348" s="67"/>
      <c r="M1348" s="69" t="str">
        <f>IF(Main[[#This Row],[Tech Start Date]]&lt;1/1/1990,"",IF(Main[[#This Row],[Class]]="C",WORKDAY(Main[[#This Row],[Tech Start Date]],9),IF(Main[[#This Row],[Class]]="B", WORKDAY(Main[[#This Row],[Tech Start Date]],6),IF(Main[[#This Row],[Class]]="A",WORKDAY(Main[[#This Row],[Tech Start Date]],2),""))))</f>
        <v/>
      </c>
      <c r="N1348" s="69" t="str">
        <f>IF(Main[[#This Row],[Tech Start Date]]&lt;1/1/1990,"",IF(Main[[#This Row],[Class]]="C",WORKDAY(Main[[#This Row],[Tech Start Date]],19),IF(Main[[#This Row],[Class]]="B", WORKDAY(Main[[#This Row],[Tech Start Date]],12),IF(Main[[#This Row],[Class]]="A",WORKDAY(Main[[#This Row],[Tech Start Date]],4),""))))</f>
        <v/>
      </c>
      <c r="O1348" s="69" t="str">
        <f>IF(Main[[#This Row],[Tech Start Date]]&lt;1/1/1990,"",IF(Main[[#This Row],[Class]]="C",WORKDAY(Main[[#This Row],[Tech Start Date]],23),IF(Main[[#This Row],[Class]]="B", WORKDAY(Main[[#This Row],[Tech Start Date]],15),IF(Main[[#This Row],[Class]]="A",WORKDAY(Main[[#This Row],[Tech Start Date]],5),""))))</f>
        <v/>
      </c>
      <c r="P1348" s="69" t="str">
        <f>IF(Main[[#This Row],[Tech Start Date]]&lt;1/1/1990,"",IF(Main[[#This Row],[Class]]="C",WORKDAY(Main[[#This Row],[Tech Start Date]],28),IF(Main[[#This Row],[Class]]="B", WORKDAY(Main[[#This Row],[Tech Start Date]],19),IF(Main[[#This Row],[Class]]="A",WORKDAY(Main[[#This Row],[Tech Start Date]],9),""))))</f>
        <v/>
      </c>
      <c r="Q1348" s="67"/>
      <c r="R1348" s="67"/>
      <c r="S1348" s="65" t="s">
        <v>11</v>
      </c>
      <c r="T1348" s="70" t="s">
        <v>4</v>
      </c>
      <c r="U1348" s="65" t="s">
        <v>14</v>
      </c>
      <c r="V1348" s="65" t="s">
        <v>1917</v>
      </c>
      <c r="W1348" s="65" t="s">
        <v>1923</v>
      </c>
      <c r="X1348" s="65" t="s">
        <v>50</v>
      </c>
      <c r="Y1348" s="65" t="s">
        <v>3095</v>
      </c>
      <c r="Z1348" s="65" t="s">
        <v>4</v>
      </c>
      <c r="AA1348" s="65" t="s">
        <v>2846</v>
      </c>
    </row>
    <row r="1349" spans="1:27" ht="17.45" customHeight="1">
      <c r="A1349" s="131" t="str">
        <f>IF(priority(Main[[#This Row],[Comments]])&lt;&gt;0, priority(Main[[#This Row],[Comments]]),"")</f>
        <v/>
      </c>
      <c r="B1349" s="99" t="s">
        <v>3813</v>
      </c>
      <c r="C1349" s="65" t="s">
        <v>148</v>
      </c>
      <c r="D1349" s="66" t="s">
        <v>3814</v>
      </c>
      <c r="E1349" s="67">
        <v>40967.369837962964</v>
      </c>
      <c r="F1349" s="67">
        <v>41096</v>
      </c>
      <c r="G1349" s="64" t="str">
        <f>IF(stdProdLT(Main[[#This Row],[Comments]])=0.1,"N/A",IF(stdProdLT(Main[[#This Row],[Comments]])=0,"",stdProdLT(Main[[#This Row],[Comments]])))</f>
        <v/>
      </c>
      <c r="H1349" s="68" t="str">
        <f>IF(AND(Main[[#This Row],[In Stock Date]]&lt;&gt;"",Main[[#This Row],[Revised Due Date]]&lt;&gt;""),Main[[#This Row],[In Stock Date]]-Main[[#This Row],[Revised Due Date]],"")</f>
        <v/>
      </c>
      <c r="I1349" s="65" t="s">
        <v>4</v>
      </c>
      <c r="J1349" s="65" t="s">
        <v>4</v>
      </c>
      <c r="K1349" s="65" t="s">
        <v>4</v>
      </c>
      <c r="L1349" s="67"/>
      <c r="M1349" s="69" t="str">
        <f>IF(Main[[#This Row],[Tech Start Date]]&lt;1/1/1990,"",IF(Main[[#This Row],[Class]]="C",WORKDAY(Main[[#This Row],[Tech Start Date]],9),IF(Main[[#This Row],[Class]]="B", WORKDAY(Main[[#This Row],[Tech Start Date]],6),IF(Main[[#This Row],[Class]]="A",WORKDAY(Main[[#This Row],[Tech Start Date]],2),""))))</f>
        <v/>
      </c>
      <c r="N1349" s="69" t="str">
        <f>IF(Main[[#This Row],[Tech Start Date]]&lt;1/1/1990,"",IF(Main[[#This Row],[Class]]="C",WORKDAY(Main[[#This Row],[Tech Start Date]],19),IF(Main[[#This Row],[Class]]="B", WORKDAY(Main[[#This Row],[Tech Start Date]],12),IF(Main[[#This Row],[Class]]="A",WORKDAY(Main[[#This Row],[Tech Start Date]],4),""))))</f>
        <v/>
      </c>
      <c r="O1349" s="69" t="str">
        <f>IF(Main[[#This Row],[Tech Start Date]]&lt;1/1/1990,"",IF(Main[[#This Row],[Class]]="C",WORKDAY(Main[[#This Row],[Tech Start Date]],23),IF(Main[[#This Row],[Class]]="B", WORKDAY(Main[[#This Row],[Tech Start Date]],15),IF(Main[[#This Row],[Class]]="A",WORKDAY(Main[[#This Row],[Tech Start Date]],5),""))))</f>
        <v/>
      </c>
      <c r="P1349" s="69" t="str">
        <f>IF(Main[[#This Row],[Tech Start Date]]&lt;1/1/1990,"",IF(Main[[#This Row],[Class]]="C",WORKDAY(Main[[#This Row],[Tech Start Date]],28),IF(Main[[#This Row],[Class]]="B", WORKDAY(Main[[#This Row],[Tech Start Date]],19),IF(Main[[#This Row],[Class]]="A",WORKDAY(Main[[#This Row],[Tech Start Date]],9),""))))</f>
        <v/>
      </c>
      <c r="Q1349" s="67"/>
      <c r="R1349" s="67"/>
      <c r="S1349" s="65" t="s">
        <v>11</v>
      </c>
      <c r="T1349" s="70" t="s">
        <v>4</v>
      </c>
      <c r="U1349" s="65" t="s">
        <v>7</v>
      </c>
      <c r="V1349" s="65" t="s">
        <v>1920</v>
      </c>
      <c r="W1349" s="65" t="s">
        <v>1925</v>
      </c>
      <c r="X1349" s="65" t="s">
        <v>50</v>
      </c>
      <c r="Y1349" s="65" t="s">
        <v>3785</v>
      </c>
      <c r="Z1349" s="65" t="s">
        <v>4</v>
      </c>
      <c r="AA1349" s="65" t="s">
        <v>3784</v>
      </c>
    </row>
    <row r="1350" spans="1:27" ht="17.45" customHeight="1">
      <c r="A1350" s="131" t="str">
        <f>IF(priority(Main[[#This Row],[Comments]])&lt;&gt;0, priority(Main[[#This Row],[Comments]]),"")</f>
        <v/>
      </c>
      <c r="B1350" s="99" t="s">
        <v>1449</v>
      </c>
      <c r="C1350" s="65" t="s">
        <v>4</v>
      </c>
      <c r="D1350" s="66" t="s">
        <v>538</v>
      </c>
      <c r="E1350" s="67">
        <v>40626.477812500001</v>
      </c>
      <c r="F1350" s="67"/>
      <c r="G1350" s="64" t="str">
        <f>IF(stdProdLT(Main[[#This Row],[Comments]])=0.1,"N/A",IF(stdProdLT(Main[[#This Row],[Comments]])=0,"",stdProdLT(Main[[#This Row],[Comments]])))</f>
        <v/>
      </c>
      <c r="H1350" s="68" t="str">
        <f>IF(AND(Main[[#This Row],[In Stock Date]]&lt;&gt;"",Main[[#This Row],[Revised Due Date]]&lt;&gt;""),Main[[#This Row],[In Stock Date]]-Main[[#This Row],[Revised Due Date]],"")</f>
        <v/>
      </c>
      <c r="I1350" s="65" t="s">
        <v>4</v>
      </c>
      <c r="J1350" s="65" t="s">
        <v>52</v>
      </c>
      <c r="K1350" s="65" t="s">
        <v>1926</v>
      </c>
      <c r="L1350" s="67"/>
      <c r="M1350" s="69" t="str">
        <f>IF(Main[[#This Row],[Tech Start Date]]&lt;1/1/1990,"",IF(Main[[#This Row],[Class]]="C",WORKDAY(Main[[#This Row],[Tech Start Date]],9),IF(Main[[#This Row],[Class]]="B", WORKDAY(Main[[#This Row],[Tech Start Date]],6),IF(Main[[#This Row],[Class]]="A",WORKDAY(Main[[#This Row],[Tech Start Date]],2),""))))</f>
        <v/>
      </c>
      <c r="N1350" s="69" t="str">
        <f>IF(Main[[#This Row],[Tech Start Date]]&lt;1/1/1990,"",IF(Main[[#This Row],[Class]]="C",WORKDAY(Main[[#This Row],[Tech Start Date]],19),IF(Main[[#This Row],[Class]]="B", WORKDAY(Main[[#This Row],[Tech Start Date]],12),IF(Main[[#This Row],[Class]]="A",WORKDAY(Main[[#This Row],[Tech Start Date]],4),""))))</f>
        <v/>
      </c>
      <c r="O1350" s="69" t="str">
        <f>IF(Main[[#This Row],[Tech Start Date]]&lt;1/1/1990,"",IF(Main[[#This Row],[Class]]="C",WORKDAY(Main[[#This Row],[Tech Start Date]],23),IF(Main[[#This Row],[Class]]="B", WORKDAY(Main[[#This Row],[Tech Start Date]],15),IF(Main[[#This Row],[Class]]="A",WORKDAY(Main[[#This Row],[Tech Start Date]],5),""))))</f>
        <v/>
      </c>
      <c r="P1350" s="69" t="str">
        <f>IF(Main[[#This Row],[Tech Start Date]]&lt;1/1/1990,"",IF(Main[[#This Row],[Class]]="C",WORKDAY(Main[[#This Row],[Tech Start Date]],28),IF(Main[[#This Row],[Class]]="B", WORKDAY(Main[[#This Row],[Tech Start Date]],19),IF(Main[[#This Row],[Class]]="A",WORKDAY(Main[[#This Row],[Tech Start Date]],9),""))))</f>
        <v/>
      </c>
      <c r="Q1350" s="67"/>
      <c r="R1350" s="67"/>
      <c r="S1350" s="65" t="s">
        <v>6</v>
      </c>
      <c r="T1350" s="70" t="s">
        <v>4</v>
      </c>
      <c r="U1350" s="65" t="s">
        <v>29</v>
      </c>
      <c r="V1350" s="65" t="s">
        <v>1920</v>
      </c>
      <c r="W1350" s="65" t="s">
        <v>1921</v>
      </c>
      <c r="X1350" s="65" t="s">
        <v>74</v>
      </c>
      <c r="Y1350" s="65" t="s">
        <v>3037</v>
      </c>
      <c r="Z1350" s="65" t="s">
        <v>415</v>
      </c>
      <c r="AA1350" s="65" t="s">
        <v>74</v>
      </c>
    </row>
    <row r="1351" spans="1:27" ht="17.45" customHeight="1">
      <c r="A1351" s="131" t="str">
        <f>IF(priority(Main[[#This Row],[Comments]])&lt;&gt;0, priority(Main[[#This Row],[Comments]]),"")</f>
        <v/>
      </c>
      <c r="B1351" s="99" t="s">
        <v>1574</v>
      </c>
      <c r="C1351" s="65" t="s">
        <v>4</v>
      </c>
      <c r="D1351" s="66" t="s">
        <v>3815</v>
      </c>
      <c r="E1351" s="67">
        <v>40626.478437500002</v>
      </c>
      <c r="F1351" s="67"/>
      <c r="G1351" s="64" t="str">
        <f>IF(stdProdLT(Main[[#This Row],[Comments]])=0.1,"N/A",IF(stdProdLT(Main[[#This Row],[Comments]])=0,"",stdProdLT(Main[[#This Row],[Comments]])))</f>
        <v/>
      </c>
      <c r="H1351" s="68" t="str">
        <f>IF(AND(Main[[#This Row],[In Stock Date]]&lt;&gt;"",Main[[#This Row],[Revised Due Date]]&lt;&gt;""),Main[[#This Row],[In Stock Date]]-Main[[#This Row],[Revised Due Date]],"")</f>
        <v/>
      </c>
      <c r="I1351" s="65" t="s">
        <v>102</v>
      </c>
      <c r="J1351" s="65" t="s">
        <v>51</v>
      </c>
      <c r="K1351" s="65" t="s">
        <v>1926</v>
      </c>
      <c r="L1351" s="67"/>
      <c r="M1351" s="69" t="str">
        <f>IF(Main[[#This Row],[Tech Start Date]]&lt;1/1/1990,"",IF(Main[[#This Row],[Class]]="C",WORKDAY(Main[[#This Row],[Tech Start Date]],9),IF(Main[[#This Row],[Class]]="B", WORKDAY(Main[[#This Row],[Tech Start Date]],6),IF(Main[[#This Row],[Class]]="A",WORKDAY(Main[[#This Row],[Tech Start Date]],2),""))))</f>
        <v/>
      </c>
      <c r="N1351" s="69" t="str">
        <f>IF(Main[[#This Row],[Tech Start Date]]&lt;1/1/1990,"",IF(Main[[#This Row],[Class]]="C",WORKDAY(Main[[#This Row],[Tech Start Date]],19),IF(Main[[#This Row],[Class]]="B", WORKDAY(Main[[#This Row],[Tech Start Date]],12),IF(Main[[#This Row],[Class]]="A",WORKDAY(Main[[#This Row],[Tech Start Date]],4),""))))</f>
        <v/>
      </c>
      <c r="O1351" s="69" t="str">
        <f>IF(Main[[#This Row],[Tech Start Date]]&lt;1/1/1990,"",IF(Main[[#This Row],[Class]]="C",WORKDAY(Main[[#This Row],[Tech Start Date]],23),IF(Main[[#This Row],[Class]]="B", WORKDAY(Main[[#This Row],[Tech Start Date]],15),IF(Main[[#This Row],[Class]]="A",WORKDAY(Main[[#This Row],[Tech Start Date]],5),""))))</f>
        <v/>
      </c>
      <c r="P1351" s="69" t="str">
        <f>IF(Main[[#This Row],[Tech Start Date]]&lt;1/1/1990,"",IF(Main[[#This Row],[Class]]="C",WORKDAY(Main[[#This Row],[Tech Start Date]],28),IF(Main[[#This Row],[Class]]="B", WORKDAY(Main[[#This Row],[Tech Start Date]],19),IF(Main[[#This Row],[Class]]="A",WORKDAY(Main[[#This Row],[Tech Start Date]],9),""))))</f>
        <v/>
      </c>
      <c r="Q1351" s="67">
        <v>40999</v>
      </c>
      <c r="R1351" s="67"/>
      <c r="S1351" s="65" t="s">
        <v>6</v>
      </c>
      <c r="T1351" s="70" t="s">
        <v>4</v>
      </c>
      <c r="U1351" s="65" t="s">
        <v>29</v>
      </c>
      <c r="V1351" s="65" t="s">
        <v>1920</v>
      </c>
      <c r="W1351" s="65" t="s">
        <v>1921</v>
      </c>
      <c r="X1351" s="65" t="s">
        <v>74</v>
      </c>
      <c r="Y1351" s="65" t="s">
        <v>3037</v>
      </c>
      <c r="Z1351" s="65" t="s">
        <v>306</v>
      </c>
      <c r="AA1351" s="65" t="s">
        <v>74</v>
      </c>
    </row>
    <row r="1352" spans="1:27" ht="17.45" customHeight="1">
      <c r="A1352" s="131" t="str">
        <f>IF(priority(Main[[#This Row],[Comments]])&lt;&gt;0, priority(Main[[#This Row],[Comments]]),"")</f>
        <v/>
      </c>
      <c r="B1352" s="99" t="s">
        <v>1623</v>
      </c>
      <c r="C1352" s="65" t="s">
        <v>4</v>
      </c>
      <c r="D1352" s="66" t="s">
        <v>3816</v>
      </c>
      <c r="E1352" s="67">
        <v>40626.478958333333</v>
      </c>
      <c r="F1352" s="67"/>
      <c r="G1352" s="64" t="str">
        <f>IF(stdProdLT(Main[[#This Row],[Comments]])=0.1,"N/A",IF(stdProdLT(Main[[#This Row],[Comments]])=0,"",stdProdLT(Main[[#This Row],[Comments]])))</f>
        <v/>
      </c>
      <c r="H1352" s="68" t="str">
        <f>IF(AND(Main[[#This Row],[In Stock Date]]&lt;&gt;"",Main[[#This Row],[Revised Due Date]]&lt;&gt;""),Main[[#This Row],[In Stock Date]]-Main[[#This Row],[Revised Due Date]],"")</f>
        <v/>
      </c>
      <c r="I1352" s="65" t="s">
        <v>399</v>
      </c>
      <c r="J1352" s="65" t="s">
        <v>75</v>
      </c>
      <c r="K1352" s="71" t="s">
        <v>1926</v>
      </c>
      <c r="L1352" s="67"/>
      <c r="M1352" s="69" t="str">
        <f>IF(Main[[#This Row],[Tech Start Date]]&lt;1/1/1990,"",IF(Main[[#This Row],[Class]]="C",WORKDAY(Main[[#This Row],[Tech Start Date]],9),IF(Main[[#This Row],[Class]]="B", WORKDAY(Main[[#This Row],[Tech Start Date]],6),IF(Main[[#This Row],[Class]]="A",WORKDAY(Main[[#This Row],[Tech Start Date]],2),""))))</f>
        <v/>
      </c>
      <c r="N1352" s="69" t="str">
        <f>IF(Main[[#This Row],[Tech Start Date]]&lt;1/1/1990,"",IF(Main[[#This Row],[Class]]="C",WORKDAY(Main[[#This Row],[Tech Start Date]],19),IF(Main[[#This Row],[Class]]="B", WORKDAY(Main[[#This Row],[Tech Start Date]],12),IF(Main[[#This Row],[Class]]="A",WORKDAY(Main[[#This Row],[Tech Start Date]],4),""))))</f>
        <v/>
      </c>
      <c r="O1352" s="69" t="str">
        <f>IF(Main[[#This Row],[Tech Start Date]]&lt;1/1/1990,"",IF(Main[[#This Row],[Class]]="C",WORKDAY(Main[[#This Row],[Tech Start Date]],23),IF(Main[[#This Row],[Class]]="B", WORKDAY(Main[[#This Row],[Tech Start Date]],15),IF(Main[[#This Row],[Class]]="A",WORKDAY(Main[[#This Row],[Tech Start Date]],5),""))))</f>
        <v/>
      </c>
      <c r="P1352" s="69" t="str">
        <f>IF(Main[[#This Row],[Tech Start Date]]&lt;1/1/1990,"",IF(Main[[#This Row],[Class]]="C",WORKDAY(Main[[#This Row],[Tech Start Date]],28),IF(Main[[#This Row],[Class]]="B", WORKDAY(Main[[#This Row],[Tech Start Date]],19),IF(Main[[#This Row],[Class]]="A",WORKDAY(Main[[#This Row],[Tech Start Date]],9),""))))</f>
        <v/>
      </c>
      <c r="Q1352" s="67"/>
      <c r="R1352" s="67"/>
      <c r="S1352" s="65" t="s">
        <v>6</v>
      </c>
      <c r="T1352" s="70" t="s">
        <v>4</v>
      </c>
      <c r="U1352" s="65" t="s">
        <v>29</v>
      </c>
      <c r="V1352" s="65" t="s">
        <v>1920</v>
      </c>
      <c r="W1352" s="65" t="s">
        <v>1921</v>
      </c>
      <c r="X1352" s="65" t="s">
        <v>74</v>
      </c>
      <c r="Y1352" s="65" t="s">
        <v>3037</v>
      </c>
      <c r="Z1352" s="65" t="s">
        <v>415</v>
      </c>
      <c r="AA1352" s="65" t="s">
        <v>74</v>
      </c>
    </row>
    <row r="1353" spans="1:27" ht="17.45" customHeight="1">
      <c r="A1353" s="131" t="str">
        <f>IF(priority(Main[[#This Row],[Comments]])&lt;&gt;0, priority(Main[[#This Row],[Comments]]),"")</f>
        <v/>
      </c>
      <c r="B1353" s="99" t="s">
        <v>1594</v>
      </c>
      <c r="C1353" s="65" t="s">
        <v>4</v>
      </c>
      <c r="D1353" s="66" t="s">
        <v>3817</v>
      </c>
      <c r="E1353" s="67">
        <v>40352.416608796295</v>
      </c>
      <c r="F1353" s="67"/>
      <c r="G1353" s="64" t="str">
        <f>IF(stdProdLT(Main[[#This Row],[Comments]])=0.1,"N/A",IF(stdProdLT(Main[[#This Row],[Comments]])=0,"",stdProdLT(Main[[#This Row],[Comments]])))</f>
        <v/>
      </c>
      <c r="H1353" s="68" t="str">
        <f>IF(AND(Main[[#This Row],[In Stock Date]]&lt;&gt;"",Main[[#This Row],[Revised Due Date]]&lt;&gt;""),Main[[#This Row],[In Stock Date]]-Main[[#This Row],[Revised Due Date]],"")</f>
        <v/>
      </c>
      <c r="I1353" s="65" t="s">
        <v>710</v>
      </c>
      <c r="J1353" s="65" t="s">
        <v>28</v>
      </c>
      <c r="K1353" s="65" t="s">
        <v>1929</v>
      </c>
      <c r="L1353" s="67"/>
      <c r="M1353" s="69" t="str">
        <f>IF(Main[[#This Row],[Tech Start Date]]&lt;1/1/1990,"",IF(Main[[#This Row],[Class]]="C",WORKDAY(Main[[#This Row],[Tech Start Date]],9),IF(Main[[#This Row],[Class]]="B", WORKDAY(Main[[#This Row],[Tech Start Date]],6),IF(Main[[#This Row],[Class]]="A",WORKDAY(Main[[#This Row],[Tech Start Date]],2),""))))</f>
        <v/>
      </c>
      <c r="N1353" s="69" t="str">
        <f>IF(Main[[#This Row],[Tech Start Date]]&lt;1/1/1990,"",IF(Main[[#This Row],[Class]]="C",WORKDAY(Main[[#This Row],[Tech Start Date]],19),IF(Main[[#This Row],[Class]]="B", WORKDAY(Main[[#This Row],[Tech Start Date]],12),IF(Main[[#This Row],[Class]]="A",WORKDAY(Main[[#This Row],[Tech Start Date]],4),""))))</f>
        <v/>
      </c>
      <c r="O1353" s="69" t="str">
        <f>IF(Main[[#This Row],[Tech Start Date]]&lt;1/1/1990,"",IF(Main[[#This Row],[Class]]="C",WORKDAY(Main[[#This Row],[Tech Start Date]],23),IF(Main[[#This Row],[Class]]="B", WORKDAY(Main[[#This Row],[Tech Start Date]],15),IF(Main[[#This Row],[Class]]="A",WORKDAY(Main[[#This Row],[Tech Start Date]],5),""))))</f>
        <v/>
      </c>
      <c r="P1353" s="69" t="str">
        <f>IF(Main[[#This Row],[Tech Start Date]]&lt;1/1/1990,"",IF(Main[[#This Row],[Class]]="C",WORKDAY(Main[[#This Row],[Tech Start Date]],28),IF(Main[[#This Row],[Class]]="B", WORKDAY(Main[[#This Row],[Tech Start Date]],19),IF(Main[[#This Row],[Class]]="A",WORKDAY(Main[[#This Row],[Tech Start Date]],9),""))))</f>
        <v/>
      </c>
      <c r="Q1353" s="67">
        <v>40387</v>
      </c>
      <c r="R1353" s="67">
        <v>41011</v>
      </c>
      <c r="S1353" s="65" t="s">
        <v>17</v>
      </c>
      <c r="T1353" s="70" t="s">
        <v>2470</v>
      </c>
      <c r="U1353" s="65" t="s">
        <v>29</v>
      </c>
      <c r="V1353" s="65" t="s">
        <v>1917</v>
      </c>
      <c r="W1353" s="65" t="s">
        <v>1922</v>
      </c>
      <c r="X1353" s="65" t="s">
        <v>710</v>
      </c>
      <c r="Y1353" s="65" t="s">
        <v>2937</v>
      </c>
      <c r="Z1353" s="65" t="s">
        <v>129</v>
      </c>
      <c r="AA1353" s="65" t="s">
        <v>710</v>
      </c>
    </row>
    <row r="1354" spans="1:27" ht="17.45" customHeight="1">
      <c r="A1354" s="131" t="str">
        <f>IF(priority(Main[[#This Row],[Comments]])&lt;&gt;0, priority(Main[[#This Row],[Comments]]),"")</f>
        <v/>
      </c>
      <c r="B1354" s="99" t="s">
        <v>3818</v>
      </c>
      <c r="C1354" s="65" t="s">
        <v>4</v>
      </c>
      <c r="D1354" s="66" t="s">
        <v>3819</v>
      </c>
      <c r="E1354" s="67">
        <v>40967.485150462962</v>
      </c>
      <c r="F1354" s="67"/>
      <c r="G1354" s="64" t="str">
        <f>IF(stdProdLT(Main[[#This Row],[Comments]])=0.1,"N/A",IF(stdProdLT(Main[[#This Row],[Comments]])=0,"",stdProdLT(Main[[#This Row],[Comments]])))</f>
        <v/>
      </c>
      <c r="H1354" s="68" t="str">
        <f>IF(AND(Main[[#This Row],[In Stock Date]]&lt;&gt;"",Main[[#This Row],[Revised Due Date]]&lt;&gt;""),Main[[#This Row],[In Stock Date]]-Main[[#This Row],[Revised Due Date]],"")</f>
        <v/>
      </c>
      <c r="I1354" s="65" t="s">
        <v>2054</v>
      </c>
      <c r="J1354" s="65" t="s">
        <v>28</v>
      </c>
      <c r="K1354" s="65" t="s">
        <v>4</v>
      </c>
      <c r="L1354" s="67"/>
      <c r="M1354" s="69" t="str">
        <f>IF(Main[[#This Row],[Tech Start Date]]&lt;1/1/1990,"",IF(Main[[#This Row],[Class]]="C",WORKDAY(Main[[#This Row],[Tech Start Date]],9),IF(Main[[#This Row],[Class]]="B", WORKDAY(Main[[#This Row],[Tech Start Date]],6),IF(Main[[#This Row],[Class]]="A",WORKDAY(Main[[#This Row],[Tech Start Date]],2),""))))</f>
        <v/>
      </c>
      <c r="N1354" s="69" t="str">
        <f>IF(Main[[#This Row],[Tech Start Date]]&lt;1/1/1990,"",IF(Main[[#This Row],[Class]]="C",WORKDAY(Main[[#This Row],[Tech Start Date]],19),IF(Main[[#This Row],[Class]]="B", WORKDAY(Main[[#This Row],[Tech Start Date]],12),IF(Main[[#This Row],[Class]]="A",WORKDAY(Main[[#This Row],[Tech Start Date]],4),""))))</f>
        <v/>
      </c>
      <c r="O1354" s="69" t="str">
        <f>IF(Main[[#This Row],[Tech Start Date]]&lt;1/1/1990,"",IF(Main[[#This Row],[Class]]="C",WORKDAY(Main[[#This Row],[Tech Start Date]],23),IF(Main[[#This Row],[Class]]="B", WORKDAY(Main[[#This Row],[Tech Start Date]],15),IF(Main[[#This Row],[Class]]="A",WORKDAY(Main[[#This Row],[Tech Start Date]],5),""))))</f>
        <v/>
      </c>
      <c r="P1354" s="69" t="str">
        <f>IF(Main[[#This Row],[Tech Start Date]]&lt;1/1/1990,"",IF(Main[[#This Row],[Class]]="C",WORKDAY(Main[[#This Row],[Tech Start Date]],28),IF(Main[[#This Row],[Class]]="B", WORKDAY(Main[[#This Row],[Tech Start Date]],19),IF(Main[[#This Row],[Class]]="A",WORKDAY(Main[[#This Row],[Tech Start Date]],9),""))))</f>
        <v/>
      </c>
      <c r="Q1354" s="67">
        <v>40999</v>
      </c>
      <c r="R1354" s="67"/>
      <c r="S1354" s="65" t="s">
        <v>6</v>
      </c>
      <c r="T1354" s="70" t="s">
        <v>4</v>
      </c>
      <c r="U1354" s="65" t="s">
        <v>29</v>
      </c>
      <c r="V1354" s="65" t="s">
        <v>1920</v>
      </c>
      <c r="W1354" s="65" t="s">
        <v>1921</v>
      </c>
      <c r="X1354" s="65" t="s">
        <v>81</v>
      </c>
      <c r="Y1354" s="65" t="s">
        <v>2975</v>
      </c>
      <c r="Z1354" s="65" t="s">
        <v>81</v>
      </c>
      <c r="AA1354" s="65" t="s">
        <v>81</v>
      </c>
    </row>
    <row r="1355" spans="1:27" ht="17.45" customHeight="1">
      <c r="A1355" s="131" t="str">
        <f>IF(priority(Main[[#This Row],[Comments]])&lt;&gt;0, priority(Main[[#This Row],[Comments]]),"")</f>
        <v/>
      </c>
      <c r="B1355" s="99" t="s">
        <v>1897</v>
      </c>
      <c r="C1355" s="65" t="s">
        <v>4</v>
      </c>
      <c r="D1355" s="66" t="s">
        <v>3740</v>
      </c>
      <c r="E1355" s="67">
        <v>40203.692094907405</v>
      </c>
      <c r="F1355" s="67"/>
      <c r="G1355" s="64" t="str">
        <f>IF(stdProdLT(Main[[#This Row],[Comments]])=0.1,"N/A",IF(stdProdLT(Main[[#This Row],[Comments]])=0,"",stdProdLT(Main[[#This Row],[Comments]])))</f>
        <v/>
      </c>
      <c r="H1355" s="68" t="str">
        <f>IF(AND(Main[[#This Row],[In Stock Date]]&lt;&gt;"",Main[[#This Row],[Revised Due Date]]&lt;&gt;""),Main[[#This Row],[In Stock Date]]-Main[[#This Row],[Revised Due Date]],"")</f>
        <v/>
      </c>
      <c r="I1355" s="65" t="s">
        <v>888</v>
      </c>
      <c r="J1355" s="65" t="s">
        <v>28</v>
      </c>
      <c r="K1355" s="65" t="s">
        <v>1929</v>
      </c>
      <c r="L1355" s="67"/>
      <c r="M1355" s="69" t="str">
        <f>IF(Main[[#This Row],[Tech Start Date]]&lt;1/1/1990,"",IF(Main[[#This Row],[Class]]="C",WORKDAY(Main[[#This Row],[Tech Start Date]],9),IF(Main[[#This Row],[Class]]="B", WORKDAY(Main[[#This Row],[Tech Start Date]],6),IF(Main[[#This Row],[Class]]="A",WORKDAY(Main[[#This Row],[Tech Start Date]],2),""))))</f>
        <v/>
      </c>
      <c r="N1355" s="69" t="str">
        <f>IF(Main[[#This Row],[Tech Start Date]]&lt;1/1/1990,"",IF(Main[[#This Row],[Class]]="C",WORKDAY(Main[[#This Row],[Tech Start Date]],19),IF(Main[[#This Row],[Class]]="B", WORKDAY(Main[[#This Row],[Tech Start Date]],12),IF(Main[[#This Row],[Class]]="A",WORKDAY(Main[[#This Row],[Tech Start Date]],4),""))))</f>
        <v/>
      </c>
      <c r="O1355" s="69" t="str">
        <f>IF(Main[[#This Row],[Tech Start Date]]&lt;1/1/1990,"",IF(Main[[#This Row],[Class]]="C",WORKDAY(Main[[#This Row],[Tech Start Date]],23),IF(Main[[#This Row],[Class]]="B", WORKDAY(Main[[#This Row],[Tech Start Date]],15),IF(Main[[#This Row],[Class]]="A",WORKDAY(Main[[#This Row],[Tech Start Date]],5),""))))</f>
        <v/>
      </c>
      <c r="P1355" s="69" t="str">
        <f>IF(Main[[#This Row],[Tech Start Date]]&lt;1/1/1990,"",IF(Main[[#This Row],[Class]]="C",WORKDAY(Main[[#This Row],[Tech Start Date]],28),IF(Main[[#This Row],[Class]]="B", WORKDAY(Main[[#This Row],[Tech Start Date]],19),IF(Main[[#This Row],[Class]]="A",WORKDAY(Main[[#This Row],[Tech Start Date]],9),""))))</f>
        <v/>
      </c>
      <c r="Q1355" s="67">
        <v>40724</v>
      </c>
      <c r="R1355" s="67">
        <v>41152</v>
      </c>
      <c r="S1355" s="65" t="s">
        <v>17</v>
      </c>
      <c r="T1355" s="70" t="s">
        <v>2469</v>
      </c>
      <c r="U1355" s="65" t="s">
        <v>29</v>
      </c>
      <c r="V1355" s="65" t="s">
        <v>1917</v>
      </c>
      <c r="W1355" s="65" t="s">
        <v>1922</v>
      </c>
      <c r="X1355" s="65" t="s">
        <v>129</v>
      </c>
      <c r="Y1355" s="65" t="s">
        <v>2939</v>
      </c>
      <c r="Z1355" s="65" t="s">
        <v>129</v>
      </c>
      <c r="AA1355" s="65" t="s">
        <v>129</v>
      </c>
    </row>
    <row r="1356" spans="1:27" ht="17.45" customHeight="1">
      <c r="A1356" s="131" t="str">
        <f>IF(priority(Main[[#This Row],[Comments]])&lt;&gt;0, priority(Main[[#This Row],[Comments]]),"")</f>
        <v/>
      </c>
      <c r="B1356" s="99" t="s">
        <v>3275</v>
      </c>
      <c r="C1356" s="65" t="s">
        <v>4</v>
      </c>
      <c r="D1356" s="66" t="s">
        <v>3820</v>
      </c>
      <c r="E1356" s="67">
        <v>40934.394444444442</v>
      </c>
      <c r="F1356" s="67"/>
      <c r="G1356" s="64" t="str">
        <f>IF(stdProdLT(Main[[#This Row],[Comments]])=0.1,"N/A",IF(stdProdLT(Main[[#This Row],[Comments]])=0,"",stdProdLT(Main[[#This Row],[Comments]])))</f>
        <v/>
      </c>
      <c r="H1356" s="68" t="str">
        <f>IF(AND(Main[[#This Row],[In Stock Date]]&lt;&gt;"",Main[[#This Row],[Revised Due Date]]&lt;&gt;""),Main[[#This Row],[In Stock Date]]-Main[[#This Row],[Revised Due Date]],"")</f>
        <v/>
      </c>
      <c r="I1356" s="65" t="s">
        <v>69</v>
      </c>
      <c r="J1356" s="65" t="s">
        <v>70</v>
      </c>
      <c r="K1356" s="65" t="s">
        <v>1926</v>
      </c>
      <c r="L1356" s="67"/>
      <c r="M1356" s="69" t="str">
        <f>IF(Main[[#This Row],[Tech Start Date]]&lt;1/1/1990,"",IF(Main[[#This Row],[Class]]="C",WORKDAY(Main[[#This Row],[Tech Start Date]],9),IF(Main[[#This Row],[Class]]="B", WORKDAY(Main[[#This Row],[Tech Start Date]],6),IF(Main[[#This Row],[Class]]="A",WORKDAY(Main[[#This Row],[Tech Start Date]],2),""))))</f>
        <v/>
      </c>
      <c r="N1356" s="69" t="str">
        <f>IF(Main[[#This Row],[Tech Start Date]]&lt;1/1/1990,"",IF(Main[[#This Row],[Class]]="C",WORKDAY(Main[[#This Row],[Tech Start Date]],19),IF(Main[[#This Row],[Class]]="B", WORKDAY(Main[[#This Row],[Tech Start Date]],12),IF(Main[[#This Row],[Class]]="A",WORKDAY(Main[[#This Row],[Tech Start Date]],4),""))))</f>
        <v/>
      </c>
      <c r="O1356" s="69" t="str">
        <f>IF(Main[[#This Row],[Tech Start Date]]&lt;1/1/1990,"",IF(Main[[#This Row],[Class]]="C",WORKDAY(Main[[#This Row],[Tech Start Date]],23),IF(Main[[#This Row],[Class]]="B", WORKDAY(Main[[#This Row],[Tech Start Date]],15),IF(Main[[#This Row],[Class]]="A",WORKDAY(Main[[#This Row],[Tech Start Date]],5),""))))</f>
        <v/>
      </c>
      <c r="P1356" s="69" t="str">
        <f>IF(Main[[#This Row],[Tech Start Date]]&lt;1/1/1990,"",IF(Main[[#This Row],[Class]]="C",WORKDAY(Main[[#This Row],[Tech Start Date]],28),IF(Main[[#This Row],[Class]]="B", WORKDAY(Main[[#This Row],[Tech Start Date]],19),IF(Main[[#This Row],[Class]]="A",WORKDAY(Main[[#This Row],[Tech Start Date]],9),""))))</f>
        <v/>
      </c>
      <c r="Q1356" s="67">
        <v>40968</v>
      </c>
      <c r="R1356" s="67"/>
      <c r="S1356" s="65" t="s">
        <v>6</v>
      </c>
      <c r="T1356" s="70" t="s">
        <v>4</v>
      </c>
      <c r="U1356" s="65" t="s">
        <v>29</v>
      </c>
      <c r="V1356" s="65" t="s">
        <v>1920</v>
      </c>
      <c r="W1356" s="65" t="s">
        <v>1921</v>
      </c>
      <c r="X1356" s="65" t="s">
        <v>2824</v>
      </c>
      <c r="Y1356" s="65" t="s">
        <v>2935</v>
      </c>
      <c r="Z1356" s="65" t="s">
        <v>30</v>
      </c>
      <c r="AA1356" s="65" t="s">
        <v>2824</v>
      </c>
    </row>
    <row r="1357" spans="1:27" ht="17.45" customHeight="1">
      <c r="A1357" s="131" t="str">
        <f>IF(priority(Main[[#This Row],[Comments]])&lt;&gt;0, priority(Main[[#This Row],[Comments]]),"")</f>
        <v/>
      </c>
      <c r="B1357" s="99" t="s">
        <v>3566</v>
      </c>
      <c r="C1357" s="65" t="s">
        <v>4</v>
      </c>
      <c r="D1357" s="66" t="s">
        <v>3821</v>
      </c>
      <c r="E1357" s="67">
        <v>40949.616782407407</v>
      </c>
      <c r="F1357" s="67"/>
      <c r="G1357" s="64" t="str">
        <f>IF(stdProdLT(Main[[#This Row],[Comments]])=0.1,"N/A",IF(stdProdLT(Main[[#This Row],[Comments]])=0,"",stdProdLT(Main[[#This Row],[Comments]])))</f>
        <v/>
      </c>
      <c r="H1357" s="68" t="str">
        <f>IF(AND(Main[[#This Row],[In Stock Date]]&lt;&gt;"",Main[[#This Row],[Revised Due Date]]&lt;&gt;""),Main[[#This Row],[In Stock Date]]-Main[[#This Row],[Revised Due Date]],"")</f>
        <v/>
      </c>
      <c r="I1357" s="65" t="s">
        <v>4</v>
      </c>
      <c r="J1357" s="65" t="s">
        <v>4</v>
      </c>
      <c r="K1357" s="65" t="s">
        <v>4</v>
      </c>
      <c r="L1357" s="67"/>
      <c r="M1357" s="69" t="str">
        <f>IF(Main[[#This Row],[Tech Start Date]]&lt;1/1/1990,"",IF(Main[[#This Row],[Class]]="C",WORKDAY(Main[[#This Row],[Tech Start Date]],9),IF(Main[[#This Row],[Class]]="B", WORKDAY(Main[[#This Row],[Tech Start Date]],6),IF(Main[[#This Row],[Class]]="A",WORKDAY(Main[[#This Row],[Tech Start Date]],2),""))))</f>
        <v/>
      </c>
      <c r="N1357" s="69" t="str">
        <f>IF(Main[[#This Row],[Tech Start Date]]&lt;1/1/1990,"",IF(Main[[#This Row],[Class]]="C",WORKDAY(Main[[#This Row],[Tech Start Date]],19),IF(Main[[#This Row],[Class]]="B", WORKDAY(Main[[#This Row],[Tech Start Date]],12),IF(Main[[#This Row],[Class]]="A",WORKDAY(Main[[#This Row],[Tech Start Date]],4),""))))</f>
        <v/>
      </c>
      <c r="O1357" s="69" t="str">
        <f>IF(Main[[#This Row],[Tech Start Date]]&lt;1/1/1990,"",IF(Main[[#This Row],[Class]]="C",WORKDAY(Main[[#This Row],[Tech Start Date]],23),IF(Main[[#This Row],[Class]]="B", WORKDAY(Main[[#This Row],[Tech Start Date]],15),IF(Main[[#This Row],[Class]]="A",WORKDAY(Main[[#This Row],[Tech Start Date]],5),""))))</f>
        <v/>
      </c>
      <c r="P1357" s="69" t="str">
        <f>IF(Main[[#This Row],[Tech Start Date]]&lt;1/1/1990,"",IF(Main[[#This Row],[Class]]="C",WORKDAY(Main[[#This Row],[Tech Start Date]],28),IF(Main[[#This Row],[Class]]="B", WORKDAY(Main[[#This Row],[Tech Start Date]],19),IF(Main[[#This Row],[Class]]="A",WORKDAY(Main[[#This Row],[Tech Start Date]],9),""))))</f>
        <v/>
      </c>
      <c r="Q1357" s="67"/>
      <c r="R1357" s="67"/>
      <c r="S1357" s="65" t="s">
        <v>11</v>
      </c>
      <c r="T1357" s="70" t="s">
        <v>4</v>
      </c>
      <c r="U1357" s="65" t="s">
        <v>696</v>
      </c>
      <c r="V1357" s="65" t="s">
        <v>1917</v>
      </c>
      <c r="W1357" s="65" t="s">
        <v>1925</v>
      </c>
      <c r="X1357" s="65" t="s">
        <v>3483</v>
      </c>
      <c r="Y1357" s="65" t="s">
        <v>3498</v>
      </c>
      <c r="Z1357" s="65" t="s">
        <v>4</v>
      </c>
      <c r="AA1357" s="65" t="s">
        <v>3483</v>
      </c>
    </row>
    <row r="1358" spans="1:27" ht="17.45" customHeight="1">
      <c r="A1358" s="131" t="str">
        <f>IF(priority(Main[[#This Row],[Comments]])&lt;&gt;0, priority(Main[[#This Row],[Comments]]),"")</f>
        <v/>
      </c>
      <c r="B1358" s="99" t="s">
        <v>2555</v>
      </c>
      <c r="C1358" s="65" t="s">
        <v>2556</v>
      </c>
      <c r="D1358" s="66" t="s">
        <v>3822</v>
      </c>
      <c r="E1358" s="67">
        <v>40855.339328703703</v>
      </c>
      <c r="F1358" s="67">
        <v>40890</v>
      </c>
      <c r="G1358" s="64">
        <f>IF(stdProdLT(Main[[#This Row],[Comments]])=0.1,"N/A",IF(stdProdLT(Main[[#This Row],[Comments]])=0,"",stdProdLT(Main[[#This Row],[Comments]])))</f>
        <v>84</v>
      </c>
      <c r="H1358" s="68" t="str">
        <f>IF(AND(Main[[#This Row],[In Stock Date]]&lt;&gt;"",Main[[#This Row],[Revised Due Date]]&lt;&gt;""),Main[[#This Row],[In Stock Date]]-Main[[#This Row],[Revised Due Date]],"")</f>
        <v/>
      </c>
      <c r="I1358" s="65" t="s">
        <v>126</v>
      </c>
      <c r="J1358" s="65" t="s">
        <v>28</v>
      </c>
      <c r="K1358" s="65" t="s">
        <v>4</v>
      </c>
      <c r="L1358" s="67"/>
      <c r="M1358" s="69" t="str">
        <f>IF(Main[[#This Row],[Tech Start Date]]&lt;1/1/1990,"",IF(Main[[#This Row],[Class]]="C",WORKDAY(Main[[#This Row],[Tech Start Date]],9),IF(Main[[#This Row],[Class]]="B", WORKDAY(Main[[#This Row],[Tech Start Date]],6),IF(Main[[#This Row],[Class]]="A",WORKDAY(Main[[#This Row],[Tech Start Date]],2),""))))</f>
        <v/>
      </c>
      <c r="N1358" s="69" t="str">
        <f>IF(Main[[#This Row],[Tech Start Date]]&lt;1/1/1990,"",IF(Main[[#This Row],[Class]]="C",WORKDAY(Main[[#This Row],[Tech Start Date]],19),IF(Main[[#This Row],[Class]]="B", WORKDAY(Main[[#This Row],[Tech Start Date]],12),IF(Main[[#This Row],[Class]]="A",WORKDAY(Main[[#This Row],[Tech Start Date]],4),""))))</f>
        <v/>
      </c>
      <c r="O1358" s="69" t="str">
        <f>IF(Main[[#This Row],[Tech Start Date]]&lt;1/1/1990,"",IF(Main[[#This Row],[Class]]="C",WORKDAY(Main[[#This Row],[Tech Start Date]],23),IF(Main[[#This Row],[Class]]="B", WORKDAY(Main[[#This Row],[Tech Start Date]],15),IF(Main[[#This Row],[Class]]="A",WORKDAY(Main[[#This Row],[Tech Start Date]],5),""))))</f>
        <v/>
      </c>
      <c r="P1358" s="69" t="str">
        <f>IF(Main[[#This Row],[Tech Start Date]]&lt;1/1/1990,"",IF(Main[[#This Row],[Class]]="C",WORKDAY(Main[[#This Row],[Tech Start Date]],28),IF(Main[[#This Row],[Class]]="B", WORKDAY(Main[[#This Row],[Tech Start Date]],19),IF(Main[[#This Row],[Class]]="A",WORKDAY(Main[[#This Row],[Tech Start Date]],9),""))))</f>
        <v/>
      </c>
      <c r="Q1358" s="67">
        <v>40877</v>
      </c>
      <c r="R1358" s="67"/>
      <c r="S1358" s="65" t="s">
        <v>11</v>
      </c>
      <c r="T1358" s="70" t="s">
        <v>3823</v>
      </c>
      <c r="U1358" s="65" t="s">
        <v>534</v>
      </c>
      <c r="V1358" s="65" t="s">
        <v>1917</v>
      </c>
      <c r="W1358" s="65" t="s">
        <v>1931</v>
      </c>
      <c r="X1358" s="65" t="s">
        <v>2911</v>
      </c>
      <c r="Y1358" s="65" t="s">
        <v>3137</v>
      </c>
      <c r="Z1358" s="65" t="s">
        <v>4</v>
      </c>
      <c r="AA1358" s="65" t="s">
        <v>3476</v>
      </c>
    </row>
    <row r="1359" spans="1:27" ht="17.45" customHeight="1">
      <c r="A1359" s="131" t="str">
        <f>IF(priority(Main[[#This Row],[Comments]])&lt;&gt;0, priority(Main[[#This Row],[Comments]]),"")</f>
        <v/>
      </c>
      <c r="B1359" s="99" t="s">
        <v>1896</v>
      </c>
      <c r="C1359" s="65" t="s">
        <v>4</v>
      </c>
      <c r="D1359" s="66" t="s">
        <v>950</v>
      </c>
      <c r="E1359" s="67">
        <v>40112.566631944443</v>
      </c>
      <c r="F1359" s="67"/>
      <c r="G1359" s="64" t="str">
        <f>IF(stdProdLT(Main[[#This Row],[Comments]])=0.1,"N/A",IF(stdProdLT(Main[[#This Row],[Comments]])=0,"",stdProdLT(Main[[#This Row],[Comments]])))</f>
        <v/>
      </c>
      <c r="H1359" s="68" t="str">
        <f>IF(AND(Main[[#This Row],[In Stock Date]]&lt;&gt;"",Main[[#This Row],[Revised Due Date]]&lt;&gt;""),Main[[#This Row],[In Stock Date]]-Main[[#This Row],[Revised Due Date]],"")</f>
        <v/>
      </c>
      <c r="I1359" s="65" t="s">
        <v>900</v>
      </c>
      <c r="J1359" s="65" t="s">
        <v>4</v>
      </c>
      <c r="K1359" s="65" t="s">
        <v>1929</v>
      </c>
      <c r="L1359" s="67"/>
      <c r="M1359" s="69" t="str">
        <f>IF(Main[[#This Row],[Tech Start Date]]&lt;1/1/1990,"",IF(Main[[#This Row],[Class]]="C",WORKDAY(Main[[#This Row],[Tech Start Date]],9),IF(Main[[#This Row],[Class]]="B", WORKDAY(Main[[#This Row],[Tech Start Date]],6),IF(Main[[#This Row],[Class]]="A",WORKDAY(Main[[#This Row],[Tech Start Date]],2),""))))</f>
        <v/>
      </c>
      <c r="N1359" s="69" t="str">
        <f>IF(Main[[#This Row],[Tech Start Date]]&lt;1/1/1990,"",IF(Main[[#This Row],[Class]]="C",WORKDAY(Main[[#This Row],[Tech Start Date]],19),IF(Main[[#This Row],[Class]]="B", WORKDAY(Main[[#This Row],[Tech Start Date]],12),IF(Main[[#This Row],[Class]]="A",WORKDAY(Main[[#This Row],[Tech Start Date]],4),""))))</f>
        <v/>
      </c>
      <c r="O1359" s="69" t="str">
        <f>IF(Main[[#This Row],[Tech Start Date]]&lt;1/1/1990,"",IF(Main[[#This Row],[Class]]="C",WORKDAY(Main[[#This Row],[Tech Start Date]],23),IF(Main[[#This Row],[Class]]="B", WORKDAY(Main[[#This Row],[Tech Start Date]],15),IF(Main[[#This Row],[Class]]="A",WORKDAY(Main[[#This Row],[Tech Start Date]],5),""))))</f>
        <v/>
      </c>
      <c r="P1359" s="69" t="str">
        <f>IF(Main[[#This Row],[Tech Start Date]]&lt;1/1/1990,"",IF(Main[[#This Row],[Class]]="C",WORKDAY(Main[[#This Row],[Tech Start Date]],28),IF(Main[[#This Row],[Class]]="B", WORKDAY(Main[[#This Row],[Tech Start Date]],19),IF(Main[[#This Row],[Class]]="A",WORKDAY(Main[[#This Row],[Tech Start Date]],9),""))))</f>
        <v/>
      </c>
      <c r="Q1359" s="67">
        <v>40564</v>
      </c>
      <c r="R1359" s="67">
        <v>41264</v>
      </c>
      <c r="S1359" s="65" t="s">
        <v>17</v>
      </c>
      <c r="T1359" s="70" t="s">
        <v>4</v>
      </c>
      <c r="U1359" s="65" t="s">
        <v>29</v>
      </c>
      <c r="V1359" s="65" t="s">
        <v>1920</v>
      </c>
      <c r="W1359" s="65" t="s">
        <v>1922</v>
      </c>
      <c r="X1359" s="65" t="s">
        <v>970</v>
      </c>
      <c r="Y1359" s="65" t="s">
        <v>3121</v>
      </c>
      <c r="Z1359" s="65" t="s">
        <v>415</v>
      </c>
      <c r="AA1359" s="65" t="s">
        <v>970</v>
      </c>
    </row>
    <row r="1360" spans="1:27" ht="17.45" customHeight="1">
      <c r="A1360" s="131" t="str">
        <f>IF(priority(Main[[#This Row],[Comments]])&lt;&gt;0, priority(Main[[#This Row],[Comments]]),"")</f>
        <v/>
      </c>
      <c r="B1360" s="99" t="s">
        <v>2610</v>
      </c>
      <c r="C1360" s="65" t="s">
        <v>2359</v>
      </c>
      <c r="D1360" s="66" t="s">
        <v>2360</v>
      </c>
      <c r="E1360" s="67"/>
      <c r="F1360" s="67">
        <v>41036</v>
      </c>
      <c r="G1360" s="64" t="str">
        <f>IF(stdProdLT(Main[[#This Row],[Comments]])=0.1,"N/A",IF(stdProdLT(Main[[#This Row],[Comments]])=0,"",stdProdLT(Main[[#This Row],[Comments]])))</f>
        <v/>
      </c>
      <c r="H1360" s="68" t="str">
        <f>IF(AND(Main[[#This Row],[In Stock Date]]&lt;&gt;"",Main[[#This Row],[Revised Due Date]]&lt;&gt;""),Main[[#This Row],[In Stock Date]]-Main[[#This Row],[Revised Due Date]],"")</f>
        <v/>
      </c>
      <c r="I1360" s="65" t="s">
        <v>4</v>
      </c>
      <c r="J1360" s="65" t="s">
        <v>4</v>
      </c>
      <c r="K1360" s="71" t="s">
        <v>4</v>
      </c>
      <c r="L1360" s="67"/>
      <c r="M1360" s="69" t="str">
        <f>IF(Main[[#This Row],[Tech Start Date]]&lt;1/1/1990,"",IF(Main[[#This Row],[Class]]="C",WORKDAY(Main[[#This Row],[Tech Start Date]],9),IF(Main[[#This Row],[Class]]="B", WORKDAY(Main[[#This Row],[Tech Start Date]],6),IF(Main[[#This Row],[Class]]="A",WORKDAY(Main[[#This Row],[Tech Start Date]],2),""))))</f>
        <v/>
      </c>
      <c r="N1360" s="69" t="str">
        <f>IF(Main[[#This Row],[Tech Start Date]]&lt;1/1/1990,"",IF(Main[[#This Row],[Class]]="C",WORKDAY(Main[[#This Row],[Tech Start Date]],19),IF(Main[[#This Row],[Class]]="B", WORKDAY(Main[[#This Row],[Tech Start Date]],12),IF(Main[[#This Row],[Class]]="A",WORKDAY(Main[[#This Row],[Tech Start Date]],4),""))))</f>
        <v/>
      </c>
      <c r="O1360" s="69" t="str">
        <f>IF(Main[[#This Row],[Tech Start Date]]&lt;1/1/1990,"",IF(Main[[#This Row],[Class]]="C",WORKDAY(Main[[#This Row],[Tech Start Date]],23),IF(Main[[#This Row],[Class]]="B", WORKDAY(Main[[#This Row],[Tech Start Date]],15),IF(Main[[#This Row],[Class]]="A",WORKDAY(Main[[#This Row],[Tech Start Date]],5),""))))</f>
        <v/>
      </c>
      <c r="P1360" s="69" t="str">
        <f>IF(Main[[#This Row],[Tech Start Date]]&lt;1/1/1990,"",IF(Main[[#This Row],[Class]]="C",WORKDAY(Main[[#This Row],[Tech Start Date]],28),IF(Main[[#This Row],[Class]]="B", WORKDAY(Main[[#This Row],[Tech Start Date]],19),IF(Main[[#This Row],[Class]]="A",WORKDAY(Main[[#This Row],[Tech Start Date]],9),""))))</f>
        <v/>
      </c>
      <c r="Q1360" s="67">
        <v>40854</v>
      </c>
      <c r="R1360" s="67"/>
      <c r="S1360" s="65" t="s">
        <v>11</v>
      </c>
      <c r="T1360" s="70" t="s">
        <v>4</v>
      </c>
      <c r="U1360" s="65" t="s">
        <v>12</v>
      </c>
      <c r="V1360" s="65" t="s">
        <v>1920</v>
      </c>
      <c r="W1360" s="65" t="s">
        <v>1923</v>
      </c>
      <c r="X1360" s="65" t="s">
        <v>2849</v>
      </c>
      <c r="Y1360" s="65" t="s">
        <v>4</v>
      </c>
      <c r="Z1360" s="65" t="s">
        <v>4</v>
      </c>
      <c r="AA1360" s="65" t="s">
        <v>2849</v>
      </c>
    </row>
    <row r="1361" spans="1:27" ht="17.45" customHeight="1">
      <c r="A1361" s="131" t="str">
        <f>IF(priority(Main[[#This Row],[Comments]])&lt;&gt;0, priority(Main[[#This Row],[Comments]]),"")</f>
        <v/>
      </c>
      <c r="B1361" s="99" t="s">
        <v>2249</v>
      </c>
      <c r="C1361" s="65" t="s">
        <v>2250</v>
      </c>
      <c r="D1361" s="66" t="s">
        <v>2251</v>
      </c>
      <c r="E1361" s="67"/>
      <c r="F1361" s="67"/>
      <c r="G1361" s="64" t="str">
        <f>IF(stdProdLT(Main[[#This Row],[Comments]])=0.1,"N/A",IF(stdProdLT(Main[[#This Row],[Comments]])=0,"",stdProdLT(Main[[#This Row],[Comments]])))</f>
        <v/>
      </c>
      <c r="H1361" s="68" t="str">
        <f>IF(AND(Main[[#This Row],[In Stock Date]]&lt;&gt;"",Main[[#This Row],[Revised Due Date]]&lt;&gt;""),Main[[#This Row],[In Stock Date]]-Main[[#This Row],[Revised Due Date]],"")</f>
        <v/>
      </c>
      <c r="I1361" s="65" t="s">
        <v>2209</v>
      </c>
      <c r="J1361" s="65" t="s">
        <v>4</v>
      </c>
      <c r="K1361" s="65" t="s">
        <v>1926</v>
      </c>
      <c r="L1361" s="67">
        <v>37622</v>
      </c>
      <c r="M1361" s="69">
        <f>IF(Main[[#This Row],[Tech Start Date]]&lt;1/1/1990,"",IF(Main[[#This Row],[Class]]="C",WORKDAY(Main[[#This Row],[Tech Start Date]],9),IF(Main[[#This Row],[Class]]="B", WORKDAY(Main[[#This Row],[Tech Start Date]],6),IF(Main[[#This Row],[Class]]="A",WORKDAY(Main[[#This Row],[Tech Start Date]],2),""))))</f>
        <v>37624</v>
      </c>
      <c r="N1361" s="69">
        <f>IF(Main[[#This Row],[Tech Start Date]]&lt;1/1/1990,"",IF(Main[[#This Row],[Class]]="C",WORKDAY(Main[[#This Row],[Tech Start Date]],19),IF(Main[[#This Row],[Class]]="B", WORKDAY(Main[[#This Row],[Tech Start Date]],12),IF(Main[[#This Row],[Class]]="A",WORKDAY(Main[[#This Row],[Tech Start Date]],4),""))))</f>
        <v>37628</v>
      </c>
      <c r="O1361" s="69">
        <f>IF(Main[[#This Row],[Tech Start Date]]&lt;1/1/1990,"",IF(Main[[#This Row],[Class]]="C",WORKDAY(Main[[#This Row],[Tech Start Date]],23),IF(Main[[#This Row],[Class]]="B", WORKDAY(Main[[#This Row],[Tech Start Date]],15),IF(Main[[#This Row],[Class]]="A",WORKDAY(Main[[#This Row],[Tech Start Date]],5),""))))</f>
        <v>37629</v>
      </c>
      <c r="P1361" s="69">
        <f>IF(Main[[#This Row],[Tech Start Date]]&lt;1/1/1990,"",IF(Main[[#This Row],[Class]]="C",WORKDAY(Main[[#This Row],[Tech Start Date]],28),IF(Main[[#This Row],[Class]]="B", WORKDAY(Main[[#This Row],[Tech Start Date]],19),IF(Main[[#This Row],[Class]]="A",WORKDAY(Main[[#This Row],[Tech Start Date]],9),""))))</f>
        <v>37635</v>
      </c>
      <c r="Q1361" s="67"/>
      <c r="R1361" s="67">
        <v>37623</v>
      </c>
      <c r="S1361" s="65" t="s">
        <v>11</v>
      </c>
      <c r="T1361" s="70" t="s">
        <v>4</v>
      </c>
      <c r="U1361" s="65" t="s">
        <v>14</v>
      </c>
      <c r="V1361" s="65" t="s">
        <v>1932</v>
      </c>
      <c r="W1361" s="65" t="s">
        <v>1925</v>
      </c>
      <c r="X1361" s="65" t="s">
        <v>2920</v>
      </c>
      <c r="Y1361" s="65" t="s">
        <v>3147</v>
      </c>
      <c r="Z1361" s="65" t="s">
        <v>4</v>
      </c>
      <c r="AA1361" s="65" t="s">
        <v>3481</v>
      </c>
    </row>
    <row r="1362" spans="1:27" ht="17.45" customHeight="1">
      <c r="A1362" s="131" t="str">
        <f>IF(priority(Main[[#This Row],[Comments]])&lt;&gt;0, priority(Main[[#This Row],[Comments]]),"")</f>
        <v/>
      </c>
      <c r="B1362" s="99" t="s">
        <v>2287</v>
      </c>
      <c r="C1362" s="65" t="s">
        <v>2207</v>
      </c>
      <c r="D1362" s="66" t="s">
        <v>2208</v>
      </c>
      <c r="E1362" s="67">
        <v>40813.570081018515</v>
      </c>
      <c r="F1362" s="67"/>
      <c r="G1362" s="64" t="str">
        <f>IF(stdProdLT(Main[[#This Row],[Comments]])=0.1,"N/A",IF(stdProdLT(Main[[#This Row],[Comments]])=0,"",stdProdLT(Main[[#This Row],[Comments]])))</f>
        <v/>
      </c>
      <c r="H1362" s="68" t="str">
        <f>IF(AND(Main[[#This Row],[In Stock Date]]&lt;&gt;"",Main[[#This Row],[Revised Due Date]]&lt;&gt;""),Main[[#This Row],[In Stock Date]]-Main[[#This Row],[Revised Due Date]],"")</f>
        <v/>
      </c>
      <c r="I1362" s="65" t="s">
        <v>2209</v>
      </c>
      <c r="J1362" s="65" t="s">
        <v>4</v>
      </c>
      <c r="K1362" s="71" t="s">
        <v>1926</v>
      </c>
      <c r="L1362" s="67">
        <v>37622</v>
      </c>
      <c r="M1362" s="69">
        <f>IF(Main[[#This Row],[Tech Start Date]]&lt;1/1/1990,"",IF(Main[[#This Row],[Class]]="C",WORKDAY(Main[[#This Row],[Tech Start Date]],9),IF(Main[[#This Row],[Class]]="B", WORKDAY(Main[[#This Row],[Tech Start Date]],6),IF(Main[[#This Row],[Class]]="A",WORKDAY(Main[[#This Row],[Tech Start Date]],2),""))))</f>
        <v>37624</v>
      </c>
      <c r="N1362" s="69">
        <f>IF(Main[[#This Row],[Tech Start Date]]&lt;1/1/1990,"",IF(Main[[#This Row],[Class]]="C",WORKDAY(Main[[#This Row],[Tech Start Date]],19),IF(Main[[#This Row],[Class]]="B", WORKDAY(Main[[#This Row],[Tech Start Date]],12),IF(Main[[#This Row],[Class]]="A",WORKDAY(Main[[#This Row],[Tech Start Date]],4),""))))</f>
        <v>37628</v>
      </c>
      <c r="O1362" s="69">
        <f>IF(Main[[#This Row],[Tech Start Date]]&lt;1/1/1990,"",IF(Main[[#This Row],[Class]]="C",WORKDAY(Main[[#This Row],[Tech Start Date]],23),IF(Main[[#This Row],[Class]]="B", WORKDAY(Main[[#This Row],[Tech Start Date]],15),IF(Main[[#This Row],[Class]]="A",WORKDAY(Main[[#This Row],[Tech Start Date]],5),""))))</f>
        <v>37629</v>
      </c>
      <c r="P1362" s="69">
        <f>IF(Main[[#This Row],[Tech Start Date]]&lt;1/1/1990,"",IF(Main[[#This Row],[Class]]="C",WORKDAY(Main[[#This Row],[Tech Start Date]],28),IF(Main[[#This Row],[Class]]="B", WORKDAY(Main[[#This Row],[Tech Start Date]],19),IF(Main[[#This Row],[Class]]="A",WORKDAY(Main[[#This Row],[Tech Start Date]],9),""))))</f>
        <v>37635</v>
      </c>
      <c r="Q1362" s="67"/>
      <c r="R1362" s="67">
        <v>37623</v>
      </c>
      <c r="S1362" s="65" t="s">
        <v>11</v>
      </c>
      <c r="T1362" s="70" t="s">
        <v>4</v>
      </c>
      <c r="U1362" s="65" t="s">
        <v>29</v>
      </c>
      <c r="V1362" s="65" t="s">
        <v>2288</v>
      </c>
      <c r="W1362" s="65" t="s">
        <v>1925</v>
      </c>
      <c r="X1362" s="65" t="s">
        <v>2209</v>
      </c>
      <c r="Y1362" s="65" t="s">
        <v>3147</v>
      </c>
      <c r="Z1362" s="65" t="s">
        <v>4</v>
      </c>
      <c r="AA1362" s="65" t="s">
        <v>3481</v>
      </c>
    </row>
    <row r="1363" spans="1:27" ht="17.45" customHeight="1">
      <c r="A1363" s="131" t="str">
        <f>IF(priority(Main[[#This Row],[Comments]])&lt;&gt;0, priority(Main[[#This Row],[Comments]]),"")</f>
        <v/>
      </c>
      <c r="B1363" s="99" t="s">
        <v>2248</v>
      </c>
      <c r="C1363" s="65" t="s">
        <v>2207</v>
      </c>
      <c r="D1363" s="66" t="s">
        <v>2208</v>
      </c>
      <c r="E1363" s="67"/>
      <c r="F1363" s="67"/>
      <c r="G1363" s="64" t="str">
        <f>IF(stdProdLT(Main[[#This Row],[Comments]])=0.1,"N/A",IF(stdProdLT(Main[[#This Row],[Comments]])=0,"",stdProdLT(Main[[#This Row],[Comments]])))</f>
        <v/>
      </c>
      <c r="H1363" s="68" t="str">
        <f>IF(AND(Main[[#This Row],[In Stock Date]]&lt;&gt;"",Main[[#This Row],[Revised Due Date]]&lt;&gt;""),Main[[#This Row],[In Stock Date]]-Main[[#This Row],[Revised Due Date]],"")</f>
        <v/>
      </c>
      <c r="I1363" s="65" t="s">
        <v>2209</v>
      </c>
      <c r="J1363" s="65" t="s">
        <v>4</v>
      </c>
      <c r="K1363" s="65" t="s">
        <v>1926</v>
      </c>
      <c r="L1363" s="67">
        <v>37622</v>
      </c>
      <c r="M1363" s="69">
        <f>IF(Main[[#This Row],[Tech Start Date]]&lt;1/1/1990,"",IF(Main[[#This Row],[Class]]="C",WORKDAY(Main[[#This Row],[Tech Start Date]],9),IF(Main[[#This Row],[Class]]="B", WORKDAY(Main[[#This Row],[Tech Start Date]],6),IF(Main[[#This Row],[Class]]="A",WORKDAY(Main[[#This Row],[Tech Start Date]],2),""))))</f>
        <v>37624</v>
      </c>
      <c r="N1363" s="69">
        <f>IF(Main[[#This Row],[Tech Start Date]]&lt;1/1/1990,"",IF(Main[[#This Row],[Class]]="C",WORKDAY(Main[[#This Row],[Tech Start Date]],19),IF(Main[[#This Row],[Class]]="B", WORKDAY(Main[[#This Row],[Tech Start Date]],12),IF(Main[[#This Row],[Class]]="A",WORKDAY(Main[[#This Row],[Tech Start Date]],4),""))))</f>
        <v>37628</v>
      </c>
      <c r="O1363" s="69">
        <f>IF(Main[[#This Row],[Tech Start Date]]&lt;1/1/1990,"",IF(Main[[#This Row],[Class]]="C",WORKDAY(Main[[#This Row],[Tech Start Date]],23),IF(Main[[#This Row],[Class]]="B", WORKDAY(Main[[#This Row],[Tech Start Date]],15),IF(Main[[#This Row],[Class]]="A",WORKDAY(Main[[#This Row],[Tech Start Date]],5),""))))</f>
        <v>37629</v>
      </c>
      <c r="P1363" s="69">
        <f>IF(Main[[#This Row],[Tech Start Date]]&lt;1/1/1990,"",IF(Main[[#This Row],[Class]]="C",WORKDAY(Main[[#This Row],[Tech Start Date]],28),IF(Main[[#This Row],[Class]]="B", WORKDAY(Main[[#This Row],[Tech Start Date]],19),IF(Main[[#This Row],[Class]]="A",WORKDAY(Main[[#This Row],[Tech Start Date]],9),""))))</f>
        <v>37635</v>
      </c>
      <c r="Q1363" s="67"/>
      <c r="R1363" s="67">
        <v>37623</v>
      </c>
      <c r="S1363" s="65" t="s">
        <v>11</v>
      </c>
      <c r="T1363" s="70" t="s">
        <v>4</v>
      </c>
      <c r="U1363" s="65" t="s">
        <v>14</v>
      </c>
      <c r="V1363" s="65" t="s">
        <v>1932</v>
      </c>
      <c r="W1363" s="65" t="s">
        <v>1925</v>
      </c>
      <c r="X1363" s="65" t="s">
        <v>2209</v>
      </c>
      <c r="Y1363" s="65" t="s">
        <v>3147</v>
      </c>
      <c r="Z1363" s="65" t="s">
        <v>4</v>
      </c>
      <c r="AA1363" s="65" t="s">
        <v>3481</v>
      </c>
    </row>
    <row r="1364" spans="1:27" ht="17.45" customHeight="1">
      <c r="A1364" s="131" t="str">
        <f>IF(priority(Main[[#This Row],[Comments]])&lt;&gt;0, priority(Main[[#This Row],[Comments]]),"")</f>
        <v/>
      </c>
      <c r="B1364" s="99" t="s">
        <v>2206</v>
      </c>
      <c r="C1364" s="65" t="s">
        <v>2207</v>
      </c>
      <c r="D1364" s="66" t="s">
        <v>2208</v>
      </c>
      <c r="E1364" s="67"/>
      <c r="F1364" s="67"/>
      <c r="G1364" s="64" t="str">
        <f>IF(stdProdLT(Main[[#This Row],[Comments]])=0.1,"N/A",IF(stdProdLT(Main[[#This Row],[Comments]])=0,"",stdProdLT(Main[[#This Row],[Comments]])))</f>
        <v/>
      </c>
      <c r="H1364" s="68" t="str">
        <f>IF(AND(Main[[#This Row],[In Stock Date]]&lt;&gt;"",Main[[#This Row],[Revised Due Date]]&lt;&gt;""),Main[[#This Row],[In Stock Date]]-Main[[#This Row],[Revised Due Date]],"")</f>
        <v/>
      </c>
      <c r="I1364" s="65" t="s">
        <v>2209</v>
      </c>
      <c r="J1364" s="65" t="s">
        <v>4</v>
      </c>
      <c r="K1364" s="71" t="s">
        <v>1926</v>
      </c>
      <c r="L1364" s="67">
        <v>37622</v>
      </c>
      <c r="M1364" s="69">
        <f>IF(Main[[#This Row],[Tech Start Date]]&lt;1/1/1990,"",IF(Main[[#This Row],[Class]]="C",WORKDAY(Main[[#This Row],[Tech Start Date]],9),IF(Main[[#This Row],[Class]]="B", WORKDAY(Main[[#This Row],[Tech Start Date]],6),IF(Main[[#This Row],[Class]]="A",WORKDAY(Main[[#This Row],[Tech Start Date]],2),""))))</f>
        <v>37624</v>
      </c>
      <c r="N1364" s="69">
        <f>IF(Main[[#This Row],[Tech Start Date]]&lt;1/1/1990,"",IF(Main[[#This Row],[Class]]="C",WORKDAY(Main[[#This Row],[Tech Start Date]],19),IF(Main[[#This Row],[Class]]="B", WORKDAY(Main[[#This Row],[Tech Start Date]],12),IF(Main[[#This Row],[Class]]="A",WORKDAY(Main[[#This Row],[Tech Start Date]],4),""))))</f>
        <v>37628</v>
      </c>
      <c r="O1364" s="69">
        <f>IF(Main[[#This Row],[Tech Start Date]]&lt;1/1/1990,"",IF(Main[[#This Row],[Class]]="C",WORKDAY(Main[[#This Row],[Tech Start Date]],23),IF(Main[[#This Row],[Class]]="B", WORKDAY(Main[[#This Row],[Tech Start Date]],15),IF(Main[[#This Row],[Class]]="A",WORKDAY(Main[[#This Row],[Tech Start Date]],5),""))))</f>
        <v>37629</v>
      </c>
      <c r="P1364" s="69">
        <f>IF(Main[[#This Row],[Tech Start Date]]&lt;1/1/1990,"",IF(Main[[#This Row],[Class]]="C",WORKDAY(Main[[#This Row],[Tech Start Date]],28),IF(Main[[#This Row],[Class]]="B", WORKDAY(Main[[#This Row],[Tech Start Date]],19),IF(Main[[#This Row],[Class]]="A",WORKDAY(Main[[#This Row],[Tech Start Date]],9),""))))</f>
        <v>37635</v>
      </c>
      <c r="Q1364" s="67"/>
      <c r="R1364" s="67">
        <v>37623</v>
      </c>
      <c r="S1364" s="65" t="s">
        <v>11</v>
      </c>
      <c r="T1364" s="70" t="s">
        <v>4</v>
      </c>
      <c r="U1364" s="65" t="s">
        <v>14</v>
      </c>
      <c r="V1364" s="65" t="s">
        <v>1932</v>
      </c>
      <c r="W1364" s="65" t="s">
        <v>1925</v>
      </c>
      <c r="X1364" s="65" t="s">
        <v>2209</v>
      </c>
      <c r="Y1364" s="65" t="s">
        <v>3147</v>
      </c>
      <c r="Z1364" s="65" t="s">
        <v>4</v>
      </c>
      <c r="AA1364" s="65" t="s">
        <v>3481</v>
      </c>
    </row>
    <row r="1365" spans="1:27" ht="17.45" customHeight="1">
      <c r="A1365" s="131" t="str">
        <f>IF(priority(Main[[#This Row],[Comments]])&lt;&gt;0, priority(Main[[#This Row],[Comments]]),"")</f>
        <v/>
      </c>
      <c r="B1365" s="99" t="s">
        <v>1813</v>
      </c>
      <c r="C1365" s="65" t="s">
        <v>857</v>
      </c>
      <c r="D1365" s="66" t="s">
        <v>861</v>
      </c>
      <c r="E1365" s="67">
        <v>40085.252314814818</v>
      </c>
      <c r="F1365" s="67">
        <v>40421</v>
      </c>
      <c r="G1365" s="64" t="str">
        <f>IF(stdProdLT(Main[[#This Row],[Comments]])=0.1,"N/A",IF(stdProdLT(Main[[#This Row],[Comments]])=0,"",stdProdLT(Main[[#This Row],[Comments]])))</f>
        <v/>
      </c>
      <c r="H1365" s="68">
        <f>IF(AND(Main[[#This Row],[In Stock Date]]&lt;&gt;"",Main[[#This Row],[Revised Due Date]]&lt;&gt;""),Main[[#This Row],[In Stock Date]]-Main[[#This Row],[Revised Due Date]],"")</f>
        <v>193</v>
      </c>
      <c r="I1365" s="65" t="s">
        <v>854</v>
      </c>
      <c r="J1365" s="65" t="s">
        <v>4</v>
      </c>
      <c r="K1365" s="65" t="s">
        <v>1929</v>
      </c>
      <c r="L1365" s="67">
        <v>40091</v>
      </c>
      <c r="M1365" s="69" t="str">
        <f>IF(Main[[#This Row],[Tech Start Date]]&lt;1/1/1990,"",IF(Main[[#This Row],[Class]]="C",WORKDAY(Main[[#This Row],[Tech Start Date]],9),IF(Main[[#This Row],[Class]]="B", WORKDAY(Main[[#This Row],[Tech Start Date]],6),IF(Main[[#This Row],[Class]]="A",WORKDAY(Main[[#This Row],[Tech Start Date]],2),""))))</f>
        <v/>
      </c>
      <c r="N1365" s="69" t="str">
        <f>IF(Main[[#This Row],[Tech Start Date]]&lt;1/1/1990,"",IF(Main[[#This Row],[Class]]="C",WORKDAY(Main[[#This Row],[Tech Start Date]],19),IF(Main[[#This Row],[Class]]="B", WORKDAY(Main[[#This Row],[Tech Start Date]],12),IF(Main[[#This Row],[Class]]="A",WORKDAY(Main[[#This Row],[Tech Start Date]],4),""))))</f>
        <v/>
      </c>
      <c r="O1365" s="69" t="str">
        <f>IF(Main[[#This Row],[Tech Start Date]]&lt;1/1/1990,"",IF(Main[[#This Row],[Class]]="C",WORKDAY(Main[[#This Row],[Tech Start Date]],23),IF(Main[[#This Row],[Class]]="B", WORKDAY(Main[[#This Row],[Tech Start Date]],15),IF(Main[[#This Row],[Class]]="A",WORKDAY(Main[[#This Row],[Tech Start Date]],5),""))))</f>
        <v/>
      </c>
      <c r="P1365" s="69" t="str">
        <f>IF(Main[[#This Row],[Tech Start Date]]&lt;1/1/1990,"",IF(Main[[#This Row],[Class]]="C",WORKDAY(Main[[#This Row],[Tech Start Date]],28),IF(Main[[#This Row],[Class]]="B", WORKDAY(Main[[#This Row],[Tech Start Date]],19),IF(Main[[#This Row],[Class]]="A",WORKDAY(Main[[#This Row],[Tech Start Date]],9),""))))</f>
        <v/>
      </c>
      <c r="Q1365" s="67">
        <v>40239</v>
      </c>
      <c r="R1365" s="67">
        <v>40228</v>
      </c>
      <c r="S1365" s="65" t="s">
        <v>17</v>
      </c>
      <c r="T1365" s="70" t="s">
        <v>4</v>
      </c>
      <c r="U1365" s="65" t="s">
        <v>29</v>
      </c>
      <c r="V1365" s="65" t="s">
        <v>1920</v>
      </c>
      <c r="W1365" s="65" t="s">
        <v>1922</v>
      </c>
      <c r="X1365" s="65" t="s">
        <v>2921</v>
      </c>
      <c r="Y1365" s="65" t="s">
        <v>4</v>
      </c>
      <c r="Z1365" s="65" t="s">
        <v>854</v>
      </c>
      <c r="AA1365" s="65" t="s">
        <v>2921</v>
      </c>
    </row>
    <row r="1366" spans="1:27" ht="17.45" customHeight="1">
      <c r="A1366" s="131" t="str">
        <f>IF(priority(Main[[#This Row],[Comments]])&lt;&gt;0, priority(Main[[#This Row],[Comments]]),"")</f>
        <v/>
      </c>
      <c r="B1366" s="99" t="s">
        <v>1806</v>
      </c>
      <c r="C1366" s="65" t="s">
        <v>93</v>
      </c>
      <c r="D1366" s="66" t="s">
        <v>852</v>
      </c>
      <c r="E1366" s="67"/>
      <c r="F1366" s="67">
        <v>40238</v>
      </c>
      <c r="G1366" s="64" t="str">
        <f>IF(stdProdLT(Main[[#This Row],[Comments]])=0.1,"N/A",IF(stdProdLT(Main[[#This Row],[Comments]])=0,"",stdProdLT(Main[[#This Row],[Comments]])))</f>
        <v/>
      </c>
      <c r="H1366" s="68">
        <f>IF(AND(Main[[#This Row],[In Stock Date]]&lt;&gt;"",Main[[#This Row],[Revised Due Date]]&lt;&gt;""),Main[[#This Row],[In Stock Date]]-Main[[#This Row],[Revised Due Date]],"")</f>
        <v>81</v>
      </c>
      <c r="I1366" s="65" t="s">
        <v>44</v>
      </c>
      <c r="J1366" s="65" t="s">
        <v>4</v>
      </c>
      <c r="K1366" s="65" t="s">
        <v>4</v>
      </c>
      <c r="L1366" s="67">
        <v>40127</v>
      </c>
      <c r="M1366" s="69" t="str">
        <f>IF(Main[[#This Row],[Tech Start Date]]&lt;1/1/1990,"",IF(Main[[#This Row],[Class]]="C",WORKDAY(Main[[#This Row],[Tech Start Date]],9),IF(Main[[#This Row],[Class]]="B", WORKDAY(Main[[#This Row],[Tech Start Date]],6),IF(Main[[#This Row],[Class]]="A",WORKDAY(Main[[#This Row],[Tech Start Date]],2),""))))</f>
        <v/>
      </c>
      <c r="N1366" s="69" t="str">
        <f>IF(Main[[#This Row],[Tech Start Date]]&lt;1/1/1990,"",IF(Main[[#This Row],[Class]]="C",WORKDAY(Main[[#This Row],[Tech Start Date]],19),IF(Main[[#This Row],[Class]]="B", WORKDAY(Main[[#This Row],[Tech Start Date]],12),IF(Main[[#This Row],[Class]]="A",WORKDAY(Main[[#This Row],[Tech Start Date]],4),""))))</f>
        <v/>
      </c>
      <c r="O1366" s="69" t="str">
        <f>IF(Main[[#This Row],[Tech Start Date]]&lt;1/1/1990,"",IF(Main[[#This Row],[Class]]="C",WORKDAY(Main[[#This Row],[Tech Start Date]],23),IF(Main[[#This Row],[Class]]="B", WORKDAY(Main[[#This Row],[Tech Start Date]],15),IF(Main[[#This Row],[Class]]="A",WORKDAY(Main[[#This Row],[Tech Start Date]],5),""))))</f>
        <v/>
      </c>
      <c r="P1366" s="69" t="str">
        <f>IF(Main[[#This Row],[Tech Start Date]]&lt;1/1/1990,"",IF(Main[[#This Row],[Class]]="C",WORKDAY(Main[[#This Row],[Tech Start Date]],28),IF(Main[[#This Row],[Class]]="B", WORKDAY(Main[[#This Row],[Tech Start Date]],19),IF(Main[[#This Row],[Class]]="A",WORKDAY(Main[[#This Row],[Tech Start Date]],9),""))))</f>
        <v/>
      </c>
      <c r="Q1366" s="67">
        <v>40223</v>
      </c>
      <c r="R1366" s="67">
        <v>40157</v>
      </c>
      <c r="S1366" s="65" t="s">
        <v>11</v>
      </c>
      <c r="T1366" s="70" t="s">
        <v>4</v>
      </c>
      <c r="U1366" s="65" t="s">
        <v>14</v>
      </c>
      <c r="V1366" s="65" t="s">
        <v>1927</v>
      </c>
      <c r="W1366" s="65" t="s">
        <v>1928</v>
      </c>
      <c r="X1366" s="65" t="s">
        <v>2851</v>
      </c>
      <c r="Y1366" s="65" t="s">
        <v>4</v>
      </c>
      <c r="Z1366" s="65" t="s">
        <v>4</v>
      </c>
      <c r="AA1366" s="65" t="s">
        <v>2851</v>
      </c>
    </row>
    <row r="1367" spans="1:27" ht="17.45" customHeight="1">
      <c r="A1367" s="131" t="str">
        <f>IF(priority(Main[[#This Row],[Comments]])&lt;&gt;0, priority(Main[[#This Row],[Comments]]),"")</f>
        <v/>
      </c>
      <c r="B1367" s="99" t="s">
        <v>1183</v>
      </c>
      <c r="C1367" s="65" t="s">
        <v>4</v>
      </c>
      <c r="D1367" s="66" t="s">
        <v>238</v>
      </c>
      <c r="E1367" s="67"/>
      <c r="F1367" s="67"/>
      <c r="G1367" s="64" t="str">
        <f>IF(stdProdLT(Main[[#This Row],[Comments]])=0.1,"N/A",IF(stdProdLT(Main[[#This Row],[Comments]])=0,"",stdProdLT(Main[[#This Row],[Comments]])))</f>
        <v/>
      </c>
      <c r="H1367" s="68" t="str">
        <f>IF(AND(Main[[#This Row],[In Stock Date]]&lt;&gt;"",Main[[#This Row],[Revised Due Date]]&lt;&gt;""),Main[[#This Row],[In Stock Date]]-Main[[#This Row],[Revised Due Date]],"")</f>
        <v/>
      </c>
      <c r="I1367" s="65" t="s">
        <v>239</v>
      </c>
      <c r="J1367" s="65" t="s">
        <v>4</v>
      </c>
      <c r="K1367" s="65" t="s">
        <v>4</v>
      </c>
      <c r="L1367" s="67">
        <v>40134</v>
      </c>
      <c r="M1367" s="69" t="str">
        <f>IF(Main[[#This Row],[Tech Start Date]]&lt;1/1/1990,"",IF(Main[[#This Row],[Class]]="C",WORKDAY(Main[[#This Row],[Tech Start Date]],9),IF(Main[[#This Row],[Class]]="B", WORKDAY(Main[[#This Row],[Tech Start Date]],6),IF(Main[[#This Row],[Class]]="A",WORKDAY(Main[[#This Row],[Tech Start Date]],2),""))))</f>
        <v/>
      </c>
      <c r="N1367" s="69" t="str">
        <f>IF(Main[[#This Row],[Tech Start Date]]&lt;1/1/1990,"",IF(Main[[#This Row],[Class]]="C",WORKDAY(Main[[#This Row],[Tech Start Date]],19),IF(Main[[#This Row],[Class]]="B", WORKDAY(Main[[#This Row],[Tech Start Date]],12),IF(Main[[#This Row],[Class]]="A",WORKDAY(Main[[#This Row],[Tech Start Date]],4),""))))</f>
        <v/>
      </c>
      <c r="O1367" s="69" t="str">
        <f>IF(Main[[#This Row],[Tech Start Date]]&lt;1/1/1990,"",IF(Main[[#This Row],[Class]]="C",WORKDAY(Main[[#This Row],[Tech Start Date]],23),IF(Main[[#This Row],[Class]]="B", WORKDAY(Main[[#This Row],[Tech Start Date]],15),IF(Main[[#This Row],[Class]]="A",WORKDAY(Main[[#This Row],[Tech Start Date]],5),""))))</f>
        <v/>
      </c>
      <c r="P1367" s="69" t="str">
        <f>IF(Main[[#This Row],[Tech Start Date]]&lt;1/1/1990,"",IF(Main[[#This Row],[Class]]="C",WORKDAY(Main[[#This Row],[Tech Start Date]],28),IF(Main[[#This Row],[Class]]="B", WORKDAY(Main[[#This Row],[Tech Start Date]],19),IF(Main[[#This Row],[Class]]="A",WORKDAY(Main[[#This Row],[Tech Start Date]],9),""))))</f>
        <v/>
      </c>
      <c r="Q1367" s="67"/>
      <c r="R1367" s="67"/>
      <c r="S1367" s="65" t="s">
        <v>6</v>
      </c>
      <c r="T1367" s="70" t="s">
        <v>4</v>
      </c>
      <c r="U1367" s="65" t="s">
        <v>14</v>
      </c>
      <c r="V1367" s="65" t="s">
        <v>1920</v>
      </c>
      <c r="W1367" s="65" t="s">
        <v>4</v>
      </c>
      <c r="X1367" s="65" t="s">
        <v>2828</v>
      </c>
      <c r="Y1367" s="65" t="s">
        <v>3148</v>
      </c>
      <c r="Z1367" s="65" t="s">
        <v>4</v>
      </c>
      <c r="AA1367" s="65" t="s">
        <v>2828</v>
      </c>
    </row>
    <row r="1368" spans="1:27" ht="17.45" customHeight="1">
      <c r="A1368" s="131" t="str">
        <f>IF(priority(Main[[#This Row],[Comments]])&lt;&gt;0, priority(Main[[#This Row],[Comments]]),"")</f>
        <v/>
      </c>
      <c r="B1368" s="99" t="s">
        <v>1852</v>
      </c>
      <c r="C1368" s="65" t="s">
        <v>859</v>
      </c>
      <c r="D1368" s="66" t="s">
        <v>907</v>
      </c>
      <c r="E1368" s="67"/>
      <c r="F1368" s="67">
        <v>40305</v>
      </c>
      <c r="G1368" s="64" t="str">
        <f>IF(stdProdLT(Main[[#This Row],[Comments]])=0.1,"N/A",IF(stdProdLT(Main[[#This Row],[Comments]])=0,"",stdProdLT(Main[[#This Row],[Comments]])))</f>
        <v/>
      </c>
      <c r="H1368" s="68">
        <f>IF(AND(Main[[#This Row],[In Stock Date]]&lt;&gt;"",Main[[#This Row],[Revised Due Date]]&lt;&gt;""),Main[[#This Row],[In Stock Date]]-Main[[#This Row],[Revised Due Date]],"")</f>
        <v>-226</v>
      </c>
      <c r="I1368" s="65" t="s">
        <v>431</v>
      </c>
      <c r="J1368" s="65" t="s">
        <v>4</v>
      </c>
      <c r="K1368" s="65" t="s">
        <v>1924</v>
      </c>
      <c r="L1368" s="67">
        <v>40162</v>
      </c>
      <c r="M1368" s="69">
        <f>IF(Main[[#This Row],[Tech Start Date]]&lt;1/1/1990,"",IF(Main[[#This Row],[Class]]="C",WORKDAY(Main[[#This Row],[Tech Start Date]],9),IF(Main[[#This Row],[Class]]="B", WORKDAY(Main[[#This Row],[Tech Start Date]],6),IF(Main[[#This Row],[Class]]="A",WORKDAY(Main[[#This Row],[Tech Start Date]],2),""))))</f>
        <v>40170</v>
      </c>
      <c r="N1368" s="69">
        <f>IF(Main[[#This Row],[Tech Start Date]]&lt;1/1/1990,"",IF(Main[[#This Row],[Class]]="C",WORKDAY(Main[[#This Row],[Tech Start Date]],19),IF(Main[[#This Row],[Class]]="B", WORKDAY(Main[[#This Row],[Tech Start Date]],12),IF(Main[[#This Row],[Class]]="A",WORKDAY(Main[[#This Row],[Tech Start Date]],4),""))))</f>
        <v>40178</v>
      </c>
      <c r="O1368" s="69">
        <f>IF(Main[[#This Row],[Tech Start Date]]&lt;1/1/1990,"",IF(Main[[#This Row],[Class]]="C",WORKDAY(Main[[#This Row],[Tech Start Date]],23),IF(Main[[#This Row],[Class]]="B", WORKDAY(Main[[#This Row],[Tech Start Date]],15),IF(Main[[#This Row],[Class]]="A",WORKDAY(Main[[#This Row],[Tech Start Date]],5),""))))</f>
        <v>40183</v>
      </c>
      <c r="P1368" s="69">
        <f>IF(Main[[#This Row],[Tech Start Date]]&lt;1/1/1990,"",IF(Main[[#This Row],[Class]]="C",WORKDAY(Main[[#This Row],[Tech Start Date]],28),IF(Main[[#This Row],[Class]]="B", WORKDAY(Main[[#This Row],[Tech Start Date]],19),IF(Main[[#This Row],[Class]]="A",WORKDAY(Main[[#This Row],[Tech Start Date]],9),""))))</f>
        <v>40189</v>
      </c>
      <c r="Q1368" s="67">
        <v>40531</v>
      </c>
      <c r="R1368" s="67">
        <v>40531</v>
      </c>
      <c r="S1368" s="65" t="s">
        <v>11</v>
      </c>
      <c r="T1368" s="70" t="s">
        <v>4</v>
      </c>
      <c r="U1368" s="65" t="s">
        <v>14</v>
      </c>
      <c r="V1368" s="65" t="s">
        <v>1920</v>
      </c>
      <c r="W1368" s="65" t="s">
        <v>1925</v>
      </c>
      <c r="X1368" s="65" t="s">
        <v>2922</v>
      </c>
      <c r="Y1368" s="65" t="s">
        <v>4</v>
      </c>
      <c r="Z1368" s="65" t="s">
        <v>4</v>
      </c>
      <c r="AA1368" s="65" t="s">
        <v>2922</v>
      </c>
    </row>
    <row r="1369" spans="1:27" ht="17.45" customHeight="1">
      <c r="A1369" s="131" t="str">
        <f>IF(priority(Main[[#This Row],[Comments]])&lt;&gt;0, priority(Main[[#This Row],[Comments]]),"")</f>
        <v/>
      </c>
      <c r="B1369" s="99" t="s">
        <v>1810</v>
      </c>
      <c r="C1369" s="65" t="s">
        <v>31</v>
      </c>
      <c r="D1369" s="66" t="s">
        <v>856</v>
      </c>
      <c r="E1369" s="67"/>
      <c r="F1369" s="67">
        <v>40192</v>
      </c>
      <c r="G1369" s="64" t="str">
        <f>IF(stdProdLT(Main[[#This Row],[Comments]])=0.1,"N/A",IF(stdProdLT(Main[[#This Row],[Comments]])=0,"",stdProdLT(Main[[#This Row],[Comments]])))</f>
        <v/>
      </c>
      <c r="H1369" s="68">
        <f>IF(AND(Main[[#This Row],[In Stock Date]]&lt;&gt;"",Main[[#This Row],[Revised Due Date]]&lt;&gt;""),Main[[#This Row],[In Stock Date]]-Main[[#This Row],[Revised Due Date]],"")</f>
        <v>0</v>
      </c>
      <c r="I1369" s="65" t="s">
        <v>767</v>
      </c>
      <c r="J1369" s="65" t="s">
        <v>4</v>
      </c>
      <c r="K1369" s="65" t="s">
        <v>4</v>
      </c>
      <c r="L1369" s="67">
        <v>40163</v>
      </c>
      <c r="M1369" s="69" t="str">
        <f>IF(Main[[#This Row],[Tech Start Date]]&lt;1/1/1990,"",IF(Main[[#This Row],[Class]]="C",WORKDAY(Main[[#This Row],[Tech Start Date]],9),IF(Main[[#This Row],[Class]]="B", WORKDAY(Main[[#This Row],[Tech Start Date]],6),IF(Main[[#This Row],[Class]]="A",WORKDAY(Main[[#This Row],[Tech Start Date]],2),""))))</f>
        <v/>
      </c>
      <c r="N1369" s="69" t="str">
        <f>IF(Main[[#This Row],[Tech Start Date]]&lt;1/1/1990,"",IF(Main[[#This Row],[Class]]="C",WORKDAY(Main[[#This Row],[Tech Start Date]],19),IF(Main[[#This Row],[Class]]="B", WORKDAY(Main[[#This Row],[Tech Start Date]],12),IF(Main[[#This Row],[Class]]="A",WORKDAY(Main[[#This Row],[Tech Start Date]],4),""))))</f>
        <v/>
      </c>
      <c r="O1369" s="69" t="str">
        <f>IF(Main[[#This Row],[Tech Start Date]]&lt;1/1/1990,"",IF(Main[[#This Row],[Class]]="C",WORKDAY(Main[[#This Row],[Tech Start Date]],23),IF(Main[[#This Row],[Class]]="B", WORKDAY(Main[[#This Row],[Tech Start Date]],15),IF(Main[[#This Row],[Class]]="A",WORKDAY(Main[[#This Row],[Tech Start Date]],5),""))))</f>
        <v/>
      </c>
      <c r="P1369" s="69" t="str">
        <f>IF(Main[[#This Row],[Tech Start Date]]&lt;1/1/1990,"",IF(Main[[#This Row],[Class]]="C",WORKDAY(Main[[#This Row],[Tech Start Date]],28),IF(Main[[#This Row],[Class]]="B", WORKDAY(Main[[#This Row],[Tech Start Date]],19),IF(Main[[#This Row],[Class]]="A",WORKDAY(Main[[#This Row],[Tech Start Date]],9),""))))</f>
        <v/>
      </c>
      <c r="Q1369" s="67">
        <v>40226</v>
      </c>
      <c r="R1369" s="67">
        <v>40192</v>
      </c>
      <c r="S1369" s="65" t="s">
        <v>11</v>
      </c>
      <c r="T1369" s="70" t="s">
        <v>4</v>
      </c>
      <c r="U1369" s="65" t="s">
        <v>14</v>
      </c>
      <c r="V1369" s="65" t="s">
        <v>1927</v>
      </c>
      <c r="W1369" s="65" t="s">
        <v>1923</v>
      </c>
      <c r="X1369" s="65" t="s">
        <v>2877</v>
      </c>
      <c r="Y1369" s="65" t="s">
        <v>4</v>
      </c>
      <c r="Z1369" s="65" t="s">
        <v>4</v>
      </c>
      <c r="AA1369" s="65" t="s">
        <v>2877</v>
      </c>
    </row>
    <row r="1370" spans="1:27" ht="17.45" customHeight="1">
      <c r="A1370" s="131" t="str">
        <f>IF(priority(Main[[#This Row],[Comments]])&lt;&gt;0, priority(Main[[#This Row],[Comments]]),"")</f>
        <v/>
      </c>
      <c r="B1370" s="99" t="s">
        <v>1809</v>
      </c>
      <c r="C1370" s="65" t="s">
        <v>31</v>
      </c>
      <c r="D1370" s="66" t="s">
        <v>855</v>
      </c>
      <c r="E1370" s="67"/>
      <c r="F1370" s="67">
        <v>40192</v>
      </c>
      <c r="G1370" s="64" t="str">
        <f>IF(stdProdLT(Main[[#This Row],[Comments]])=0.1,"N/A",IF(stdProdLT(Main[[#This Row],[Comments]])=0,"",stdProdLT(Main[[#This Row],[Comments]])))</f>
        <v/>
      </c>
      <c r="H1370" s="68">
        <f>IF(AND(Main[[#This Row],[In Stock Date]]&lt;&gt;"",Main[[#This Row],[Revised Due Date]]&lt;&gt;""),Main[[#This Row],[In Stock Date]]-Main[[#This Row],[Revised Due Date]],"")</f>
        <v>0</v>
      </c>
      <c r="I1370" s="65" t="s">
        <v>767</v>
      </c>
      <c r="J1370" s="65" t="s">
        <v>4</v>
      </c>
      <c r="K1370" s="65" t="s">
        <v>4</v>
      </c>
      <c r="L1370" s="67">
        <v>40163</v>
      </c>
      <c r="M1370" s="69" t="str">
        <f>IF(Main[[#This Row],[Tech Start Date]]&lt;1/1/1990,"",IF(Main[[#This Row],[Class]]="C",WORKDAY(Main[[#This Row],[Tech Start Date]],9),IF(Main[[#This Row],[Class]]="B", WORKDAY(Main[[#This Row],[Tech Start Date]],6),IF(Main[[#This Row],[Class]]="A",WORKDAY(Main[[#This Row],[Tech Start Date]],2),""))))</f>
        <v/>
      </c>
      <c r="N1370" s="69" t="str">
        <f>IF(Main[[#This Row],[Tech Start Date]]&lt;1/1/1990,"",IF(Main[[#This Row],[Class]]="C",WORKDAY(Main[[#This Row],[Tech Start Date]],19),IF(Main[[#This Row],[Class]]="B", WORKDAY(Main[[#This Row],[Tech Start Date]],12),IF(Main[[#This Row],[Class]]="A",WORKDAY(Main[[#This Row],[Tech Start Date]],4),""))))</f>
        <v/>
      </c>
      <c r="O1370" s="69" t="str">
        <f>IF(Main[[#This Row],[Tech Start Date]]&lt;1/1/1990,"",IF(Main[[#This Row],[Class]]="C",WORKDAY(Main[[#This Row],[Tech Start Date]],23),IF(Main[[#This Row],[Class]]="B", WORKDAY(Main[[#This Row],[Tech Start Date]],15),IF(Main[[#This Row],[Class]]="A",WORKDAY(Main[[#This Row],[Tech Start Date]],5),""))))</f>
        <v/>
      </c>
      <c r="P1370" s="69" t="str">
        <f>IF(Main[[#This Row],[Tech Start Date]]&lt;1/1/1990,"",IF(Main[[#This Row],[Class]]="C",WORKDAY(Main[[#This Row],[Tech Start Date]],28),IF(Main[[#This Row],[Class]]="B", WORKDAY(Main[[#This Row],[Tech Start Date]],19),IF(Main[[#This Row],[Class]]="A",WORKDAY(Main[[#This Row],[Tech Start Date]],9),""))))</f>
        <v/>
      </c>
      <c r="Q1370" s="67">
        <v>40226</v>
      </c>
      <c r="R1370" s="67">
        <v>40192</v>
      </c>
      <c r="S1370" s="65" t="s">
        <v>11</v>
      </c>
      <c r="T1370" s="70" t="s">
        <v>4</v>
      </c>
      <c r="U1370" s="65" t="s">
        <v>14</v>
      </c>
      <c r="V1370" s="65" t="s">
        <v>1927</v>
      </c>
      <c r="W1370" s="65" t="s">
        <v>1923</v>
      </c>
      <c r="X1370" s="65" t="s">
        <v>2877</v>
      </c>
      <c r="Y1370" s="65" t="s">
        <v>4</v>
      </c>
      <c r="Z1370" s="65" t="s">
        <v>4</v>
      </c>
      <c r="AA1370" s="65" t="s">
        <v>2877</v>
      </c>
    </row>
    <row r="1371" spans="1:27" ht="17.45" customHeight="1">
      <c r="A1371" s="131" t="str">
        <f>IF(priority(Main[[#This Row],[Comments]])&lt;&gt;0, priority(Main[[#This Row],[Comments]]),"")</f>
        <v/>
      </c>
      <c r="B1371" s="99" t="s">
        <v>1812</v>
      </c>
      <c r="C1371" s="65" t="s">
        <v>859</v>
      </c>
      <c r="D1371" s="66" t="s">
        <v>860</v>
      </c>
      <c r="E1371" s="67"/>
      <c r="F1371" s="67">
        <v>40305</v>
      </c>
      <c r="G1371" s="64" t="str">
        <f>IF(stdProdLT(Main[[#This Row],[Comments]])=0.1,"N/A",IF(stdProdLT(Main[[#This Row],[Comments]])=0,"",stdProdLT(Main[[#This Row],[Comments]])))</f>
        <v/>
      </c>
      <c r="H1371" s="68">
        <f>IF(AND(Main[[#This Row],[In Stock Date]]&lt;&gt;"",Main[[#This Row],[Revised Due Date]]&lt;&gt;""),Main[[#This Row],[In Stock Date]]-Main[[#This Row],[Revised Due Date]],"")</f>
        <v>80</v>
      </c>
      <c r="I1371" s="65" t="s">
        <v>767</v>
      </c>
      <c r="J1371" s="65" t="s">
        <v>4</v>
      </c>
      <c r="K1371" s="65" t="s">
        <v>4</v>
      </c>
      <c r="L1371" s="67">
        <v>40192</v>
      </c>
      <c r="M1371" s="69" t="str">
        <f>IF(Main[[#This Row],[Tech Start Date]]&lt;1/1/1990,"",IF(Main[[#This Row],[Class]]="C",WORKDAY(Main[[#This Row],[Tech Start Date]],9),IF(Main[[#This Row],[Class]]="B", WORKDAY(Main[[#This Row],[Tech Start Date]],6),IF(Main[[#This Row],[Class]]="A",WORKDAY(Main[[#This Row],[Tech Start Date]],2),""))))</f>
        <v/>
      </c>
      <c r="N1371" s="69" t="str">
        <f>IF(Main[[#This Row],[Tech Start Date]]&lt;1/1/1990,"",IF(Main[[#This Row],[Class]]="C",WORKDAY(Main[[#This Row],[Tech Start Date]],19),IF(Main[[#This Row],[Class]]="B", WORKDAY(Main[[#This Row],[Tech Start Date]],12),IF(Main[[#This Row],[Class]]="A",WORKDAY(Main[[#This Row],[Tech Start Date]],4),""))))</f>
        <v/>
      </c>
      <c r="O1371" s="69" t="str">
        <f>IF(Main[[#This Row],[Tech Start Date]]&lt;1/1/1990,"",IF(Main[[#This Row],[Class]]="C",WORKDAY(Main[[#This Row],[Tech Start Date]],23),IF(Main[[#This Row],[Class]]="B", WORKDAY(Main[[#This Row],[Tech Start Date]],15),IF(Main[[#This Row],[Class]]="A",WORKDAY(Main[[#This Row],[Tech Start Date]],5),""))))</f>
        <v/>
      </c>
      <c r="P1371" s="69" t="str">
        <f>IF(Main[[#This Row],[Tech Start Date]]&lt;1/1/1990,"",IF(Main[[#This Row],[Class]]="C",WORKDAY(Main[[#This Row],[Tech Start Date]],28),IF(Main[[#This Row],[Class]]="B", WORKDAY(Main[[#This Row],[Tech Start Date]],19),IF(Main[[#This Row],[Class]]="A",WORKDAY(Main[[#This Row],[Tech Start Date]],9),""))))</f>
        <v/>
      </c>
      <c r="Q1371" s="67">
        <v>40178</v>
      </c>
      <c r="R1371" s="67">
        <v>40225</v>
      </c>
      <c r="S1371" s="65" t="s">
        <v>11</v>
      </c>
      <c r="T1371" s="70" t="s">
        <v>4</v>
      </c>
      <c r="U1371" s="65" t="s">
        <v>14</v>
      </c>
      <c r="V1371" s="65" t="s">
        <v>1920</v>
      </c>
      <c r="W1371" s="65" t="s">
        <v>1925</v>
      </c>
      <c r="X1371" s="65" t="s">
        <v>2860</v>
      </c>
      <c r="Y1371" s="65" t="s">
        <v>4</v>
      </c>
      <c r="Z1371" s="65" t="s">
        <v>4</v>
      </c>
      <c r="AA1371" s="65" t="s">
        <v>2860</v>
      </c>
    </row>
    <row r="1372" spans="1:27" ht="17.45" customHeight="1">
      <c r="A1372" s="131" t="str">
        <f>IF(priority(Main[[#This Row],[Comments]])&lt;&gt;0, priority(Main[[#This Row],[Comments]]),"")</f>
        <v/>
      </c>
      <c r="B1372" s="99" t="s">
        <v>1811</v>
      </c>
      <c r="C1372" s="65" t="s">
        <v>857</v>
      </c>
      <c r="D1372" s="66" t="s">
        <v>858</v>
      </c>
      <c r="E1372" s="67"/>
      <c r="F1372" s="67">
        <v>40305</v>
      </c>
      <c r="G1372" s="64" t="str">
        <f>IF(stdProdLT(Main[[#This Row],[Comments]])=0.1,"N/A",IF(stdProdLT(Main[[#This Row],[Comments]])=0,"",stdProdLT(Main[[#This Row],[Comments]])))</f>
        <v/>
      </c>
      <c r="H1372" s="68">
        <f>IF(AND(Main[[#This Row],[In Stock Date]]&lt;&gt;"",Main[[#This Row],[Revised Due Date]]&lt;&gt;""),Main[[#This Row],[In Stock Date]]-Main[[#This Row],[Revised Due Date]],"")</f>
        <v>81</v>
      </c>
      <c r="I1372" s="65" t="s">
        <v>44</v>
      </c>
      <c r="J1372" s="65" t="s">
        <v>4</v>
      </c>
      <c r="K1372" s="65" t="s">
        <v>4</v>
      </c>
      <c r="L1372" s="67">
        <v>40192</v>
      </c>
      <c r="M1372" s="69" t="str">
        <f>IF(Main[[#This Row],[Tech Start Date]]&lt;1/1/1990,"",IF(Main[[#This Row],[Class]]="C",WORKDAY(Main[[#This Row],[Tech Start Date]],9),IF(Main[[#This Row],[Class]]="B", WORKDAY(Main[[#This Row],[Tech Start Date]],6),IF(Main[[#This Row],[Class]]="A",WORKDAY(Main[[#This Row],[Tech Start Date]],2),""))))</f>
        <v/>
      </c>
      <c r="N1372" s="69" t="str">
        <f>IF(Main[[#This Row],[Tech Start Date]]&lt;1/1/1990,"",IF(Main[[#This Row],[Class]]="C",WORKDAY(Main[[#This Row],[Tech Start Date]],19),IF(Main[[#This Row],[Class]]="B", WORKDAY(Main[[#This Row],[Tech Start Date]],12),IF(Main[[#This Row],[Class]]="A",WORKDAY(Main[[#This Row],[Tech Start Date]],4),""))))</f>
        <v/>
      </c>
      <c r="O1372" s="69" t="str">
        <f>IF(Main[[#This Row],[Tech Start Date]]&lt;1/1/1990,"",IF(Main[[#This Row],[Class]]="C",WORKDAY(Main[[#This Row],[Tech Start Date]],23),IF(Main[[#This Row],[Class]]="B", WORKDAY(Main[[#This Row],[Tech Start Date]],15),IF(Main[[#This Row],[Class]]="A",WORKDAY(Main[[#This Row],[Tech Start Date]],5),""))))</f>
        <v/>
      </c>
      <c r="P1372" s="69" t="str">
        <f>IF(Main[[#This Row],[Tech Start Date]]&lt;1/1/1990,"",IF(Main[[#This Row],[Class]]="C",WORKDAY(Main[[#This Row],[Tech Start Date]],28),IF(Main[[#This Row],[Class]]="B", WORKDAY(Main[[#This Row],[Tech Start Date]],19),IF(Main[[#This Row],[Class]]="A",WORKDAY(Main[[#This Row],[Tech Start Date]],9),""))))</f>
        <v/>
      </c>
      <c r="Q1372" s="67">
        <v>40178</v>
      </c>
      <c r="R1372" s="67">
        <v>40224</v>
      </c>
      <c r="S1372" s="65" t="s">
        <v>11</v>
      </c>
      <c r="T1372" s="70" t="s">
        <v>4</v>
      </c>
      <c r="U1372" s="65" t="s">
        <v>14</v>
      </c>
      <c r="V1372" s="65" t="s">
        <v>1920</v>
      </c>
      <c r="W1372" s="65" t="s">
        <v>1925</v>
      </c>
      <c r="X1372" s="65" t="s">
        <v>2860</v>
      </c>
      <c r="Y1372" s="65" t="s">
        <v>4</v>
      </c>
      <c r="Z1372" s="65" t="s">
        <v>4</v>
      </c>
      <c r="AA1372" s="65" t="s">
        <v>2860</v>
      </c>
    </row>
    <row r="1373" spans="1:27" ht="17.45" customHeight="1">
      <c r="A1373" s="131" t="str">
        <f>IF(priority(Main[[#This Row],[Comments]])&lt;&gt;0, priority(Main[[#This Row],[Comments]]),"")</f>
        <v/>
      </c>
      <c r="B1373" s="99" t="s">
        <v>1814</v>
      </c>
      <c r="C1373" s="65" t="s">
        <v>4</v>
      </c>
      <c r="D1373" s="66" t="s">
        <v>862</v>
      </c>
      <c r="E1373" s="67"/>
      <c r="F1373" s="67"/>
      <c r="G1373" s="64" t="str">
        <f>IF(stdProdLT(Main[[#This Row],[Comments]])=0.1,"N/A",IF(stdProdLT(Main[[#This Row],[Comments]])=0,"",stdProdLT(Main[[#This Row],[Comments]])))</f>
        <v/>
      </c>
      <c r="H1373" s="68" t="str">
        <f>IF(AND(Main[[#This Row],[In Stock Date]]&lt;&gt;"",Main[[#This Row],[Revised Due Date]]&lt;&gt;""),Main[[#This Row],[In Stock Date]]-Main[[#This Row],[Revised Due Date]],"")</f>
        <v/>
      </c>
      <c r="I1373" s="65" t="s">
        <v>30</v>
      </c>
      <c r="J1373" s="65" t="s">
        <v>28</v>
      </c>
      <c r="K1373" s="65" t="s">
        <v>1924</v>
      </c>
      <c r="L1373" s="67">
        <v>40231</v>
      </c>
      <c r="M1373" s="69">
        <f>IF(Main[[#This Row],[Tech Start Date]]&lt;1/1/1990,"",IF(Main[[#This Row],[Class]]="C",WORKDAY(Main[[#This Row],[Tech Start Date]],9),IF(Main[[#This Row],[Class]]="B", WORKDAY(Main[[#This Row],[Tech Start Date]],6),IF(Main[[#This Row],[Class]]="A",WORKDAY(Main[[#This Row],[Tech Start Date]],2),""))))</f>
        <v>40239</v>
      </c>
      <c r="N1373" s="69">
        <f>IF(Main[[#This Row],[Tech Start Date]]&lt;1/1/1990,"",IF(Main[[#This Row],[Class]]="C",WORKDAY(Main[[#This Row],[Tech Start Date]],19),IF(Main[[#This Row],[Class]]="B", WORKDAY(Main[[#This Row],[Tech Start Date]],12),IF(Main[[#This Row],[Class]]="A",WORKDAY(Main[[#This Row],[Tech Start Date]],4),""))))</f>
        <v>40247</v>
      </c>
      <c r="O1373" s="69">
        <f>IF(Main[[#This Row],[Tech Start Date]]&lt;1/1/1990,"",IF(Main[[#This Row],[Class]]="C",WORKDAY(Main[[#This Row],[Tech Start Date]],23),IF(Main[[#This Row],[Class]]="B", WORKDAY(Main[[#This Row],[Tech Start Date]],15),IF(Main[[#This Row],[Class]]="A",WORKDAY(Main[[#This Row],[Tech Start Date]],5),""))))</f>
        <v>40252</v>
      </c>
      <c r="P1373" s="69">
        <f>IF(Main[[#This Row],[Tech Start Date]]&lt;1/1/1990,"",IF(Main[[#This Row],[Class]]="C",WORKDAY(Main[[#This Row],[Tech Start Date]],28),IF(Main[[#This Row],[Class]]="B", WORKDAY(Main[[#This Row],[Tech Start Date]],19),IF(Main[[#This Row],[Class]]="A",WORKDAY(Main[[#This Row],[Tech Start Date]],9),""))))</f>
        <v>40256</v>
      </c>
      <c r="Q1373" s="67">
        <v>40269</v>
      </c>
      <c r="R1373" s="67">
        <v>40246</v>
      </c>
      <c r="S1373" s="65" t="s">
        <v>6</v>
      </c>
      <c r="T1373" s="70" t="s">
        <v>4</v>
      </c>
      <c r="U1373" s="65" t="s">
        <v>14</v>
      </c>
      <c r="V1373" s="65" t="s">
        <v>1920</v>
      </c>
      <c r="W1373" s="65" t="s">
        <v>1919</v>
      </c>
      <c r="X1373" s="65" t="s">
        <v>2893</v>
      </c>
      <c r="Y1373" s="65" t="s">
        <v>3049</v>
      </c>
      <c r="Z1373" s="65" t="s">
        <v>4</v>
      </c>
      <c r="AA1373" s="65" t="s">
        <v>2893</v>
      </c>
    </row>
    <row r="1374" spans="1:27" ht="17.45" customHeight="1">
      <c r="A1374" s="131" t="str">
        <f>IF(priority(Main[[#This Row],[Comments]])&lt;&gt;0, priority(Main[[#This Row],[Comments]]),"")</f>
        <v/>
      </c>
      <c r="B1374" s="99" t="s">
        <v>1949</v>
      </c>
      <c r="C1374" s="65" t="s">
        <v>864</v>
      </c>
      <c r="D1374" s="66" t="s">
        <v>865</v>
      </c>
      <c r="E1374" s="67"/>
      <c r="F1374" s="67"/>
      <c r="G1374" s="64" t="str">
        <f>IF(stdProdLT(Main[[#This Row],[Comments]])=0.1,"N/A",IF(stdProdLT(Main[[#This Row],[Comments]])=0,"",stdProdLT(Main[[#This Row],[Comments]])))</f>
        <v/>
      </c>
      <c r="H1374" s="68" t="str">
        <f>IF(AND(Main[[#This Row],[In Stock Date]]&lt;&gt;"",Main[[#This Row],[Revised Due Date]]&lt;&gt;""),Main[[#This Row],[In Stock Date]]-Main[[#This Row],[Revised Due Date]],"")</f>
        <v/>
      </c>
      <c r="I1374" s="65" t="s">
        <v>767</v>
      </c>
      <c r="J1374" s="65" t="s">
        <v>4</v>
      </c>
      <c r="K1374" s="65" t="s">
        <v>1929</v>
      </c>
      <c r="L1374" s="67">
        <v>40231</v>
      </c>
      <c r="M1374" s="69" t="str">
        <f>IF(Main[[#This Row],[Tech Start Date]]&lt;1/1/1990,"",IF(Main[[#This Row],[Class]]="C",WORKDAY(Main[[#This Row],[Tech Start Date]],9),IF(Main[[#This Row],[Class]]="B", WORKDAY(Main[[#This Row],[Tech Start Date]],6),IF(Main[[#This Row],[Class]]="A",WORKDAY(Main[[#This Row],[Tech Start Date]],2),""))))</f>
        <v/>
      </c>
      <c r="N1374" s="69" t="str">
        <f>IF(Main[[#This Row],[Tech Start Date]]&lt;1/1/1990,"",IF(Main[[#This Row],[Class]]="C",WORKDAY(Main[[#This Row],[Tech Start Date]],19),IF(Main[[#This Row],[Class]]="B", WORKDAY(Main[[#This Row],[Tech Start Date]],12),IF(Main[[#This Row],[Class]]="A",WORKDAY(Main[[#This Row],[Tech Start Date]],4),""))))</f>
        <v/>
      </c>
      <c r="O1374" s="69" t="str">
        <f>IF(Main[[#This Row],[Tech Start Date]]&lt;1/1/1990,"",IF(Main[[#This Row],[Class]]="C",WORKDAY(Main[[#This Row],[Tech Start Date]],23),IF(Main[[#This Row],[Class]]="B", WORKDAY(Main[[#This Row],[Tech Start Date]],15),IF(Main[[#This Row],[Class]]="A",WORKDAY(Main[[#This Row],[Tech Start Date]],5),""))))</f>
        <v/>
      </c>
      <c r="P1374" s="69" t="str">
        <f>IF(Main[[#This Row],[Tech Start Date]]&lt;1/1/1990,"",IF(Main[[#This Row],[Class]]="C",WORKDAY(Main[[#This Row],[Tech Start Date]],28),IF(Main[[#This Row],[Class]]="B", WORKDAY(Main[[#This Row],[Tech Start Date]],19),IF(Main[[#This Row],[Class]]="A",WORKDAY(Main[[#This Row],[Tech Start Date]],9),""))))</f>
        <v/>
      </c>
      <c r="Q1374" s="67">
        <v>40268</v>
      </c>
      <c r="R1374" s="67">
        <v>40268</v>
      </c>
      <c r="S1374" s="65" t="s">
        <v>17</v>
      </c>
      <c r="T1374" s="70" t="s">
        <v>4</v>
      </c>
      <c r="U1374" s="65" t="s">
        <v>14</v>
      </c>
      <c r="V1374" s="65" t="s">
        <v>1920</v>
      </c>
      <c r="W1374" s="65" t="s">
        <v>1922</v>
      </c>
      <c r="X1374" s="65" t="s">
        <v>2923</v>
      </c>
      <c r="Y1374" s="65" t="s">
        <v>3149</v>
      </c>
      <c r="Z1374" s="65" t="s">
        <v>4</v>
      </c>
      <c r="AA1374" s="65" t="s">
        <v>554</v>
      </c>
    </row>
    <row r="1375" spans="1:27" ht="17.45" customHeight="1">
      <c r="A1375" s="131" t="str">
        <f>IF(priority(Main[[#This Row],[Comments]])&lt;&gt;0, priority(Main[[#This Row],[Comments]]),"")</f>
        <v/>
      </c>
      <c r="B1375" s="99" t="s">
        <v>1822</v>
      </c>
      <c r="C1375" s="65" t="s">
        <v>47</v>
      </c>
      <c r="D1375" s="66" t="s">
        <v>873</v>
      </c>
      <c r="E1375" s="67">
        <v>40220.456550925926</v>
      </c>
      <c r="F1375" s="67"/>
      <c r="G1375" s="64" t="str">
        <f>IF(stdProdLT(Main[[#This Row],[Comments]])=0.1,"N/A",IF(stdProdLT(Main[[#This Row],[Comments]])=0,"",stdProdLT(Main[[#This Row],[Comments]])))</f>
        <v/>
      </c>
      <c r="H1375" s="68" t="str">
        <f>IF(AND(Main[[#This Row],[In Stock Date]]&lt;&gt;"",Main[[#This Row],[Revised Due Date]]&lt;&gt;""),Main[[#This Row],[In Stock Date]]-Main[[#This Row],[Revised Due Date]],"")</f>
        <v/>
      </c>
      <c r="I1375" s="65" t="s">
        <v>81</v>
      </c>
      <c r="J1375" s="65" t="s">
        <v>52</v>
      </c>
      <c r="K1375" s="71" t="s">
        <v>1929</v>
      </c>
      <c r="L1375" s="67">
        <v>40231</v>
      </c>
      <c r="M1375" s="69" t="str">
        <f>IF(Main[[#This Row],[Tech Start Date]]&lt;1/1/1990,"",IF(Main[[#This Row],[Class]]="C",WORKDAY(Main[[#This Row],[Tech Start Date]],9),IF(Main[[#This Row],[Class]]="B", WORKDAY(Main[[#This Row],[Tech Start Date]],6),IF(Main[[#This Row],[Class]]="A",WORKDAY(Main[[#This Row],[Tech Start Date]],2),""))))</f>
        <v/>
      </c>
      <c r="N1375" s="69" t="str">
        <f>IF(Main[[#This Row],[Tech Start Date]]&lt;1/1/1990,"",IF(Main[[#This Row],[Class]]="C",WORKDAY(Main[[#This Row],[Tech Start Date]],19),IF(Main[[#This Row],[Class]]="B", WORKDAY(Main[[#This Row],[Tech Start Date]],12),IF(Main[[#This Row],[Class]]="A",WORKDAY(Main[[#This Row],[Tech Start Date]],4),""))))</f>
        <v/>
      </c>
      <c r="O1375" s="69" t="str">
        <f>IF(Main[[#This Row],[Tech Start Date]]&lt;1/1/1990,"",IF(Main[[#This Row],[Class]]="C",WORKDAY(Main[[#This Row],[Tech Start Date]],23),IF(Main[[#This Row],[Class]]="B", WORKDAY(Main[[#This Row],[Tech Start Date]],15),IF(Main[[#This Row],[Class]]="A",WORKDAY(Main[[#This Row],[Tech Start Date]],5),""))))</f>
        <v/>
      </c>
      <c r="P1375" s="69" t="str">
        <f>IF(Main[[#This Row],[Tech Start Date]]&lt;1/1/1990,"",IF(Main[[#This Row],[Class]]="C",WORKDAY(Main[[#This Row],[Tech Start Date]],28),IF(Main[[#This Row],[Class]]="B", WORKDAY(Main[[#This Row],[Tech Start Date]],19),IF(Main[[#This Row],[Class]]="A",WORKDAY(Main[[#This Row],[Tech Start Date]],9),""))))</f>
        <v/>
      </c>
      <c r="Q1375" s="67">
        <v>40255</v>
      </c>
      <c r="R1375" s="67">
        <v>40310</v>
      </c>
      <c r="S1375" s="65" t="s">
        <v>17</v>
      </c>
      <c r="T1375" s="70" t="s">
        <v>4</v>
      </c>
      <c r="U1375" s="65" t="s">
        <v>29</v>
      </c>
      <c r="V1375" s="65" t="s">
        <v>1927</v>
      </c>
      <c r="W1375" s="65" t="s">
        <v>1919</v>
      </c>
      <c r="X1375" s="65" t="s">
        <v>2823</v>
      </c>
      <c r="Y1375" s="65" t="s">
        <v>4</v>
      </c>
      <c r="Z1375" s="65" t="s">
        <v>44</v>
      </c>
      <c r="AA1375" s="65" t="s">
        <v>2823</v>
      </c>
    </row>
    <row r="1376" spans="1:27" ht="17.45" customHeight="1">
      <c r="A1376" s="131" t="str">
        <f>IF(priority(Main[[#This Row],[Comments]])&lt;&gt;0, priority(Main[[#This Row],[Comments]]),"")</f>
        <v/>
      </c>
      <c r="B1376" s="99" t="s">
        <v>1817</v>
      </c>
      <c r="C1376" s="65" t="s">
        <v>47</v>
      </c>
      <c r="D1376" s="66" t="s">
        <v>867</v>
      </c>
      <c r="E1376" s="67"/>
      <c r="F1376" s="67"/>
      <c r="G1376" s="64" t="str">
        <f>IF(stdProdLT(Main[[#This Row],[Comments]])=0.1,"N/A",IF(stdProdLT(Main[[#This Row],[Comments]])=0,"",stdProdLT(Main[[#This Row],[Comments]])))</f>
        <v/>
      </c>
      <c r="H1376" s="68" t="str">
        <f>IF(AND(Main[[#This Row],[In Stock Date]]&lt;&gt;"",Main[[#This Row],[Revised Due Date]]&lt;&gt;""),Main[[#This Row],[In Stock Date]]-Main[[#This Row],[Revised Due Date]],"")</f>
        <v/>
      </c>
      <c r="I1376" s="65" t="s">
        <v>431</v>
      </c>
      <c r="J1376" s="65" t="s">
        <v>4</v>
      </c>
      <c r="K1376" s="65" t="s">
        <v>1929</v>
      </c>
      <c r="L1376" s="67">
        <v>40248</v>
      </c>
      <c r="M1376" s="69" t="str">
        <f>IF(Main[[#This Row],[Tech Start Date]]&lt;1/1/1990,"",IF(Main[[#This Row],[Class]]="C",WORKDAY(Main[[#This Row],[Tech Start Date]],9),IF(Main[[#This Row],[Class]]="B", WORKDAY(Main[[#This Row],[Tech Start Date]],6),IF(Main[[#This Row],[Class]]="A",WORKDAY(Main[[#This Row],[Tech Start Date]],2),""))))</f>
        <v/>
      </c>
      <c r="N1376" s="69" t="str">
        <f>IF(Main[[#This Row],[Tech Start Date]]&lt;1/1/1990,"",IF(Main[[#This Row],[Class]]="C",WORKDAY(Main[[#This Row],[Tech Start Date]],19),IF(Main[[#This Row],[Class]]="B", WORKDAY(Main[[#This Row],[Tech Start Date]],12),IF(Main[[#This Row],[Class]]="A",WORKDAY(Main[[#This Row],[Tech Start Date]],4),""))))</f>
        <v/>
      </c>
      <c r="O1376" s="69" t="str">
        <f>IF(Main[[#This Row],[Tech Start Date]]&lt;1/1/1990,"",IF(Main[[#This Row],[Class]]="C",WORKDAY(Main[[#This Row],[Tech Start Date]],23),IF(Main[[#This Row],[Class]]="B", WORKDAY(Main[[#This Row],[Tech Start Date]],15),IF(Main[[#This Row],[Class]]="A",WORKDAY(Main[[#This Row],[Tech Start Date]],5),""))))</f>
        <v/>
      </c>
      <c r="P1376" s="69" t="str">
        <f>IF(Main[[#This Row],[Tech Start Date]]&lt;1/1/1990,"",IF(Main[[#This Row],[Class]]="C",WORKDAY(Main[[#This Row],[Tech Start Date]],28),IF(Main[[#This Row],[Class]]="B", WORKDAY(Main[[#This Row],[Tech Start Date]],19),IF(Main[[#This Row],[Class]]="A",WORKDAY(Main[[#This Row],[Tech Start Date]],9),""))))</f>
        <v/>
      </c>
      <c r="Q1376" s="67">
        <v>40289</v>
      </c>
      <c r="R1376" s="67">
        <v>40289</v>
      </c>
      <c r="S1376" s="65" t="s">
        <v>17</v>
      </c>
      <c r="T1376" s="70" t="s">
        <v>4</v>
      </c>
      <c r="U1376" s="65" t="s">
        <v>14</v>
      </c>
      <c r="V1376" s="65" t="s">
        <v>1920</v>
      </c>
      <c r="W1376" s="65" t="s">
        <v>1923</v>
      </c>
      <c r="X1376" s="65" t="s">
        <v>530</v>
      </c>
      <c r="Y1376" s="65" t="s">
        <v>3150</v>
      </c>
      <c r="Z1376" s="65" t="s">
        <v>4</v>
      </c>
      <c r="AA1376" s="65" t="s">
        <v>530</v>
      </c>
    </row>
    <row r="1377" spans="1:27" ht="17.45" customHeight="1">
      <c r="A1377" s="131" t="str">
        <f>IF(priority(Main[[#This Row],[Comments]])&lt;&gt;0, priority(Main[[#This Row],[Comments]]),"")</f>
        <v/>
      </c>
      <c r="B1377" s="99" t="s">
        <v>1818</v>
      </c>
      <c r="C1377" s="65" t="s">
        <v>869</v>
      </c>
      <c r="D1377" s="66" t="s">
        <v>870</v>
      </c>
      <c r="E1377" s="67"/>
      <c r="F1377" s="67">
        <v>40299</v>
      </c>
      <c r="G1377" s="64" t="str">
        <f>IF(stdProdLT(Main[[#This Row],[Comments]])=0.1,"N/A",IF(stdProdLT(Main[[#This Row],[Comments]])=0,"",stdProdLT(Main[[#This Row],[Comments]])))</f>
        <v/>
      </c>
      <c r="H1377" s="68">
        <f>IF(AND(Main[[#This Row],[In Stock Date]]&lt;&gt;"",Main[[#This Row],[Revised Due Date]]&lt;&gt;""),Main[[#This Row],[In Stock Date]]-Main[[#This Row],[Revised Due Date]],"")</f>
        <v>8</v>
      </c>
      <c r="I1377" s="65" t="s">
        <v>654</v>
      </c>
      <c r="J1377" s="65" t="s">
        <v>28</v>
      </c>
      <c r="K1377" s="65" t="s">
        <v>1929</v>
      </c>
      <c r="L1377" s="67">
        <v>40266</v>
      </c>
      <c r="M1377" s="69" t="str">
        <f>IF(Main[[#This Row],[Tech Start Date]]&lt;1/1/1990,"",IF(Main[[#This Row],[Class]]="C",WORKDAY(Main[[#This Row],[Tech Start Date]],9),IF(Main[[#This Row],[Class]]="B", WORKDAY(Main[[#This Row],[Tech Start Date]],6),IF(Main[[#This Row],[Class]]="A",WORKDAY(Main[[#This Row],[Tech Start Date]],2),""))))</f>
        <v/>
      </c>
      <c r="N1377" s="69" t="str">
        <f>IF(Main[[#This Row],[Tech Start Date]]&lt;1/1/1990,"",IF(Main[[#This Row],[Class]]="C",WORKDAY(Main[[#This Row],[Tech Start Date]],19),IF(Main[[#This Row],[Class]]="B", WORKDAY(Main[[#This Row],[Tech Start Date]],12),IF(Main[[#This Row],[Class]]="A",WORKDAY(Main[[#This Row],[Tech Start Date]],4),""))))</f>
        <v/>
      </c>
      <c r="O1377" s="69" t="str">
        <f>IF(Main[[#This Row],[Tech Start Date]]&lt;1/1/1990,"",IF(Main[[#This Row],[Class]]="C",WORKDAY(Main[[#This Row],[Tech Start Date]],23),IF(Main[[#This Row],[Class]]="B", WORKDAY(Main[[#This Row],[Tech Start Date]],15),IF(Main[[#This Row],[Class]]="A",WORKDAY(Main[[#This Row],[Tech Start Date]],5),""))))</f>
        <v/>
      </c>
      <c r="P1377" s="69" t="str">
        <f>IF(Main[[#This Row],[Tech Start Date]]&lt;1/1/1990,"",IF(Main[[#This Row],[Class]]="C",WORKDAY(Main[[#This Row],[Tech Start Date]],28),IF(Main[[#This Row],[Class]]="B", WORKDAY(Main[[#This Row],[Tech Start Date]],19),IF(Main[[#This Row],[Class]]="A",WORKDAY(Main[[#This Row],[Tech Start Date]],9),""))))</f>
        <v/>
      </c>
      <c r="Q1377" s="67">
        <v>40299</v>
      </c>
      <c r="R1377" s="67">
        <v>40291</v>
      </c>
      <c r="S1377" s="65" t="s">
        <v>17</v>
      </c>
      <c r="T1377" s="70" t="s">
        <v>4</v>
      </c>
      <c r="U1377" s="65" t="s">
        <v>14</v>
      </c>
      <c r="V1377" s="65" t="s">
        <v>1927</v>
      </c>
      <c r="W1377" s="65" t="s">
        <v>1922</v>
      </c>
      <c r="X1377" s="65" t="s">
        <v>530</v>
      </c>
      <c r="Y1377" s="65" t="s">
        <v>3150</v>
      </c>
      <c r="Z1377" s="65" t="s">
        <v>654</v>
      </c>
      <c r="AA1377" s="65" t="s">
        <v>530</v>
      </c>
    </row>
    <row r="1378" spans="1:27" ht="17.45" customHeight="1">
      <c r="A1378" s="131" t="str">
        <f>IF(priority(Main[[#This Row],[Comments]])&lt;&gt;0, priority(Main[[#This Row],[Comments]]),"")</f>
        <v/>
      </c>
      <c r="B1378" s="99" t="s">
        <v>1821</v>
      </c>
      <c r="C1378" s="65" t="s">
        <v>4</v>
      </c>
      <c r="D1378" s="66" t="s">
        <v>872</v>
      </c>
      <c r="E1378" s="67"/>
      <c r="F1378" s="67"/>
      <c r="G1378" s="64" t="str">
        <f>IF(stdProdLT(Main[[#This Row],[Comments]])=0.1,"N/A",IF(stdProdLT(Main[[#This Row],[Comments]])=0,"",stdProdLT(Main[[#This Row],[Comments]])))</f>
        <v/>
      </c>
      <c r="H1378" s="68" t="str">
        <f>IF(AND(Main[[#This Row],[In Stock Date]]&lt;&gt;"",Main[[#This Row],[Revised Due Date]]&lt;&gt;""),Main[[#This Row],[In Stock Date]]-Main[[#This Row],[Revised Due Date]],"")</f>
        <v/>
      </c>
      <c r="I1378" s="65" t="s">
        <v>399</v>
      </c>
      <c r="J1378" s="65" t="s">
        <v>75</v>
      </c>
      <c r="K1378" s="65" t="s">
        <v>1926</v>
      </c>
      <c r="L1378" s="67">
        <v>40288</v>
      </c>
      <c r="M1378" s="69">
        <f>IF(Main[[#This Row],[Tech Start Date]]&lt;1/1/1990,"",IF(Main[[#This Row],[Class]]="C",WORKDAY(Main[[#This Row],[Tech Start Date]],9),IF(Main[[#This Row],[Class]]="B", WORKDAY(Main[[#This Row],[Tech Start Date]],6),IF(Main[[#This Row],[Class]]="A",WORKDAY(Main[[#This Row],[Tech Start Date]],2),""))))</f>
        <v>40290</v>
      </c>
      <c r="N1378" s="69">
        <f>IF(Main[[#This Row],[Tech Start Date]]&lt;1/1/1990,"",IF(Main[[#This Row],[Class]]="C",WORKDAY(Main[[#This Row],[Tech Start Date]],19),IF(Main[[#This Row],[Class]]="B", WORKDAY(Main[[#This Row],[Tech Start Date]],12),IF(Main[[#This Row],[Class]]="A",WORKDAY(Main[[#This Row],[Tech Start Date]],4),""))))</f>
        <v>40294</v>
      </c>
      <c r="O1378" s="69">
        <f>IF(Main[[#This Row],[Tech Start Date]]&lt;1/1/1990,"",IF(Main[[#This Row],[Class]]="C",WORKDAY(Main[[#This Row],[Tech Start Date]],23),IF(Main[[#This Row],[Class]]="B", WORKDAY(Main[[#This Row],[Tech Start Date]],15),IF(Main[[#This Row],[Class]]="A",WORKDAY(Main[[#This Row],[Tech Start Date]],5),""))))</f>
        <v>40295</v>
      </c>
      <c r="P1378" s="69">
        <f>IF(Main[[#This Row],[Tech Start Date]]&lt;1/1/1990,"",IF(Main[[#This Row],[Class]]="C",WORKDAY(Main[[#This Row],[Tech Start Date]],28),IF(Main[[#This Row],[Class]]="B", WORKDAY(Main[[#This Row],[Tech Start Date]],19),IF(Main[[#This Row],[Class]]="A",WORKDAY(Main[[#This Row],[Tech Start Date]],9),""))))</f>
        <v>40301</v>
      </c>
      <c r="Q1378" s="67"/>
      <c r="R1378" s="67">
        <v>40309</v>
      </c>
      <c r="S1378" s="65" t="s">
        <v>6</v>
      </c>
      <c r="T1378" s="70" t="s">
        <v>4</v>
      </c>
      <c r="U1378" s="65" t="s">
        <v>14</v>
      </c>
      <c r="V1378" s="65" t="s">
        <v>1920</v>
      </c>
      <c r="W1378" s="65" t="s">
        <v>4</v>
      </c>
      <c r="X1378" s="65" t="s">
        <v>2842</v>
      </c>
      <c r="Y1378" s="65" t="s">
        <v>2971</v>
      </c>
      <c r="Z1378" s="65" t="s">
        <v>306</v>
      </c>
      <c r="AA1378" s="65" t="s">
        <v>2842</v>
      </c>
    </row>
    <row r="1379" spans="1:27" ht="17.45" customHeight="1">
      <c r="A1379" s="131" t="str">
        <f>IF(priority(Main[[#This Row],[Comments]])&lt;&gt;0, priority(Main[[#This Row],[Comments]]),"")</f>
        <v/>
      </c>
      <c r="B1379" s="99" t="s">
        <v>1823</v>
      </c>
      <c r="C1379" s="65" t="s">
        <v>4</v>
      </c>
      <c r="D1379" s="66" t="s">
        <v>874</v>
      </c>
      <c r="E1379" s="67"/>
      <c r="F1379" s="67"/>
      <c r="G1379" s="64" t="str">
        <f>IF(stdProdLT(Main[[#This Row],[Comments]])=0.1,"N/A",IF(stdProdLT(Main[[#This Row],[Comments]])=0,"",stdProdLT(Main[[#This Row],[Comments]])))</f>
        <v/>
      </c>
      <c r="H1379" s="68" t="str">
        <f>IF(AND(Main[[#This Row],[In Stock Date]]&lt;&gt;"",Main[[#This Row],[Revised Due Date]]&lt;&gt;""),Main[[#This Row],[In Stock Date]]-Main[[#This Row],[Revised Due Date]],"")</f>
        <v/>
      </c>
      <c r="I1379" s="65" t="s">
        <v>767</v>
      </c>
      <c r="J1379" s="65" t="s">
        <v>4</v>
      </c>
      <c r="K1379" s="65" t="s">
        <v>1924</v>
      </c>
      <c r="L1379" s="67">
        <v>40291</v>
      </c>
      <c r="M1379" s="69">
        <f>IF(Main[[#This Row],[Tech Start Date]]&lt;1/1/1990,"",IF(Main[[#This Row],[Class]]="C",WORKDAY(Main[[#This Row],[Tech Start Date]],9),IF(Main[[#This Row],[Class]]="B", WORKDAY(Main[[#This Row],[Tech Start Date]],6),IF(Main[[#This Row],[Class]]="A",WORKDAY(Main[[#This Row],[Tech Start Date]],2),""))))</f>
        <v>40301</v>
      </c>
      <c r="N1379" s="69">
        <f>IF(Main[[#This Row],[Tech Start Date]]&lt;1/1/1990,"",IF(Main[[#This Row],[Class]]="C",WORKDAY(Main[[#This Row],[Tech Start Date]],19),IF(Main[[#This Row],[Class]]="B", WORKDAY(Main[[#This Row],[Tech Start Date]],12),IF(Main[[#This Row],[Class]]="A",WORKDAY(Main[[#This Row],[Tech Start Date]],4),""))))</f>
        <v>40309</v>
      </c>
      <c r="O1379" s="69">
        <f>IF(Main[[#This Row],[Tech Start Date]]&lt;1/1/1990,"",IF(Main[[#This Row],[Class]]="C",WORKDAY(Main[[#This Row],[Tech Start Date]],23),IF(Main[[#This Row],[Class]]="B", WORKDAY(Main[[#This Row],[Tech Start Date]],15),IF(Main[[#This Row],[Class]]="A",WORKDAY(Main[[#This Row],[Tech Start Date]],5),""))))</f>
        <v>40312</v>
      </c>
      <c r="P1379" s="69">
        <f>IF(Main[[#This Row],[Tech Start Date]]&lt;1/1/1990,"",IF(Main[[#This Row],[Class]]="C",WORKDAY(Main[[#This Row],[Tech Start Date]],28),IF(Main[[#This Row],[Class]]="B", WORKDAY(Main[[#This Row],[Tech Start Date]],19),IF(Main[[#This Row],[Class]]="A",WORKDAY(Main[[#This Row],[Tech Start Date]],9),""))))</f>
        <v>40318</v>
      </c>
      <c r="Q1379" s="67">
        <v>40312</v>
      </c>
      <c r="R1379" s="67">
        <v>40312</v>
      </c>
      <c r="S1379" s="65" t="s">
        <v>6</v>
      </c>
      <c r="T1379" s="70" t="s">
        <v>4</v>
      </c>
      <c r="U1379" s="65" t="s">
        <v>14</v>
      </c>
      <c r="V1379" s="65" t="s">
        <v>1920</v>
      </c>
      <c r="W1379" s="65" t="s">
        <v>4</v>
      </c>
      <c r="X1379" s="65" t="s">
        <v>2924</v>
      </c>
      <c r="Y1379" s="65" t="s">
        <v>3151</v>
      </c>
      <c r="Z1379" s="65" t="s">
        <v>4</v>
      </c>
      <c r="AA1379" s="65" t="s">
        <v>2924</v>
      </c>
    </row>
    <row r="1380" spans="1:27" ht="17.45" customHeight="1">
      <c r="A1380" s="131" t="str">
        <f>IF(priority(Main[[#This Row],[Comments]])&lt;&gt;0, priority(Main[[#This Row],[Comments]]),"")</f>
        <v/>
      </c>
      <c r="B1380" s="99" t="s">
        <v>1825</v>
      </c>
      <c r="C1380" s="65" t="s">
        <v>4</v>
      </c>
      <c r="D1380" s="66" t="s">
        <v>2135</v>
      </c>
      <c r="E1380" s="67"/>
      <c r="F1380" s="67"/>
      <c r="G1380" s="64" t="str">
        <f>IF(stdProdLT(Main[[#This Row],[Comments]])=0.1,"N/A",IF(stdProdLT(Main[[#This Row],[Comments]])=0,"",stdProdLT(Main[[#This Row],[Comments]])))</f>
        <v/>
      </c>
      <c r="H1380" s="68" t="str">
        <f>IF(AND(Main[[#This Row],[In Stock Date]]&lt;&gt;"",Main[[#This Row],[Revised Due Date]]&lt;&gt;""),Main[[#This Row],[In Stock Date]]-Main[[#This Row],[Revised Due Date]],"")</f>
        <v/>
      </c>
      <c r="I1380" s="65" t="s">
        <v>530</v>
      </c>
      <c r="J1380" s="65" t="s">
        <v>28</v>
      </c>
      <c r="K1380" s="71" t="s">
        <v>1924</v>
      </c>
      <c r="L1380" s="67">
        <v>40294</v>
      </c>
      <c r="M1380" s="69">
        <f>IF(Main[[#This Row],[Tech Start Date]]&lt;1/1/1990,"",IF(Main[[#This Row],[Class]]="C",WORKDAY(Main[[#This Row],[Tech Start Date]],9),IF(Main[[#This Row],[Class]]="B", WORKDAY(Main[[#This Row],[Tech Start Date]],6),IF(Main[[#This Row],[Class]]="A",WORKDAY(Main[[#This Row],[Tech Start Date]],2),""))))</f>
        <v>40302</v>
      </c>
      <c r="N1380" s="69">
        <f>IF(Main[[#This Row],[Tech Start Date]]&lt;1/1/1990,"",IF(Main[[#This Row],[Class]]="C",WORKDAY(Main[[#This Row],[Tech Start Date]],19),IF(Main[[#This Row],[Class]]="B", WORKDAY(Main[[#This Row],[Tech Start Date]],12),IF(Main[[#This Row],[Class]]="A",WORKDAY(Main[[#This Row],[Tech Start Date]],4),""))))</f>
        <v>40310</v>
      </c>
      <c r="O1380" s="69">
        <f>IF(Main[[#This Row],[Tech Start Date]]&lt;1/1/1990,"",IF(Main[[#This Row],[Class]]="C",WORKDAY(Main[[#This Row],[Tech Start Date]],23),IF(Main[[#This Row],[Class]]="B", WORKDAY(Main[[#This Row],[Tech Start Date]],15),IF(Main[[#This Row],[Class]]="A",WORKDAY(Main[[#This Row],[Tech Start Date]],5),""))))</f>
        <v>40315</v>
      </c>
      <c r="P1380" s="69">
        <f>IF(Main[[#This Row],[Tech Start Date]]&lt;1/1/1990,"",IF(Main[[#This Row],[Class]]="C",WORKDAY(Main[[#This Row],[Tech Start Date]],28),IF(Main[[#This Row],[Class]]="B", WORKDAY(Main[[#This Row],[Tech Start Date]],19),IF(Main[[#This Row],[Class]]="A",WORKDAY(Main[[#This Row],[Tech Start Date]],9),""))))</f>
        <v>40319</v>
      </c>
      <c r="Q1380" s="67">
        <v>40329</v>
      </c>
      <c r="R1380" s="67">
        <v>40326</v>
      </c>
      <c r="S1380" s="65" t="s">
        <v>6</v>
      </c>
      <c r="T1380" s="70" t="s">
        <v>4</v>
      </c>
      <c r="U1380" s="65" t="s">
        <v>14</v>
      </c>
      <c r="V1380" s="65" t="s">
        <v>1920</v>
      </c>
      <c r="W1380" s="65" t="s">
        <v>1921</v>
      </c>
      <c r="X1380" s="65" t="s">
        <v>2924</v>
      </c>
      <c r="Y1380" s="65" t="s">
        <v>3151</v>
      </c>
      <c r="Z1380" s="65" t="s">
        <v>30</v>
      </c>
      <c r="AA1380" s="65" t="s">
        <v>2924</v>
      </c>
    </row>
    <row r="1381" spans="1:27" ht="17.45" customHeight="1">
      <c r="A1381" s="131" t="str">
        <f>IF(priority(Main[[#This Row],[Comments]])&lt;&gt;0, priority(Main[[#This Row],[Comments]]),"")</f>
        <v/>
      </c>
      <c r="B1381" s="99" t="s">
        <v>1824</v>
      </c>
      <c r="C1381" s="65" t="s">
        <v>4</v>
      </c>
      <c r="D1381" s="66" t="s">
        <v>875</v>
      </c>
      <c r="E1381" s="67"/>
      <c r="F1381" s="67"/>
      <c r="G1381" s="64" t="str">
        <f>IF(stdProdLT(Main[[#This Row],[Comments]])=0.1,"N/A",IF(stdProdLT(Main[[#This Row],[Comments]])=0,"",stdProdLT(Main[[#This Row],[Comments]])))</f>
        <v/>
      </c>
      <c r="H1381" s="68" t="str">
        <f>IF(AND(Main[[#This Row],[In Stock Date]]&lt;&gt;"",Main[[#This Row],[Revised Due Date]]&lt;&gt;""),Main[[#This Row],[In Stock Date]]-Main[[#This Row],[Revised Due Date]],"")</f>
        <v/>
      </c>
      <c r="I1381" s="65" t="s">
        <v>489</v>
      </c>
      <c r="J1381" s="65" t="s">
        <v>4</v>
      </c>
      <c r="K1381" s="65" t="s">
        <v>1924</v>
      </c>
      <c r="L1381" s="67">
        <v>40295</v>
      </c>
      <c r="M1381" s="69">
        <f>IF(Main[[#This Row],[Tech Start Date]]&lt;1/1/1990,"",IF(Main[[#This Row],[Class]]="C",WORKDAY(Main[[#This Row],[Tech Start Date]],9),IF(Main[[#This Row],[Class]]="B", WORKDAY(Main[[#This Row],[Tech Start Date]],6),IF(Main[[#This Row],[Class]]="A",WORKDAY(Main[[#This Row],[Tech Start Date]],2),""))))</f>
        <v>40303</v>
      </c>
      <c r="N1381" s="69">
        <f>IF(Main[[#This Row],[Tech Start Date]]&lt;1/1/1990,"",IF(Main[[#This Row],[Class]]="C",WORKDAY(Main[[#This Row],[Tech Start Date]],19),IF(Main[[#This Row],[Class]]="B", WORKDAY(Main[[#This Row],[Tech Start Date]],12),IF(Main[[#This Row],[Class]]="A",WORKDAY(Main[[#This Row],[Tech Start Date]],4),""))))</f>
        <v>40311</v>
      </c>
      <c r="O1381" s="69">
        <f>IF(Main[[#This Row],[Tech Start Date]]&lt;1/1/1990,"",IF(Main[[#This Row],[Class]]="C",WORKDAY(Main[[#This Row],[Tech Start Date]],23),IF(Main[[#This Row],[Class]]="B", WORKDAY(Main[[#This Row],[Tech Start Date]],15),IF(Main[[#This Row],[Class]]="A",WORKDAY(Main[[#This Row],[Tech Start Date]],5),""))))</f>
        <v>40316</v>
      </c>
      <c r="P1381" s="69">
        <f>IF(Main[[#This Row],[Tech Start Date]]&lt;1/1/1990,"",IF(Main[[#This Row],[Class]]="C",WORKDAY(Main[[#This Row],[Tech Start Date]],28),IF(Main[[#This Row],[Class]]="B", WORKDAY(Main[[#This Row],[Tech Start Date]],19),IF(Main[[#This Row],[Class]]="A",WORKDAY(Main[[#This Row],[Tech Start Date]],9),""))))</f>
        <v>40322</v>
      </c>
      <c r="Q1381" s="67">
        <v>40329</v>
      </c>
      <c r="R1381" s="67">
        <v>40325</v>
      </c>
      <c r="S1381" s="65" t="s">
        <v>6</v>
      </c>
      <c r="T1381" s="70" t="s">
        <v>4</v>
      </c>
      <c r="U1381" s="65" t="s">
        <v>14</v>
      </c>
      <c r="V1381" s="65" t="s">
        <v>1920</v>
      </c>
      <c r="W1381" s="65" t="s">
        <v>4</v>
      </c>
      <c r="X1381" s="65" t="s">
        <v>2924</v>
      </c>
      <c r="Y1381" s="65" t="s">
        <v>3151</v>
      </c>
      <c r="Z1381" s="65" t="s">
        <v>975</v>
      </c>
      <c r="AA1381" s="65" t="s">
        <v>2924</v>
      </c>
    </row>
    <row r="1382" spans="1:27" ht="17.45" customHeight="1">
      <c r="A1382" s="131" t="str">
        <f>IF(priority(Main[[#This Row],[Comments]])&lt;&gt;0, priority(Main[[#This Row],[Comments]]),"")</f>
        <v/>
      </c>
      <c r="B1382" s="99" t="s">
        <v>1874</v>
      </c>
      <c r="C1382" s="65" t="s">
        <v>33</v>
      </c>
      <c r="D1382" s="66" t="s">
        <v>928</v>
      </c>
      <c r="E1382" s="67">
        <v>40314.31863425926</v>
      </c>
      <c r="F1382" s="67">
        <v>40489</v>
      </c>
      <c r="G1382" s="64" t="str">
        <f>IF(stdProdLT(Main[[#This Row],[Comments]])=0.1,"N/A",IF(stdProdLT(Main[[#This Row],[Comments]])=0,"",stdProdLT(Main[[#This Row],[Comments]])))</f>
        <v/>
      </c>
      <c r="H1382" s="68">
        <f>IF(AND(Main[[#This Row],[In Stock Date]]&lt;&gt;"",Main[[#This Row],[Revised Due Date]]&lt;&gt;""),Main[[#This Row],[In Stock Date]]-Main[[#This Row],[Revised Due Date]],"")</f>
        <v>-373</v>
      </c>
      <c r="I1382" s="65" t="s">
        <v>163</v>
      </c>
      <c r="J1382" s="65" t="s">
        <v>4</v>
      </c>
      <c r="K1382" s="65" t="s">
        <v>1929</v>
      </c>
      <c r="L1382" s="67">
        <v>40331</v>
      </c>
      <c r="M1382" s="69" t="str">
        <f>IF(Main[[#This Row],[Tech Start Date]]&lt;1/1/1990,"",IF(Main[[#This Row],[Class]]="C",WORKDAY(Main[[#This Row],[Tech Start Date]],9),IF(Main[[#This Row],[Class]]="B", WORKDAY(Main[[#This Row],[Tech Start Date]],6),IF(Main[[#This Row],[Class]]="A",WORKDAY(Main[[#This Row],[Tech Start Date]],2),""))))</f>
        <v/>
      </c>
      <c r="N1382" s="69" t="str">
        <f>IF(Main[[#This Row],[Tech Start Date]]&lt;1/1/1990,"",IF(Main[[#This Row],[Class]]="C",WORKDAY(Main[[#This Row],[Tech Start Date]],19),IF(Main[[#This Row],[Class]]="B", WORKDAY(Main[[#This Row],[Tech Start Date]],12),IF(Main[[#This Row],[Class]]="A",WORKDAY(Main[[#This Row],[Tech Start Date]],4),""))))</f>
        <v/>
      </c>
      <c r="O1382" s="69" t="str">
        <f>IF(Main[[#This Row],[Tech Start Date]]&lt;1/1/1990,"",IF(Main[[#This Row],[Class]]="C",WORKDAY(Main[[#This Row],[Tech Start Date]],23),IF(Main[[#This Row],[Class]]="B", WORKDAY(Main[[#This Row],[Tech Start Date]],15),IF(Main[[#This Row],[Class]]="A",WORKDAY(Main[[#This Row],[Tech Start Date]],5),""))))</f>
        <v/>
      </c>
      <c r="P1382" s="69" t="str">
        <f>IF(Main[[#This Row],[Tech Start Date]]&lt;1/1/1990,"",IF(Main[[#This Row],[Class]]="C",WORKDAY(Main[[#This Row],[Tech Start Date]],28),IF(Main[[#This Row],[Class]]="B", WORKDAY(Main[[#This Row],[Tech Start Date]],19),IF(Main[[#This Row],[Class]]="A",WORKDAY(Main[[#This Row],[Tech Start Date]],9),""))))</f>
        <v/>
      </c>
      <c r="Q1382" s="67">
        <v>40349</v>
      </c>
      <c r="R1382" s="67">
        <v>40862</v>
      </c>
      <c r="S1382" s="65" t="s">
        <v>17</v>
      </c>
      <c r="T1382" s="70" t="s">
        <v>4</v>
      </c>
      <c r="U1382" s="65" t="s">
        <v>29</v>
      </c>
      <c r="V1382" s="65" t="s">
        <v>1920</v>
      </c>
      <c r="W1382" s="65" t="s">
        <v>1922</v>
      </c>
      <c r="X1382" s="65" t="s">
        <v>2925</v>
      </c>
      <c r="Y1382" s="65" t="s">
        <v>4</v>
      </c>
      <c r="Z1382" s="65" t="s">
        <v>415</v>
      </c>
      <c r="AA1382" s="65" t="s">
        <v>2925</v>
      </c>
    </row>
    <row r="1383" spans="1:27" ht="17.45" customHeight="1">
      <c r="A1383" s="131" t="str">
        <f>IF(priority(Main[[#This Row],[Comments]])&lt;&gt;0, priority(Main[[#This Row],[Comments]]),"")</f>
        <v/>
      </c>
      <c r="B1383" s="99" t="s">
        <v>1834</v>
      </c>
      <c r="C1383" s="65" t="s">
        <v>180</v>
      </c>
      <c r="D1383" s="66" t="s">
        <v>884</v>
      </c>
      <c r="E1383" s="67"/>
      <c r="F1383" s="67">
        <v>40421</v>
      </c>
      <c r="G1383" s="64" t="str">
        <f>IF(stdProdLT(Main[[#This Row],[Comments]])=0.1,"N/A",IF(stdProdLT(Main[[#This Row],[Comments]])=0,"",stdProdLT(Main[[#This Row],[Comments]])))</f>
        <v/>
      </c>
      <c r="H1383" s="68">
        <f>IF(AND(Main[[#This Row],[In Stock Date]]&lt;&gt;"",Main[[#This Row],[Revised Due Date]]&lt;&gt;""),Main[[#This Row],[In Stock Date]]-Main[[#This Row],[Revised Due Date]],"")</f>
        <v>4</v>
      </c>
      <c r="I1383" s="65" t="s">
        <v>885</v>
      </c>
      <c r="J1383" s="65" t="s">
        <v>51</v>
      </c>
      <c r="K1383" s="65" t="s">
        <v>1926</v>
      </c>
      <c r="L1383" s="67">
        <v>40354</v>
      </c>
      <c r="M1383" s="69">
        <f>IF(Main[[#This Row],[Tech Start Date]]&lt;1/1/1990,"",IF(Main[[#This Row],[Class]]="C",WORKDAY(Main[[#This Row],[Tech Start Date]],9),IF(Main[[#This Row],[Class]]="B", WORKDAY(Main[[#This Row],[Tech Start Date]],6),IF(Main[[#This Row],[Class]]="A",WORKDAY(Main[[#This Row],[Tech Start Date]],2),""))))</f>
        <v>40358</v>
      </c>
      <c r="N1383" s="69">
        <f>IF(Main[[#This Row],[Tech Start Date]]&lt;1/1/1990,"",IF(Main[[#This Row],[Class]]="C",WORKDAY(Main[[#This Row],[Tech Start Date]],19),IF(Main[[#This Row],[Class]]="B", WORKDAY(Main[[#This Row],[Tech Start Date]],12),IF(Main[[#This Row],[Class]]="A",WORKDAY(Main[[#This Row],[Tech Start Date]],4),""))))</f>
        <v>40360</v>
      </c>
      <c r="O1383" s="69">
        <f>IF(Main[[#This Row],[Tech Start Date]]&lt;1/1/1990,"",IF(Main[[#This Row],[Class]]="C",WORKDAY(Main[[#This Row],[Tech Start Date]],23),IF(Main[[#This Row],[Class]]="B", WORKDAY(Main[[#This Row],[Tech Start Date]],15),IF(Main[[#This Row],[Class]]="A",WORKDAY(Main[[#This Row],[Tech Start Date]],5),""))))</f>
        <v>40361</v>
      </c>
      <c r="P1383" s="69">
        <f>IF(Main[[#This Row],[Tech Start Date]]&lt;1/1/1990,"",IF(Main[[#This Row],[Class]]="C",WORKDAY(Main[[#This Row],[Tech Start Date]],28),IF(Main[[#This Row],[Class]]="B", WORKDAY(Main[[#This Row],[Tech Start Date]],19),IF(Main[[#This Row],[Class]]="A",WORKDAY(Main[[#This Row],[Tech Start Date]],9),""))))</f>
        <v>40367</v>
      </c>
      <c r="Q1383" s="67">
        <v>40417</v>
      </c>
      <c r="R1383" s="67">
        <v>40417</v>
      </c>
      <c r="S1383" s="65" t="s">
        <v>11</v>
      </c>
      <c r="T1383" s="70" t="s">
        <v>4</v>
      </c>
      <c r="U1383" s="65" t="s">
        <v>14</v>
      </c>
      <c r="V1383" s="65" t="s">
        <v>1927</v>
      </c>
      <c r="W1383" s="65" t="s">
        <v>1923</v>
      </c>
      <c r="X1383" s="65" t="s">
        <v>2878</v>
      </c>
      <c r="Y1383" s="65" t="s">
        <v>3002</v>
      </c>
      <c r="Z1383" s="65" t="s">
        <v>885</v>
      </c>
      <c r="AA1383" s="65" t="s">
        <v>2878</v>
      </c>
    </row>
    <row r="1384" spans="1:27" ht="17.45" customHeight="1">
      <c r="A1384" s="131" t="str">
        <f>IF(priority(Main[[#This Row],[Comments]])&lt;&gt;0, priority(Main[[#This Row],[Comments]]),"")</f>
        <v/>
      </c>
      <c r="B1384" s="99" t="s">
        <v>1833</v>
      </c>
      <c r="C1384" s="65" t="s">
        <v>180</v>
      </c>
      <c r="D1384" s="66" t="s">
        <v>886</v>
      </c>
      <c r="E1384" s="67"/>
      <c r="F1384" s="67">
        <v>40421</v>
      </c>
      <c r="G1384" s="64" t="str">
        <f>IF(stdProdLT(Main[[#This Row],[Comments]])=0.1,"N/A",IF(stdProdLT(Main[[#This Row],[Comments]])=0,"",stdProdLT(Main[[#This Row],[Comments]])))</f>
        <v/>
      </c>
      <c r="H1384" s="68">
        <f>IF(AND(Main[[#This Row],[In Stock Date]]&lt;&gt;"",Main[[#This Row],[Revised Due Date]]&lt;&gt;""),Main[[#This Row],[In Stock Date]]-Main[[#This Row],[Revised Due Date]],"")</f>
        <v>4</v>
      </c>
      <c r="I1384" s="65" t="s">
        <v>885</v>
      </c>
      <c r="J1384" s="65" t="s">
        <v>51</v>
      </c>
      <c r="K1384" s="65" t="s">
        <v>1926</v>
      </c>
      <c r="L1384" s="67">
        <v>40354</v>
      </c>
      <c r="M1384" s="69">
        <f>IF(Main[[#This Row],[Tech Start Date]]&lt;1/1/1990,"",IF(Main[[#This Row],[Class]]="C",WORKDAY(Main[[#This Row],[Tech Start Date]],9),IF(Main[[#This Row],[Class]]="B", WORKDAY(Main[[#This Row],[Tech Start Date]],6),IF(Main[[#This Row],[Class]]="A",WORKDAY(Main[[#This Row],[Tech Start Date]],2),""))))</f>
        <v>40358</v>
      </c>
      <c r="N1384" s="69">
        <f>IF(Main[[#This Row],[Tech Start Date]]&lt;1/1/1990,"",IF(Main[[#This Row],[Class]]="C",WORKDAY(Main[[#This Row],[Tech Start Date]],19),IF(Main[[#This Row],[Class]]="B", WORKDAY(Main[[#This Row],[Tech Start Date]],12),IF(Main[[#This Row],[Class]]="A",WORKDAY(Main[[#This Row],[Tech Start Date]],4),""))))</f>
        <v>40360</v>
      </c>
      <c r="O1384" s="69">
        <f>IF(Main[[#This Row],[Tech Start Date]]&lt;1/1/1990,"",IF(Main[[#This Row],[Class]]="C",WORKDAY(Main[[#This Row],[Tech Start Date]],23),IF(Main[[#This Row],[Class]]="B", WORKDAY(Main[[#This Row],[Tech Start Date]],15),IF(Main[[#This Row],[Class]]="A",WORKDAY(Main[[#This Row],[Tech Start Date]],5),""))))</f>
        <v>40361</v>
      </c>
      <c r="P1384" s="69">
        <f>IF(Main[[#This Row],[Tech Start Date]]&lt;1/1/1990,"",IF(Main[[#This Row],[Class]]="C",WORKDAY(Main[[#This Row],[Tech Start Date]],28),IF(Main[[#This Row],[Class]]="B", WORKDAY(Main[[#This Row],[Tech Start Date]],19),IF(Main[[#This Row],[Class]]="A",WORKDAY(Main[[#This Row],[Tech Start Date]],9),""))))</f>
        <v>40367</v>
      </c>
      <c r="Q1384" s="67">
        <v>40417</v>
      </c>
      <c r="R1384" s="67">
        <v>40417</v>
      </c>
      <c r="S1384" s="65" t="s">
        <v>11</v>
      </c>
      <c r="T1384" s="70" t="s">
        <v>4</v>
      </c>
      <c r="U1384" s="65" t="s">
        <v>14</v>
      </c>
      <c r="V1384" s="65" t="s">
        <v>1927</v>
      </c>
      <c r="W1384" s="65" t="s">
        <v>1923</v>
      </c>
      <c r="X1384" s="65" t="s">
        <v>2878</v>
      </c>
      <c r="Y1384" s="65" t="s">
        <v>3002</v>
      </c>
      <c r="Z1384" s="65" t="s">
        <v>885</v>
      </c>
      <c r="AA1384" s="65" t="s">
        <v>2878</v>
      </c>
    </row>
    <row r="1385" spans="1:27" ht="17.45" customHeight="1">
      <c r="A1385" s="131" t="str">
        <f>IF(priority(Main[[#This Row],[Comments]])&lt;&gt;0, priority(Main[[#This Row],[Comments]]),"")</f>
        <v/>
      </c>
      <c r="B1385" s="99" t="s">
        <v>1831</v>
      </c>
      <c r="C1385" s="65" t="s">
        <v>881</v>
      </c>
      <c r="D1385" s="66" t="s">
        <v>882</v>
      </c>
      <c r="E1385" s="67"/>
      <c r="F1385" s="67">
        <v>40442</v>
      </c>
      <c r="G1385" s="64" t="str">
        <f>IF(stdProdLT(Main[[#This Row],[Comments]])=0.1,"N/A",IF(stdProdLT(Main[[#This Row],[Comments]])=0,"",stdProdLT(Main[[#This Row],[Comments]])))</f>
        <v/>
      </c>
      <c r="H1385" s="68">
        <f>IF(AND(Main[[#This Row],[In Stock Date]]&lt;&gt;"",Main[[#This Row],[Revised Due Date]]&lt;&gt;""),Main[[#This Row],[In Stock Date]]-Main[[#This Row],[Revised Due Date]],"")</f>
        <v>40</v>
      </c>
      <c r="I1385" s="65" t="s">
        <v>554</v>
      </c>
      <c r="J1385" s="65" t="s">
        <v>28</v>
      </c>
      <c r="K1385" s="65" t="s">
        <v>1929</v>
      </c>
      <c r="L1385" s="67">
        <v>40366</v>
      </c>
      <c r="M1385" s="69" t="str">
        <f>IF(Main[[#This Row],[Tech Start Date]]&lt;1/1/1990,"",IF(Main[[#This Row],[Class]]="C",WORKDAY(Main[[#This Row],[Tech Start Date]],9),IF(Main[[#This Row],[Class]]="B", WORKDAY(Main[[#This Row],[Tech Start Date]],6),IF(Main[[#This Row],[Class]]="A",WORKDAY(Main[[#This Row],[Tech Start Date]],2),""))))</f>
        <v/>
      </c>
      <c r="N1385" s="69" t="str">
        <f>IF(Main[[#This Row],[Tech Start Date]]&lt;1/1/1990,"",IF(Main[[#This Row],[Class]]="C",WORKDAY(Main[[#This Row],[Tech Start Date]],19),IF(Main[[#This Row],[Class]]="B", WORKDAY(Main[[#This Row],[Tech Start Date]],12),IF(Main[[#This Row],[Class]]="A",WORKDAY(Main[[#This Row],[Tech Start Date]],4),""))))</f>
        <v/>
      </c>
      <c r="O1385" s="69" t="str">
        <f>IF(Main[[#This Row],[Tech Start Date]]&lt;1/1/1990,"",IF(Main[[#This Row],[Class]]="C",WORKDAY(Main[[#This Row],[Tech Start Date]],23),IF(Main[[#This Row],[Class]]="B", WORKDAY(Main[[#This Row],[Tech Start Date]],15),IF(Main[[#This Row],[Class]]="A",WORKDAY(Main[[#This Row],[Tech Start Date]],5),""))))</f>
        <v/>
      </c>
      <c r="P1385" s="69" t="str">
        <f>IF(Main[[#This Row],[Tech Start Date]]&lt;1/1/1990,"",IF(Main[[#This Row],[Class]]="C",WORKDAY(Main[[#This Row],[Tech Start Date]],28),IF(Main[[#This Row],[Class]]="B", WORKDAY(Main[[#This Row],[Tech Start Date]],19),IF(Main[[#This Row],[Class]]="A",WORKDAY(Main[[#This Row],[Tech Start Date]],9),""))))</f>
        <v/>
      </c>
      <c r="Q1385" s="67">
        <v>40374</v>
      </c>
      <c r="R1385" s="67">
        <v>40402</v>
      </c>
      <c r="S1385" s="65" t="s">
        <v>11</v>
      </c>
      <c r="T1385" s="70" t="s">
        <v>4</v>
      </c>
      <c r="U1385" s="65" t="s">
        <v>14</v>
      </c>
      <c r="V1385" s="65" t="s">
        <v>1920</v>
      </c>
      <c r="W1385" s="65" t="s">
        <v>1922</v>
      </c>
      <c r="X1385" s="65" t="s">
        <v>2880</v>
      </c>
      <c r="Y1385" s="65" t="s">
        <v>3025</v>
      </c>
      <c r="Z1385" s="65" t="s">
        <v>4</v>
      </c>
      <c r="AA1385" s="65" t="s">
        <v>2880</v>
      </c>
    </row>
    <row r="1386" spans="1:27" ht="17.45" customHeight="1">
      <c r="A1386" s="131" t="str">
        <f>IF(priority(Main[[#This Row],[Comments]])&lt;&gt;0, priority(Main[[#This Row],[Comments]]),"")</f>
        <v/>
      </c>
      <c r="B1386" s="99" t="s">
        <v>1247</v>
      </c>
      <c r="C1386" s="65" t="s">
        <v>4</v>
      </c>
      <c r="D1386" s="66" t="s">
        <v>309</v>
      </c>
      <c r="E1386" s="67">
        <v>40395.401192129626</v>
      </c>
      <c r="F1386" s="67">
        <v>40574</v>
      </c>
      <c r="G1386" s="64" t="str">
        <f>IF(stdProdLT(Main[[#This Row],[Comments]])=0.1,"N/A",IF(stdProdLT(Main[[#This Row],[Comments]])=0,"",stdProdLT(Main[[#This Row],[Comments]])))</f>
        <v/>
      </c>
      <c r="H1386" s="68">
        <f>IF(AND(Main[[#This Row],[In Stock Date]]&lt;&gt;"",Main[[#This Row],[Revised Due Date]]&lt;&gt;""),Main[[#This Row],[In Stock Date]]-Main[[#This Row],[Revised Due Date]],"")</f>
        <v>-465</v>
      </c>
      <c r="I1386" s="65" t="s">
        <v>4</v>
      </c>
      <c r="J1386" s="65" t="s">
        <v>28</v>
      </c>
      <c r="K1386" s="65" t="s">
        <v>1929</v>
      </c>
      <c r="L1386" s="67">
        <v>40405</v>
      </c>
      <c r="M1386" s="69" t="str">
        <f>IF(Main[[#This Row],[Tech Start Date]]&lt;1/1/1990,"",IF(Main[[#This Row],[Class]]="C",WORKDAY(Main[[#This Row],[Tech Start Date]],9),IF(Main[[#This Row],[Class]]="B", WORKDAY(Main[[#This Row],[Tech Start Date]],6),IF(Main[[#This Row],[Class]]="A",WORKDAY(Main[[#This Row],[Tech Start Date]],2),""))))</f>
        <v/>
      </c>
      <c r="N1386" s="69" t="str">
        <f>IF(Main[[#This Row],[Tech Start Date]]&lt;1/1/1990,"",IF(Main[[#This Row],[Class]]="C",WORKDAY(Main[[#This Row],[Tech Start Date]],19),IF(Main[[#This Row],[Class]]="B", WORKDAY(Main[[#This Row],[Tech Start Date]],12),IF(Main[[#This Row],[Class]]="A",WORKDAY(Main[[#This Row],[Tech Start Date]],4),""))))</f>
        <v/>
      </c>
      <c r="O1386" s="69" t="str">
        <f>IF(Main[[#This Row],[Tech Start Date]]&lt;1/1/1990,"",IF(Main[[#This Row],[Class]]="C",WORKDAY(Main[[#This Row],[Tech Start Date]],23),IF(Main[[#This Row],[Class]]="B", WORKDAY(Main[[#This Row],[Tech Start Date]],15),IF(Main[[#This Row],[Class]]="A",WORKDAY(Main[[#This Row],[Tech Start Date]],5),""))))</f>
        <v/>
      </c>
      <c r="P1386" s="69" t="str">
        <f>IF(Main[[#This Row],[Tech Start Date]]&lt;1/1/1990,"",IF(Main[[#This Row],[Class]]="C",WORKDAY(Main[[#This Row],[Tech Start Date]],28),IF(Main[[#This Row],[Class]]="B", WORKDAY(Main[[#This Row],[Tech Start Date]],19),IF(Main[[#This Row],[Class]]="A",WORKDAY(Main[[#This Row],[Tech Start Date]],9),""))))</f>
        <v/>
      </c>
      <c r="Q1386" s="67"/>
      <c r="R1386" s="67">
        <v>41039</v>
      </c>
      <c r="S1386" s="65" t="s">
        <v>17</v>
      </c>
      <c r="T1386" s="70" t="s">
        <v>4</v>
      </c>
      <c r="U1386" s="65" t="s">
        <v>29</v>
      </c>
      <c r="V1386" s="65" t="s">
        <v>1920</v>
      </c>
      <c r="W1386" s="65" t="s">
        <v>1922</v>
      </c>
      <c r="X1386" s="65" t="s">
        <v>50</v>
      </c>
      <c r="Y1386" s="65" t="s">
        <v>2991</v>
      </c>
      <c r="Z1386" s="65" t="s">
        <v>970</v>
      </c>
      <c r="AA1386" s="65" t="s">
        <v>65</v>
      </c>
    </row>
    <row r="1387" spans="1:27" ht="17.45" customHeight="1">
      <c r="A1387" s="131" t="str">
        <f>IF(priority(Main[[#This Row],[Comments]])&lt;&gt;0, priority(Main[[#This Row],[Comments]]),"")</f>
        <v/>
      </c>
      <c r="B1387" s="99" t="s">
        <v>1714</v>
      </c>
      <c r="C1387" s="65" t="s">
        <v>4</v>
      </c>
      <c r="D1387" s="66" t="s">
        <v>764</v>
      </c>
      <c r="E1387" s="67">
        <v>40395.395856481482</v>
      </c>
      <c r="F1387" s="67">
        <v>40574</v>
      </c>
      <c r="G1387" s="64" t="str">
        <f>IF(stdProdLT(Main[[#This Row],[Comments]])=0.1,"N/A",IF(stdProdLT(Main[[#This Row],[Comments]])=0,"",stdProdLT(Main[[#This Row],[Comments]])))</f>
        <v/>
      </c>
      <c r="H1387" s="68">
        <f>IF(AND(Main[[#This Row],[In Stock Date]]&lt;&gt;"",Main[[#This Row],[Revised Due Date]]&lt;&gt;""),Main[[#This Row],[In Stock Date]]-Main[[#This Row],[Revised Due Date]],"")</f>
        <v>-431</v>
      </c>
      <c r="I1387" s="65" t="s">
        <v>4</v>
      </c>
      <c r="J1387" s="65" t="s">
        <v>28</v>
      </c>
      <c r="K1387" s="65" t="s">
        <v>1929</v>
      </c>
      <c r="L1387" s="67">
        <v>40405</v>
      </c>
      <c r="M1387" s="69" t="str">
        <f>IF(Main[[#This Row],[Tech Start Date]]&lt;1/1/1990,"",IF(Main[[#This Row],[Class]]="C",WORKDAY(Main[[#This Row],[Tech Start Date]],9),IF(Main[[#This Row],[Class]]="B", WORKDAY(Main[[#This Row],[Tech Start Date]],6),IF(Main[[#This Row],[Class]]="A",WORKDAY(Main[[#This Row],[Tech Start Date]],2),""))))</f>
        <v/>
      </c>
      <c r="N1387" s="69" t="str">
        <f>IF(Main[[#This Row],[Tech Start Date]]&lt;1/1/1990,"",IF(Main[[#This Row],[Class]]="C",WORKDAY(Main[[#This Row],[Tech Start Date]],19),IF(Main[[#This Row],[Class]]="B", WORKDAY(Main[[#This Row],[Tech Start Date]],12),IF(Main[[#This Row],[Class]]="A",WORKDAY(Main[[#This Row],[Tech Start Date]],4),""))))</f>
        <v/>
      </c>
      <c r="O1387" s="69" t="str">
        <f>IF(Main[[#This Row],[Tech Start Date]]&lt;1/1/1990,"",IF(Main[[#This Row],[Class]]="C",WORKDAY(Main[[#This Row],[Tech Start Date]],23),IF(Main[[#This Row],[Class]]="B", WORKDAY(Main[[#This Row],[Tech Start Date]],15),IF(Main[[#This Row],[Class]]="A",WORKDAY(Main[[#This Row],[Tech Start Date]],5),""))))</f>
        <v/>
      </c>
      <c r="P1387" s="69" t="str">
        <f>IF(Main[[#This Row],[Tech Start Date]]&lt;1/1/1990,"",IF(Main[[#This Row],[Class]]="C",WORKDAY(Main[[#This Row],[Tech Start Date]],28),IF(Main[[#This Row],[Class]]="B", WORKDAY(Main[[#This Row],[Tech Start Date]],19),IF(Main[[#This Row],[Class]]="A",WORKDAY(Main[[#This Row],[Tech Start Date]],9),""))))</f>
        <v/>
      </c>
      <c r="Q1387" s="67"/>
      <c r="R1387" s="67">
        <v>41005</v>
      </c>
      <c r="S1387" s="65" t="s">
        <v>17</v>
      </c>
      <c r="T1387" s="70" t="s">
        <v>4</v>
      </c>
      <c r="U1387" s="65" t="s">
        <v>29</v>
      </c>
      <c r="V1387" s="65" t="s">
        <v>1920</v>
      </c>
      <c r="W1387" s="65" t="s">
        <v>1922</v>
      </c>
      <c r="X1387" s="65" t="s">
        <v>50</v>
      </c>
      <c r="Y1387" s="65" t="s">
        <v>2991</v>
      </c>
      <c r="Z1387" s="65" t="s">
        <v>970</v>
      </c>
      <c r="AA1387" s="65" t="s">
        <v>65</v>
      </c>
    </row>
    <row r="1388" spans="1:27" ht="17.45" customHeight="1">
      <c r="A1388" s="131" t="str">
        <f>IF(priority(Main[[#This Row],[Comments]])&lt;&gt;0, priority(Main[[#This Row],[Comments]]),"")</f>
        <v/>
      </c>
      <c r="B1388" s="99" t="s">
        <v>1523</v>
      </c>
      <c r="C1388" s="65" t="s">
        <v>4</v>
      </c>
      <c r="D1388" s="66" t="s">
        <v>3824</v>
      </c>
      <c r="E1388" s="67">
        <v>40436.377106481479</v>
      </c>
      <c r="F1388" s="67"/>
      <c r="G1388" s="64" t="str">
        <f>IF(stdProdLT(Main[[#This Row],[Comments]])=0.1,"N/A",IF(stdProdLT(Main[[#This Row],[Comments]])=0,"",stdProdLT(Main[[#This Row],[Comments]])))</f>
        <v/>
      </c>
      <c r="H1388" s="68" t="str">
        <f>IF(AND(Main[[#This Row],[In Stock Date]]&lt;&gt;"",Main[[#This Row],[Revised Due Date]]&lt;&gt;""),Main[[#This Row],[In Stock Date]]-Main[[#This Row],[Revised Due Date]],"")</f>
        <v/>
      </c>
      <c r="I1388" s="65" t="s">
        <v>888</v>
      </c>
      <c r="J1388" s="65" t="s">
        <v>4</v>
      </c>
      <c r="K1388" s="65" t="s">
        <v>1929</v>
      </c>
      <c r="L1388" s="67">
        <v>40441</v>
      </c>
      <c r="M1388" s="69" t="str">
        <f>IF(Main[[#This Row],[Tech Start Date]]&lt;1/1/1990,"",IF(Main[[#This Row],[Class]]="C",WORKDAY(Main[[#This Row],[Tech Start Date]],9),IF(Main[[#This Row],[Class]]="B", WORKDAY(Main[[#This Row],[Tech Start Date]],6),IF(Main[[#This Row],[Class]]="A",WORKDAY(Main[[#This Row],[Tech Start Date]],2),""))))</f>
        <v/>
      </c>
      <c r="N1388" s="69" t="str">
        <f>IF(Main[[#This Row],[Tech Start Date]]&lt;1/1/1990,"",IF(Main[[#This Row],[Class]]="C",WORKDAY(Main[[#This Row],[Tech Start Date]],19),IF(Main[[#This Row],[Class]]="B", WORKDAY(Main[[#This Row],[Tech Start Date]],12),IF(Main[[#This Row],[Class]]="A",WORKDAY(Main[[#This Row],[Tech Start Date]],4),""))))</f>
        <v/>
      </c>
      <c r="O1388" s="69" t="str">
        <f>IF(Main[[#This Row],[Tech Start Date]]&lt;1/1/1990,"",IF(Main[[#This Row],[Class]]="C",WORKDAY(Main[[#This Row],[Tech Start Date]],23),IF(Main[[#This Row],[Class]]="B", WORKDAY(Main[[#This Row],[Tech Start Date]],15),IF(Main[[#This Row],[Class]]="A",WORKDAY(Main[[#This Row],[Tech Start Date]],5),""))))</f>
        <v/>
      </c>
      <c r="P1388" s="69" t="str">
        <f>IF(Main[[#This Row],[Tech Start Date]]&lt;1/1/1990,"",IF(Main[[#This Row],[Class]]="C",WORKDAY(Main[[#This Row],[Tech Start Date]],28),IF(Main[[#This Row],[Class]]="B", WORKDAY(Main[[#This Row],[Tech Start Date]],19),IF(Main[[#This Row],[Class]]="A",WORKDAY(Main[[#This Row],[Tech Start Date]],9),""))))</f>
        <v/>
      </c>
      <c r="Q1388" s="67">
        <v>41274</v>
      </c>
      <c r="R1388" s="67">
        <v>41180</v>
      </c>
      <c r="S1388" s="65" t="s">
        <v>17</v>
      </c>
      <c r="T1388" s="70" t="s">
        <v>2608</v>
      </c>
      <c r="U1388" s="65" t="s">
        <v>29</v>
      </c>
      <c r="V1388" s="65" t="s">
        <v>1917</v>
      </c>
      <c r="W1388" s="65" t="s">
        <v>1922</v>
      </c>
      <c r="X1388" s="65" t="s">
        <v>924</v>
      </c>
      <c r="Y1388" s="65" t="s">
        <v>3152</v>
      </c>
      <c r="Z1388" s="65" t="s">
        <v>879</v>
      </c>
      <c r="AA1388" s="65" t="s">
        <v>2834</v>
      </c>
    </row>
    <row r="1389" spans="1:27" ht="17.45" customHeight="1">
      <c r="A1389" s="131" t="str">
        <f>IF(priority(Main[[#This Row],[Comments]])&lt;&gt;0, priority(Main[[#This Row],[Comments]]),"")</f>
        <v/>
      </c>
      <c r="B1389" s="99" t="s">
        <v>1842</v>
      </c>
      <c r="C1389" s="65" t="s">
        <v>4</v>
      </c>
      <c r="D1389" s="66" t="s">
        <v>897</v>
      </c>
      <c r="E1389" s="67"/>
      <c r="F1389" s="67"/>
      <c r="G1389" s="64" t="str">
        <f>IF(stdProdLT(Main[[#This Row],[Comments]])=0.1,"N/A",IF(stdProdLT(Main[[#This Row],[Comments]])=0,"",stdProdLT(Main[[#This Row],[Comments]])))</f>
        <v/>
      </c>
      <c r="H1389" s="68" t="str">
        <f>IF(AND(Main[[#This Row],[In Stock Date]]&lt;&gt;"",Main[[#This Row],[Revised Due Date]]&lt;&gt;""),Main[[#This Row],[In Stock Date]]-Main[[#This Row],[Revised Due Date]],"")</f>
        <v/>
      </c>
      <c r="I1389" s="65" t="s">
        <v>710</v>
      </c>
      <c r="J1389" s="65" t="s">
        <v>4</v>
      </c>
      <c r="K1389" s="65" t="s">
        <v>4</v>
      </c>
      <c r="L1389" s="67">
        <v>40469</v>
      </c>
      <c r="M1389" s="69" t="str">
        <f>IF(Main[[#This Row],[Tech Start Date]]&lt;1/1/1990,"",IF(Main[[#This Row],[Class]]="C",WORKDAY(Main[[#This Row],[Tech Start Date]],9),IF(Main[[#This Row],[Class]]="B", WORKDAY(Main[[#This Row],[Tech Start Date]],6),IF(Main[[#This Row],[Class]]="A",WORKDAY(Main[[#This Row],[Tech Start Date]],2),""))))</f>
        <v/>
      </c>
      <c r="N1389" s="69" t="str">
        <f>IF(Main[[#This Row],[Tech Start Date]]&lt;1/1/1990,"",IF(Main[[#This Row],[Class]]="C",WORKDAY(Main[[#This Row],[Tech Start Date]],19),IF(Main[[#This Row],[Class]]="B", WORKDAY(Main[[#This Row],[Tech Start Date]],12),IF(Main[[#This Row],[Class]]="A",WORKDAY(Main[[#This Row],[Tech Start Date]],4),""))))</f>
        <v/>
      </c>
      <c r="O1389" s="69" t="str">
        <f>IF(Main[[#This Row],[Tech Start Date]]&lt;1/1/1990,"",IF(Main[[#This Row],[Class]]="C",WORKDAY(Main[[#This Row],[Tech Start Date]],23),IF(Main[[#This Row],[Class]]="B", WORKDAY(Main[[#This Row],[Tech Start Date]],15),IF(Main[[#This Row],[Class]]="A",WORKDAY(Main[[#This Row],[Tech Start Date]],5),""))))</f>
        <v/>
      </c>
      <c r="P1389" s="69" t="str">
        <f>IF(Main[[#This Row],[Tech Start Date]]&lt;1/1/1990,"",IF(Main[[#This Row],[Class]]="C",WORKDAY(Main[[#This Row],[Tech Start Date]],28),IF(Main[[#This Row],[Class]]="B", WORKDAY(Main[[#This Row],[Tech Start Date]],19),IF(Main[[#This Row],[Class]]="A",WORKDAY(Main[[#This Row],[Tech Start Date]],9),""))))</f>
        <v/>
      </c>
      <c r="Q1389" s="67"/>
      <c r="R1389" s="67">
        <v>40473</v>
      </c>
      <c r="S1389" s="65" t="s">
        <v>23</v>
      </c>
      <c r="T1389" s="70" t="s">
        <v>4</v>
      </c>
      <c r="U1389" s="65" t="s">
        <v>14</v>
      </c>
      <c r="V1389" s="65" t="s">
        <v>1917</v>
      </c>
      <c r="W1389" s="65" t="s">
        <v>1921</v>
      </c>
      <c r="X1389" s="65" t="s">
        <v>306</v>
      </c>
      <c r="Y1389" s="65" t="s">
        <v>4</v>
      </c>
      <c r="Z1389" s="65" t="s">
        <v>129</v>
      </c>
      <c r="AA1389" s="65" t="s">
        <v>3482</v>
      </c>
    </row>
    <row r="1390" spans="1:27" ht="17.45" customHeight="1">
      <c r="A1390" s="131" t="str">
        <f>IF(priority(Main[[#This Row],[Comments]])&lt;&gt;0, priority(Main[[#This Row],[Comments]]),"")</f>
        <v/>
      </c>
      <c r="B1390" s="99" t="s">
        <v>1091</v>
      </c>
      <c r="C1390" s="65" t="s">
        <v>4</v>
      </c>
      <c r="D1390" s="66" t="s">
        <v>2003</v>
      </c>
      <c r="E1390" s="67"/>
      <c r="F1390" s="67"/>
      <c r="G1390" s="64" t="str">
        <f>IF(stdProdLT(Main[[#This Row],[Comments]])=0.1,"N/A",IF(stdProdLT(Main[[#This Row],[Comments]])=0,"",stdProdLT(Main[[#This Row],[Comments]])))</f>
        <v/>
      </c>
      <c r="H1390" s="68" t="str">
        <f>IF(AND(Main[[#This Row],[In Stock Date]]&lt;&gt;"",Main[[#This Row],[Revised Due Date]]&lt;&gt;""),Main[[#This Row],[In Stock Date]]-Main[[#This Row],[Revised Due Date]],"")</f>
        <v/>
      </c>
      <c r="I1390" s="65" t="s">
        <v>30</v>
      </c>
      <c r="J1390" s="65" t="s">
        <v>28</v>
      </c>
      <c r="K1390" s="65" t="s">
        <v>1924</v>
      </c>
      <c r="L1390" s="67">
        <v>40486</v>
      </c>
      <c r="M1390" s="69">
        <f>IF(Main[[#This Row],[Tech Start Date]]&lt;1/1/1990,"",IF(Main[[#This Row],[Class]]="C",WORKDAY(Main[[#This Row],[Tech Start Date]],9),IF(Main[[#This Row],[Class]]="B", WORKDAY(Main[[#This Row],[Tech Start Date]],6),IF(Main[[#This Row],[Class]]="A",WORKDAY(Main[[#This Row],[Tech Start Date]],2),""))))</f>
        <v>40494</v>
      </c>
      <c r="N1390" s="69">
        <f>IF(Main[[#This Row],[Tech Start Date]]&lt;1/1/1990,"",IF(Main[[#This Row],[Class]]="C",WORKDAY(Main[[#This Row],[Tech Start Date]],19),IF(Main[[#This Row],[Class]]="B", WORKDAY(Main[[#This Row],[Tech Start Date]],12),IF(Main[[#This Row],[Class]]="A",WORKDAY(Main[[#This Row],[Tech Start Date]],4),""))))</f>
        <v>40504</v>
      </c>
      <c r="O1390" s="69">
        <f>IF(Main[[#This Row],[Tech Start Date]]&lt;1/1/1990,"",IF(Main[[#This Row],[Class]]="C",WORKDAY(Main[[#This Row],[Tech Start Date]],23),IF(Main[[#This Row],[Class]]="B", WORKDAY(Main[[#This Row],[Tech Start Date]],15),IF(Main[[#This Row],[Class]]="A",WORKDAY(Main[[#This Row],[Tech Start Date]],5),""))))</f>
        <v>40507</v>
      </c>
      <c r="P1390" s="69">
        <f>IF(Main[[#This Row],[Tech Start Date]]&lt;1/1/1990,"",IF(Main[[#This Row],[Class]]="C",WORKDAY(Main[[#This Row],[Tech Start Date]],28),IF(Main[[#This Row],[Class]]="B", WORKDAY(Main[[#This Row],[Tech Start Date]],19),IF(Main[[#This Row],[Class]]="A",WORKDAY(Main[[#This Row],[Tech Start Date]],9),""))))</f>
        <v>40513</v>
      </c>
      <c r="Q1390" s="67"/>
      <c r="R1390" s="67"/>
      <c r="S1390" s="65" t="s">
        <v>6</v>
      </c>
      <c r="T1390" s="70" t="s">
        <v>4</v>
      </c>
      <c r="U1390" s="65" t="s">
        <v>14</v>
      </c>
      <c r="V1390" s="65" t="s">
        <v>1920</v>
      </c>
      <c r="W1390" s="65" t="s">
        <v>1921</v>
      </c>
      <c r="X1390" s="65" t="s">
        <v>2872</v>
      </c>
      <c r="Y1390" s="65" t="s">
        <v>3006</v>
      </c>
      <c r="Z1390" s="65" t="s">
        <v>530</v>
      </c>
      <c r="AA1390" s="65" t="s">
        <v>2872</v>
      </c>
    </row>
    <row r="1391" spans="1:27" ht="17.45" customHeight="1">
      <c r="A1391" s="131" t="str">
        <f>IF(priority(Main[[#This Row],[Comments]])&lt;&gt;0, priority(Main[[#This Row],[Comments]]),"")</f>
        <v/>
      </c>
      <c r="B1391" s="99" t="s">
        <v>1715</v>
      </c>
      <c r="C1391" s="65" t="s">
        <v>4</v>
      </c>
      <c r="D1391" s="66" t="s">
        <v>765</v>
      </c>
      <c r="E1391" s="67"/>
      <c r="F1391" s="67"/>
      <c r="G1391" s="64" t="str">
        <f>IF(stdProdLT(Main[[#This Row],[Comments]])=0.1,"N/A",IF(stdProdLT(Main[[#This Row],[Comments]])=0,"",stdProdLT(Main[[#This Row],[Comments]])))</f>
        <v/>
      </c>
      <c r="H1391" s="68" t="str">
        <f>IF(AND(Main[[#This Row],[In Stock Date]]&lt;&gt;"",Main[[#This Row],[Revised Due Date]]&lt;&gt;""),Main[[#This Row],[In Stock Date]]-Main[[#This Row],[Revised Due Date]],"")</f>
        <v/>
      </c>
      <c r="I1391" s="65" t="s">
        <v>171</v>
      </c>
      <c r="J1391" s="65" t="s">
        <v>70</v>
      </c>
      <c r="K1391" s="65" t="s">
        <v>1924</v>
      </c>
      <c r="L1391" s="67">
        <v>40486</v>
      </c>
      <c r="M1391" s="69">
        <f>IF(Main[[#This Row],[Tech Start Date]]&lt;1/1/1990,"",IF(Main[[#This Row],[Class]]="C",WORKDAY(Main[[#This Row],[Tech Start Date]],9),IF(Main[[#This Row],[Class]]="B", WORKDAY(Main[[#This Row],[Tech Start Date]],6),IF(Main[[#This Row],[Class]]="A",WORKDAY(Main[[#This Row],[Tech Start Date]],2),""))))</f>
        <v>40494</v>
      </c>
      <c r="N1391" s="69">
        <f>IF(Main[[#This Row],[Tech Start Date]]&lt;1/1/1990,"",IF(Main[[#This Row],[Class]]="C",WORKDAY(Main[[#This Row],[Tech Start Date]],19),IF(Main[[#This Row],[Class]]="B", WORKDAY(Main[[#This Row],[Tech Start Date]],12),IF(Main[[#This Row],[Class]]="A",WORKDAY(Main[[#This Row],[Tech Start Date]],4),""))))</f>
        <v>40504</v>
      </c>
      <c r="O1391" s="69">
        <f>IF(Main[[#This Row],[Tech Start Date]]&lt;1/1/1990,"",IF(Main[[#This Row],[Class]]="C",WORKDAY(Main[[#This Row],[Tech Start Date]],23),IF(Main[[#This Row],[Class]]="B", WORKDAY(Main[[#This Row],[Tech Start Date]],15),IF(Main[[#This Row],[Class]]="A",WORKDAY(Main[[#This Row],[Tech Start Date]],5),""))))</f>
        <v>40507</v>
      </c>
      <c r="P1391" s="69">
        <f>IF(Main[[#This Row],[Tech Start Date]]&lt;1/1/1990,"",IF(Main[[#This Row],[Class]]="C",WORKDAY(Main[[#This Row],[Tech Start Date]],28),IF(Main[[#This Row],[Class]]="B", WORKDAY(Main[[#This Row],[Tech Start Date]],19),IF(Main[[#This Row],[Class]]="A",WORKDAY(Main[[#This Row],[Tech Start Date]],9),""))))</f>
        <v>40513</v>
      </c>
      <c r="Q1391" s="67">
        <v>40504</v>
      </c>
      <c r="R1391" s="67"/>
      <c r="S1391" s="65" t="s">
        <v>6</v>
      </c>
      <c r="T1391" s="70" t="s">
        <v>4</v>
      </c>
      <c r="U1391" s="65" t="s">
        <v>14</v>
      </c>
      <c r="V1391" s="65" t="s">
        <v>1920</v>
      </c>
      <c r="W1391" s="65" t="s">
        <v>1921</v>
      </c>
      <c r="X1391" s="65" t="s">
        <v>2828</v>
      </c>
      <c r="Y1391" s="65" t="s">
        <v>2944</v>
      </c>
      <c r="Z1391" s="65" t="s">
        <v>30</v>
      </c>
      <c r="AA1391" s="65" t="s">
        <v>2828</v>
      </c>
    </row>
    <row r="1392" spans="1:27" ht="17.45" customHeight="1">
      <c r="A1392" s="131" t="str">
        <f>IF(priority(Main[[#This Row],[Comments]])&lt;&gt;0, priority(Main[[#This Row],[Comments]]),"")</f>
        <v/>
      </c>
      <c r="B1392" s="99" t="s">
        <v>1728</v>
      </c>
      <c r="C1392" s="65" t="s">
        <v>4</v>
      </c>
      <c r="D1392" s="66" t="s">
        <v>2297</v>
      </c>
      <c r="E1392" s="67">
        <v>40462.421793981484</v>
      </c>
      <c r="F1392" s="67"/>
      <c r="G1392" s="64" t="str">
        <f>IF(stdProdLT(Main[[#This Row],[Comments]])=0.1,"N/A",IF(stdProdLT(Main[[#This Row],[Comments]])=0,"",stdProdLT(Main[[#This Row],[Comments]])))</f>
        <v/>
      </c>
      <c r="H1392" s="68" t="str">
        <f>IF(AND(Main[[#This Row],[In Stock Date]]&lt;&gt;"",Main[[#This Row],[Revised Due Date]]&lt;&gt;""),Main[[#This Row],[In Stock Date]]-Main[[#This Row],[Revised Due Date]],"")</f>
        <v/>
      </c>
      <c r="I1392" s="65" t="s">
        <v>896</v>
      </c>
      <c r="J1392" s="65" t="s">
        <v>52</v>
      </c>
      <c r="K1392" s="65" t="s">
        <v>1924</v>
      </c>
      <c r="L1392" s="67">
        <v>40486</v>
      </c>
      <c r="M1392" s="69">
        <f>IF(Main[[#This Row],[Tech Start Date]]&lt;1/1/1990,"",IF(Main[[#This Row],[Class]]="C",WORKDAY(Main[[#This Row],[Tech Start Date]],9),IF(Main[[#This Row],[Class]]="B", WORKDAY(Main[[#This Row],[Tech Start Date]],6),IF(Main[[#This Row],[Class]]="A",WORKDAY(Main[[#This Row],[Tech Start Date]],2),""))))</f>
        <v>40494</v>
      </c>
      <c r="N1392" s="69">
        <f>IF(Main[[#This Row],[Tech Start Date]]&lt;1/1/1990,"",IF(Main[[#This Row],[Class]]="C",WORKDAY(Main[[#This Row],[Tech Start Date]],19),IF(Main[[#This Row],[Class]]="B", WORKDAY(Main[[#This Row],[Tech Start Date]],12),IF(Main[[#This Row],[Class]]="A",WORKDAY(Main[[#This Row],[Tech Start Date]],4),""))))</f>
        <v>40504</v>
      </c>
      <c r="O1392" s="69">
        <f>IF(Main[[#This Row],[Tech Start Date]]&lt;1/1/1990,"",IF(Main[[#This Row],[Class]]="C",WORKDAY(Main[[#This Row],[Tech Start Date]],23),IF(Main[[#This Row],[Class]]="B", WORKDAY(Main[[#This Row],[Tech Start Date]],15),IF(Main[[#This Row],[Class]]="A",WORKDAY(Main[[#This Row],[Tech Start Date]],5),""))))</f>
        <v>40507</v>
      </c>
      <c r="P1392" s="69">
        <f>IF(Main[[#This Row],[Tech Start Date]]&lt;1/1/1990,"",IF(Main[[#This Row],[Class]]="C",WORKDAY(Main[[#This Row],[Tech Start Date]],28),IF(Main[[#This Row],[Class]]="B", WORKDAY(Main[[#This Row],[Tech Start Date]],19),IF(Main[[#This Row],[Class]]="A",WORKDAY(Main[[#This Row],[Tech Start Date]],9),""))))</f>
        <v>40513</v>
      </c>
      <c r="Q1392" s="67">
        <v>40543</v>
      </c>
      <c r="R1392" s="67"/>
      <c r="S1392" s="65" t="s">
        <v>6</v>
      </c>
      <c r="T1392" s="70" t="s">
        <v>4</v>
      </c>
      <c r="U1392" s="65" t="s">
        <v>29</v>
      </c>
      <c r="V1392" s="65" t="s">
        <v>1920</v>
      </c>
      <c r="W1392" s="65" t="s">
        <v>1921</v>
      </c>
      <c r="X1392" s="65" t="s">
        <v>2893</v>
      </c>
      <c r="Y1392" s="65" t="s">
        <v>3049</v>
      </c>
      <c r="Z1392" s="65" t="s">
        <v>30</v>
      </c>
      <c r="AA1392" s="65" t="s">
        <v>2893</v>
      </c>
    </row>
    <row r="1393" spans="1:27" ht="17.45" customHeight="1">
      <c r="A1393" s="131" t="str">
        <f>IF(priority(Main[[#This Row],[Comments]])&lt;&gt;0, priority(Main[[#This Row],[Comments]]),"")</f>
        <v/>
      </c>
      <c r="B1393" s="99" t="s">
        <v>1732</v>
      </c>
      <c r="C1393" s="65" t="s">
        <v>4</v>
      </c>
      <c r="D1393" s="66" t="s">
        <v>2022</v>
      </c>
      <c r="E1393" s="67">
        <v>40478.606620370374</v>
      </c>
      <c r="F1393" s="67"/>
      <c r="G1393" s="64" t="str">
        <f>IF(stdProdLT(Main[[#This Row],[Comments]])=0.1,"N/A",IF(stdProdLT(Main[[#This Row],[Comments]])=0,"",stdProdLT(Main[[#This Row],[Comments]])))</f>
        <v/>
      </c>
      <c r="H1393" s="68" t="str">
        <f>IF(AND(Main[[#This Row],[In Stock Date]]&lt;&gt;"",Main[[#This Row],[Revised Due Date]]&lt;&gt;""),Main[[#This Row],[In Stock Date]]-Main[[#This Row],[Revised Due Date]],"")</f>
        <v/>
      </c>
      <c r="I1393" s="65" t="s">
        <v>429</v>
      </c>
      <c r="J1393" s="65" t="s">
        <v>70</v>
      </c>
      <c r="K1393" s="65" t="s">
        <v>1929</v>
      </c>
      <c r="L1393" s="67">
        <v>40513</v>
      </c>
      <c r="M1393" s="69" t="str">
        <f>IF(Main[[#This Row],[Tech Start Date]]&lt;1/1/1990,"",IF(Main[[#This Row],[Class]]="C",WORKDAY(Main[[#This Row],[Tech Start Date]],9),IF(Main[[#This Row],[Class]]="B", WORKDAY(Main[[#This Row],[Tech Start Date]],6),IF(Main[[#This Row],[Class]]="A",WORKDAY(Main[[#This Row],[Tech Start Date]],2),""))))</f>
        <v/>
      </c>
      <c r="N1393" s="69" t="str">
        <f>IF(Main[[#This Row],[Tech Start Date]]&lt;1/1/1990,"",IF(Main[[#This Row],[Class]]="C",WORKDAY(Main[[#This Row],[Tech Start Date]],19),IF(Main[[#This Row],[Class]]="B", WORKDAY(Main[[#This Row],[Tech Start Date]],12),IF(Main[[#This Row],[Class]]="A",WORKDAY(Main[[#This Row],[Tech Start Date]],4),""))))</f>
        <v/>
      </c>
      <c r="O1393" s="69" t="str">
        <f>IF(Main[[#This Row],[Tech Start Date]]&lt;1/1/1990,"",IF(Main[[#This Row],[Class]]="C",WORKDAY(Main[[#This Row],[Tech Start Date]],23),IF(Main[[#This Row],[Class]]="B", WORKDAY(Main[[#This Row],[Tech Start Date]],15),IF(Main[[#This Row],[Class]]="A",WORKDAY(Main[[#This Row],[Tech Start Date]],5),""))))</f>
        <v/>
      </c>
      <c r="P1393" s="69" t="str">
        <f>IF(Main[[#This Row],[Tech Start Date]]&lt;1/1/1990,"",IF(Main[[#This Row],[Class]]="C",WORKDAY(Main[[#This Row],[Tech Start Date]],28),IF(Main[[#This Row],[Class]]="B", WORKDAY(Main[[#This Row],[Tech Start Date]],19),IF(Main[[#This Row],[Class]]="A",WORKDAY(Main[[#This Row],[Tech Start Date]],9),""))))</f>
        <v/>
      </c>
      <c r="Q1393" s="67">
        <v>40724</v>
      </c>
      <c r="R1393" s="67"/>
      <c r="S1393" s="65" t="s">
        <v>17</v>
      </c>
      <c r="T1393" s="70" t="s">
        <v>4</v>
      </c>
      <c r="U1393" s="65" t="s">
        <v>29</v>
      </c>
      <c r="V1393" s="65" t="s">
        <v>1920</v>
      </c>
      <c r="W1393" s="65" t="s">
        <v>1921</v>
      </c>
      <c r="X1393" s="65" t="s">
        <v>2897</v>
      </c>
      <c r="Y1393" s="65" t="s">
        <v>3108</v>
      </c>
      <c r="Z1393" s="65" t="s">
        <v>30</v>
      </c>
      <c r="AA1393" s="65" t="s">
        <v>2897</v>
      </c>
    </row>
    <row r="1394" spans="1:27" ht="17.45" customHeight="1">
      <c r="A1394" s="131" t="str">
        <f>IF(priority(Main[[#This Row],[Comments]])&lt;&gt;0, priority(Main[[#This Row],[Comments]]),"")</f>
        <v/>
      </c>
      <c r="B1394" s="99" t="s">
        <v>1726</v>
      </c>
      <c r="C1394" s="65" t="s">
        <v>72</v>
      </c>
      <c r="D1394" s="66" t="s">
        <v>780</v>
      </c>
      <c r="E1394" s="67"/>
      <c r="F1394" s="67">
        <v>40513</v>
      </c>
      <c r="G1394" s="64" t="str">
        <f>IF(stdProdLT(Main[[#This Row],[Comments]])=0.1,"N/A",IF(stdProdLT(Main[[#This Row],[Comments]])=0,"",stdProdLT(Main[[#This Row],[Comments]])))</f>
        <v/>
      </c>
      <c r="H1394" s="68" t="str">
        <f>IF(AND(Main[[#This Row],[In Stock Date]]&lt;&gt;"",Main[[#This Row],[Revised Due Date]]&lt;&gt;""),Main[[#This Row],[In Stock Date]]-Main[[#This Row],[Revised Due Date]],"")</f>
        <v/>
      </c>
      <c r="I1394" s="65" t="s">
        <v>30</v>
      </c>
      <c r="J1394" s="65" t="s">
        <v>28</v>
      </c>
      <c r="K1394" s="65" t="s">
        <v>1929</v>
      </c>
      <c r="L1394" s="67">
        <v>40547</v>
      </c>
      <c r="M1394" s="69" t="str">
        <f>IF(Main[[#This Row],[Tech Start Date]]&lt;1/1/1990,"",IF(Main[[#This Row],[Class]]="C",WORKDAY(Main[[#This Row],[Tech Start Date]],9),IF(Main[[#This Row],[Class]]="B", WORKDAY(Main[[#This Row],[Tech Start Date]],6),IF(Main[[#This Row],[Class]]="A",WORKDAY(Main[[#This Row],[Tech Start Date]],2),""))))</f>
        <v/>
      </c>
      <c r="N1394" s="69" t="str">
        <f>IF(Main[[#This Row],[Tech Start Date]]&lt;1/1/1990,"",IF(Main[[#This Row],[Class]]="C",WORKDAY(Main[[#This Row],[Tech Start Date]],19),IF(Main[[#This Row],[Class]]="B", WORKDAY(Main[[#This Row],[Tech Start Date]],12),IF(Main[[#This Row],[Class]]="A",WORKDAY(Main[[#This Row],[Tech Start Date]],4),""))))</f>
        <v/>
      </c>
      <c r="O1394" s="69" t="str">
        <f>IF(Main[[#This Row],[Tech Start Date]]&lt;1/1/1990,"",IF(Main[[#This Row],[Class]]="C",WORKDAY(Main[[#This Row],[Tech Start Date]],23),IF(Main[[#This Row],[Class]]="B", WORKDAY(Main[[#This Row],[Tech Start Date]],15),IF(Main[[#This Row],[Class]]="A",WORKDAY(Main[[#This Row],[Tech Start Date]],5),""))))</f>
        <v/>
      </c>
      <c r="P1394" s="69" t="str">
        <f>IF(Main[[#This Row],[Tech Start Date]]&lt;1/1/1990,"",IF(Main[[#This Row],[Class]]="C",WORKDAY(Main[[#This Row],[Tech Start Date]],28),IF(Main[[#This Row],[Class]]="B", WORKDAY(Main[[#This Row],[Tech Start Date]],19),IF(Main[[#This Row],[Class]]="A",WORKDAY(Main[[#This Row],[Tech Start Date]],9),""))))</f>
        <v/>
      </c>
      <c r="Q1394" s="67"/>
      <c r="R1394" s="67"/>
      <c r="S1394" s="65" t="s">
        <v>17</v>
      </c>
      <c r="T1394" s="70" t="s">
        <v>4</v>
      </c>
      <c r="U1394" s="65" t="s">
        <v>14</v>
      </c>
      <c r="V1394" s="65" t="s">
        <v>1920</v>
      </c>
      <c r="W1394" s="65" t="s">
        <v>1922</v>
      </c>
      <c r="X1394" s="65" t="s">
        <v>2853</v>
      </c>
      <c r="Y1394" s="65" t="s">
        <v>2984</v>
      </c>
      <c r="Z1394" s="65" t="s">
        <v>30</v>
      </c>
      <c r="AA1394" s="65" t="s">
        <v>2853</v>
      </c>
    </row>
    <row r="1395" spans="1:27" ht="17.45" customHeight="1">
      <c r="A1395" s="131" t="str">
        <f>IF(priority(Main[[#This Row],[Comments]])&lt;&gt;0, priority(Main[[#This Row],[Comments]]),"")</f>
        <v/>
      </c>
      <c r="B1395" s="99" t="s">
        <v>1913</v>
      </c>
      <c r="C1395" s="65" t="s">
        <v>4</v>
      </c>
      <c r="D1395" s="66" t="s">
        <v>963</v>
      </c>
      <c r="E1395" s="67"/>
      <c r="F1395" s="67"/>
      <c r="G1395" s="64" t="str">
        <f>IF(stdProdLT(Main[[#This Row],[Comments]])=0.1,"N/A",IF(stdProdLT(Main[[#This Row],[Comments]])=0,"",stdProdLT(Main[[#This Row],[Comments]])))</f>
        <v/>
      </c>
      <c r="H1395" s="68" t="str">
        <f>IF(AND(Main[[#This Row],[In Stock Date]]&lt;&gt;"",Main[[#This Row],[Revised Due Date]]&lt;&gt;""),Main[[#This Row],[In Stock Date]]-Main[[#This Row],[Revised Due Date]],"")</f>
        <v/>
      </c>
      <c r="I1395" s="65" t="s">
        <v>2056</v>
      </c>
      <c r="J1395" s="65" t="s">
        <v>4</v>
      </c>
      <c r="K1395" s="65" t="s">
        <v>1929</v>
      </c>
      <c r="L1395" s="67">
        <v>40549</v>
      </c>
      <c r="M1395" s="69" t="str">
        <f>IF(Main[[#This Row],[Tech Start Date]]&lt;1/1/1990,"",IF(Main[[#This Row],[Class]]="C",WORKDAY(Main[[#This Row],[Tech Start Date]],9),IF(Main[[#This Row],[Class]]="B", WORKDAY(Main[[#This Row],[Tech Start Date]],6),IF(Main[[#This Row],[Class]]="A",WORKDAY(Main[[#This Row],[Tech Start Date]],2),""))))</f>
        <v/>
      </c>
      <c r="N1395" s="69" t="str">
        <f>IF(Main[[#This Row],[Tech Start Date]]&lt;1/1/1990,"",IF(Main[[#This Row],[Class]]="C",WORKDAY(Main[[#This Row],[Tech Start Date]],19),IF(Main[[#This Row],[Class]]="B", WORKDAY(Main[[#This Row],[Tech Start Date]],12),IF(Main[[#This Row],[Class]]="A",WORKDAY(Main[[#This Row],[Tech Start Date]],4),""))))</f>
        <v/>
      </c>
      <c r="O1395" s="69" t="str">
        <f>IF(Main[[#This Row],[Tech Start Date]]&lt;1/1/1990,"",IF(Main[[#This Row],[Class]]="C",WORKDAY(Main[[#This Row],[Tech Start Date]],23),IF(Main[[#This Row],[Class]]="B", WORKDAY(Main[[#This Row],[Tech Start Date]],15),IF(Main[[#This Row],[Class]]="A",WORKDAY(Main[[#This Row],[Tech Start Date]],5),""))))</f>
        <v/>
      </c>
      <c r="P1395" s="69" t="str">
        <f>IF(Main[[#This Row],[Tech Start Date]]&lt;1/1/1990,"",IF(Main[[#This Row],[Class]]="C",WORKDAY(Main[[#This Row],[Tech Start Date]],28),IF(Main[[#This Row],[Class]]="B", WORKDAY(Main[[#This Row],[Tech Start Date]],19),IF(Main[[#This Row],[Class]]="A",WORKDAY(Main[[#This Row],[Tech Start Date]],9),""))))</f>
        <v/>
      </c>
      <c r="Q1395" s="67">
        <v>40939</v>
      </c>
      <c r="R1395" s="67">
        <v>40939</v>
      </c>
      <c r="S1395" s="65" t="s">
        <v>11</v>
      </c>
      <c r="T1395" s="70" t="s">
        <v>4</v>
      </c>
      <c r="U1395" s="65" t="s">
        <v>14</v>
      </c>
      <c r="V1395" s="65" t="s">
        <v>1918</v>
      </c>
      <c r="W1395" s="65" t="s">
        <v>1921</v>
      </c>
      <c r="X1395" s="65" t="s">
        <v>924</v>
      </c>
      <c r="Y1395" s="65" t="s">
        <v>2998</v>
      </c>
      <c r="Z1395" s="65" t="s">
        <v>129</v>
      </c>
      <c r="AA1395" s="65" t="s">
        <v>3438</v>
      </c>
    </row>
    <row r="1396" spans="1:27" ht="17.45" customHeight="1">
      <c r="A1396" s="131" t="str">
        <f>IF(priority(Main[[#This Row],[Comments]])&lt;&gt;0, priority(Main[[#This Row],[Comments]]),"")</f>
        <v/>
      </c>
      <c r="B1396" s="99" t="s">
        <v>1912</v>
      </c>
      <c r="C1396" s="65" t="s">
        <v>4</v>
      </c>
      <c r="D1396" s="66" t="s">
        <v>961</v>
      </c>
      <c r="E1396" s="67">
        <v>40436.63890046296</v>
      </c>
      <c r="F1396" s="67"/>
      <c r="G1396" s="64" t="str">
        <f>IF(stdProdLT(Main[[#This Row],[Comments]])=0.1,"N/A",IF(stdProdLT(Main[[#This Row],[Comments]])=0,"",stdProdLT(Main[[#This Row],[Comments]])))</f>
        <v/>
      </c>
      <c r="H1396" s="68" t="str">
        <f>IF(AND(Main[[#This Row],[In Stock Date]]&lt;&gt;"",Main[[#This Row],[Revised Due Date]]&lt;&gt;""),Main[[#This Row],[In Stock Date]]-Main[[#This Row],[Revised Due Date]],"")</f>
        <v/>
      </c>
      <c r="I1396" s="65" t="s">
        <v>879</v>
      </c>
      <c r="J1396" s="65" t="s">
        <v>28</v>
      </c>
      <c r="K1396" s="65" t="s">
        <v>1929</v>
      </c>
      <c r="L1396" s="67">
        <v>40549</v>
      </c>
      <c r="M1396" s="69" t="str">
        <f>IF(Main[[#This Row],[Tech Start Date]]&lt;1/1/1990,"",IF(Main[[#This Row],[Class]]="C",WORKDAY(Main[[#This Row],[Tech Start Date]],9),IF(Main[[#This Row],[Class]]="B", WORKDAY(Main[[#This Row],[Tech Start Date]],6),IF(Main[[#This Row],[Class]]="A",WORKDAY(Main[[#This Row],[Tech Start Date]],2),""))))</f>
        <v/>
      </c>
      <c r="N1396" s="69" t="str">
        <f>IF(Main[[#This Row],[Tech Start Date]]&lt;1/1/1990,"",IF(Main[[#This Row],[Class]]="C",WORKDAY(Main[[#This Row],[Tech Start Date]],19),IF(Main[[#This Row],[Class]]="B", WORKDAY(Main[[#This Row],[Tech Start Date]],12),IF(Main[[#This Row],[Class]]="A",WORKDAY(Main[[#This Row],[Tech Start Date]],4),""))))</f>
        <v/>
      </c>
      <c r="O1396" s="69" t="str">
        <f>IF(Main[[#This Row],[Tech Start Date]]&lt;1/1/1990,"",IF(Main[[#This Row],[Class]]="C",WORKDAY(Main[[#This Row],[Tech Start Date]],23),IF(Main[[#This Row],[Class]]="B", WORKDAY(Main[[#This Row],[Tech Start Date]],15),IF(Main[[#This Row],[Class]]="A",WORKDAY(Main[[#This Row],[Tech Start Date]],5),""))))</f>
        <v/>
      </c>
      <c r="P1396" s="69" t="str">
        <f>IF(Main[[#This Row],[Tech Start Date]]&lt;1/1/1990,"",IF(Main[[#This Row],[Class]]="C",WORKDAY(Main[[#This Row],[Tech Start Date]],28),IF(Main[[#This Row],[Class]]="B", WORKDAY(Main[[#This Row],[Tech Start Date]],19),IF(Main[[#This Row],[Class]]="A",WORKDAY(Main[[#This Row],[Tech Start Date]],9),""))))</f>
        <v/>
      </c>
      <c r="Q1396" s="67">
        <v>40939</v>
      </c>
      <c r="R1396" s="67">
        <v>40939</v>
      </c>
      <c r="S1396" s="65" t="s">
        <v>17</v>
      </c>
      <c r="T1396" s="70" t="s">
        <v>962</v>
      </c>
      <c r="U1396" s="65" t="s">
        <v>29</v>
      </c>
      <c r="V1396" s="65" t="s">
        <v>1917</v>
      </c>
      <c r="W1396" s="65" t="s">
        <v>1921</v>
      </c>
      <c r="X1396" s="65" t="s">
        <v>924</v>
      </c>
      <c r="Y1396" s="65" t="s">
        <v>2988</v>
      </c>
      <c r="Z1396" s="65" t="s">
        <v>129</v>
      </c>
      <c r="AA1396" s="65" t="s">
        <v>924</v>
      </c>
    </row>
    <row r="1397" spans="1:27" ht="17.45" customHeight="1">
      <c r="A1397" s="131" t="str">
        <f>IF(priority(Main[[#This Row],[Comments]])&lt;&gt;0, priority(Main[[#This Row],[Comments]]),"")</f>
        <v/>
      </c>
      <c r="B1397" s="99" t="s">
        <v>1911</v>
      </c>
      <c r="C1397" s="65" t="s">
        <v>4</v>
      </c>
      <c r="D1397" s="66" t="s">
        <v>960</v>
      </c>
      <c r="E1397" s="67"/>
      <c r="F1397" s="67"/>
      <c r="G1397" s="64" t="str">
        <f>IF(stdProdLT(Main[[#This Row],[Comments]])=0.1,"N/A",IF(stdProdLT(Main[[#This Row],[Comments]])=0,"",stdProdLT(Main[[#This Row],[Comments]])))</f>
        <v/>
      </c>
      <c r="H1397" s="68" t="str">
        <f>IF(AND(Main[[#This Row],[In Stock Date]]&lt;&gt;"",Main[[#This Row],[Revised Due Date]]&lt;&gt;""),Main[[#This Row],[In Stock Date]]-Main[[#This Row],[Revised Due Date]],"")</f>
        <v/>
      </c>
      <c r="I1397" s="65" t="s">
        <v>879</v>
      </c>
      <c r="J1397" s="65" t="s">
        <v>28</v>
      </c>
      <c r="K1397" s="65" t="s">
        <v>1929</v>
      </c>
      <c r="L1397" s="67">
        <v>40549</v>
      </c>
      <c r="M1397" s="69" t="str">
        <f>IF(Main[[#This Row],[Tech Start Date]]&lt;1/1/1990,"",IF(Main[[#This Row],[Class]]="C",WORKDAY(Main[[#This Row],[Tech Start Date]],9),IF(Main[[#This Row],[Class]]="B", WORKDAY(Main[[#This Row],[Tech Start Date]],6),IF(Main[[#This Row],[Class]]="A",WORKDAY(Main[[#This Row],[Tech Start Date]],2),""))))</f>
        <v/>
      </c>
      <c r="N1397" s="69" t="str">
        <f>IF(Main[[#This Row],[Tech Start Date]]&lt;1/1/1990,"",IF(Main[[#This Row],[Class]]="C",WORKDAY(Main[[#This Row],[Tech Start Date]],19),IF(Main[[#This Row],[Class]]="B", WORKDAY(Main[[#This Row],[Tech Start Date]],12),IF(Main[[#This Row],[Class]]="A",WORKDAY(Main[[#This Row],[Tech Start Date]],4),""))))</f>
        <v/>
      </c>
      <c r="O1397" s="69" t="str">
        <f>IF(Main[[#This Row],[Tech Start Date]]&lt;1/1/1990,"",IF(Main[[#This Row],[Class]]="C",WORKDAY(Main[[#This Row],[Tech Start Date]],23),IF(Main[[#This Row],[Class]]="B", WORKDAY(Main[[#This Row],[Tech Start Date]],15),IF(Main[[#This Row],[Class]]="A",WORKDAY(Main[[#This Row],[Tech Start Date]],5),""))))</f>
        <v/>
      </c>
      <c r="P1397" s="69" t="str">
        <f>IF(Main[[#This Row],[Tech Start Date]]&lt;1/1/1990,"",IF(Main[[#This Row],[Class]]="C",WORKDAY(Main[[#This Row],[Tech Start Date]],28),IF(Main[[#This Row],[Class]]="B", WORKDAY(Main[[#This Row],[Tech Start Date]],19),IF(Main[[#This Row],[Class]]="A",WORKDAY(Main[[#This Row],[Tech Start Date]],9),""))))</f>
        <v/>
      </c>
      <c r="Q1397" s="67">
        <v>40939</v>
      </c>
      <c r="R1397" s="67">
        <v>40939</v>
      </c>
      <c r="S1397" s="65" t="s">
        <v>11</v>
      </c>
      <c r="T1397" s="70" t="s">
        <v>4</v>
      </c>
      <c r="U1397" s="65" t="s">
        <v>14</v>
      </c>
      <c r="V1397" s="65" t="s">
        <v>1917</v>
      </c>
      <c r="W1397" s="65" t="s">
        <v>1921</v>
      </c>
      <c r="X1397" s="65" t="s">
        <v>924</v>
      </c>
      <c r="Y1397" s="65" t="s">
        <v>2998</v>
      </c>
      <c r="Z1397" s="65" t="s">
        <v>129</v>
      </c>
      <c r="AA1397" s="65" t="s">
        <v>3438</v>
      </c>
    </row>
    <row r="1398" spans="1:27" ht="17.45" customHeight="1">
      <c r="A1398" s="131" t="str">
        <f>IF(priority(Main[[#This Row],[Comments]])&lt;&gt;0, priority(Main[[#This Row],[Comments]]),"")</f>
        <v/>
      </c>
      <c r="B1398" s="99" t="s">
        <v>1914</v>
      </c>
      <c r="C1398" s="65" t="s">
        <v>4</v>
      </c>
      <c r="D1398" s="66" t="s">
        <v>964</v>
      </c>
      <c r="E1398" s="67"/>
      <c r="F1398" s="67"/>
      <c r="G1398" s="64" t="str">
        <f>IF(stdProdLT(Main[[#This Row],[Comments]])=0.1,"N/A",IF(stdProdLT(Main[[#This Row],[Comments]])=0,"",stdProdLT(Main[[#This Row],[Comments]])))</f>
        <v/>
      </c>
      <c r="H1398" s="68" t="str">
        <f>IF(AND(Main[[#This Row],[In Stock Date]]&lt;&gt;"",Main[[#This Row],[Revised Due Date]]&lt;&gt;""),Main[[#This Row],[In Stock Date]]-Main[[#This Row],[Revised Due Date]],"")</f>
        <v/>
      </c>
      <c r="I1398" s="65" t="s">
        <v>924</v>
      </c>
      <c r="J1398" s="65" t="s">
        <v>4</v>
      </c>
      <c r="K1398" s="65" t="s">
        <v>1929</v>
      </c>
      <c r="L1398" s="67">
        <v>40549</v>
      </c>
      <c r="M1398" s="69" t="str">
        <f>IF(Main[[#This Row],[Tech Start Date]]&lt;1/1/1990,"",IF(Main[[#This Row],[Class]]="C",WORKDAY(Main[[#This Row],[Tech Start Date]],9),IF(Main[[#This Row],[Class]]="B", WORKDAY(Main[[#This Row],[Tech Start Date]],6),IF(Main[[#This Row],[Class]]="A",WORKDAY(Main[[#This Row],[Tech Start Date]],2),""))))</f>
        <v/>
      </c>
      <c r="N1398" s="69" t="str">
        <f>IF(Main[[#This Row],[Tech Start Date]]&lt;1/1/1990,"",IF(Main[[#This Row],[Class]]="C",WORKDAY(Main[[#This Row],[Tech Start Date]],19),IF(Main[[#This Row],[Class]]="B", WORKDAY(Main[[#This Row],[Tech Start Date]],12),IF(Main[[#This Row],[Class]]="A",WORKDAY(Main[[#This Row],[Tech Start Date]],4),""))))</f>
        <v/>
      </c>
      <c r="O1398" s="69" t="str">
        <f>IF(Main[[#This Row],[Tech Start Date]]&lt;1/1/1990,"",IF(Main[[#This Row],[Class]]="C",WORKDAY(Main[[#This Row],[Tech Start Date]],23),IF(Main[[#This Row],[Class]]="B", WORKDAY(Main[[#This Row],[Tech Start Date]],15),IF(Main[[#This Row],[Class]]="A",WORKDAY(Main[[#This Row],[Tech Start Date]],5),""))))</f>
        <v/>
      </c>
      <c r="P1398" s="69" t="str">
        <f>IF(Main[[#This Row],[Tech Start Date]]&lt;1/1/1990,"",IF(Main[[#This Row],[Class]]="C",WORKDAY(Main[[#This Row],[Tech Start Date]],28),IF(Main[[#This Row],[Class]]="B", WORKDAY(Main[[#This Row],[Tech Start Date]],19),IF(Main[[#This Row],[Class]]="A",WORKDAY(Main[[#This Row],[Tech Start Date]],9),""))))</f>
        <v/>
      </c>
      <c r="Q1398" s="67">
        <v>40939</v>
      </c>
      <c r="R1398" s="67">
        <v>40939</v>
      </c>
      <c r="S1398" s="65" t="s">
        <v>11</v>
      </c>
      <c r="T1398" s="70" t="s">
        <v>4</v>
      </c>
      <c r="U1398" s="65" t="s">
        <v>14</v>
      </c>
      <c r="V1398" s="65" t="s">
        <v>1917</v>
      </c>
      <c r="W1398" s="65" t="s">
        <v>1921</v>
      </c>
      <c r="X1398" s="65" t="s">
        <v>924</v>
      </c>
      <c r="Y1398" s="65" t="s">
        <v>2998</v>
      </c>
      <c r="Z1398" s="65" t="s">
        <v>129</v>
      </c>
      <c r="AA1398" s="65" t="s">
        <v>3438</v>
      </c>
    </row>
    <row r="1399" spans="1:27" ht="17.45" customHeight="1">
      <c r="A1399" s="131" t="str">
        <f>IF(priority(Main[[#This Row],[Comments]])&lt;&gt;0, priority(Main[[#This Row],[Comments]]),"")</f>
        <v/>
      </c>
      <c r="B1399" s="99" t="s">
        <v>1869</v>
      </c>
      <c r="C1399" s="65" t="s">
        <v>4</v>
      </c>
      <c r="D1399" s="66" t="s">
        <v>2023</v>
      </c>
      <c r="E1399" s="67">
        <v>40478.350138888891</v>
      </c>
      <c r="F1399" s="67"/>
      <c r="G1399" s="64" t="str">
        <f>IF(stdProdLT(Main[[#This Row],[Comments]])=0.1,"N/A",IF(stdProdLT(Main[[#This Row],[Comments]])=0,"",stdProdLT(Main[[#This Row],[Comments]])))</f>
        <v/>
      </c>
      <c r="H1399" s="68" t="str">
        <f>IF(AND(Main[[#This Row],[In Stock Date]]&lt;&gt;"",Main[[#This Row],[Revised Due Date]]&lt;&gt;""),Main[[#This Row],[In Stock Date]]-Main[[#This Row],[Revised Due Date]],"")</f>
        <v/>
      </c>
      <c r="I1399" s="65" t="s">
        <v>924</v>
      </c>
      <c r="J1399" s="65" t="s">
        <v>28</v>
      </c>
      <c r="K1399" s="65" t="s">
        <v>1929</v>
      </c>
      <c r="L1399" s="67">
        <v>40554</v>
      </c>
      <c r="M1399" s="69" t="str">
        <f>IF(Main[[#This Row],[Tech Start Date]]&lt;1/1/1990,"",IF(Main[[#This Row],[Class]]="C",WORKDAY(Main[[#This Row],[Tech Start Date]],9),IF(Main[[#This Row],[Class]]="B", WORKDAY(Main[[#This Row],[Tech Start Date]],6),IF(Main[[#This Row],[Class]]="A",WORKDAY(Main[[#This Row],[Tech Start Date]],2),""))))</f>
        <v/>
      </c>
      <c r="N1399" s="69" t="str">
        <f>IF(Main[[#This Row],[Tech Start Date]]&lt;1/1/1990,"",IF(Main[[#This Row],[Class]]="C",WORKDAY(Main[[#This Row],[Tech Start Date]],19),IF(Main[[#This Row],[Class]]="B", WORKDAY(Main[[#This Row],[Tech Start Date]],12),IF(Main[[#This Row],[Class]]="A",WORKDAY(Main[[#This Row],[Tech Start Date]],4),""))))</f>
        <v/>
      </c>
      <c r="O1399" s="69" t="str">
        <f>IF(Main[[#This Row],[Tech Start Date]]&lt;1/1/1990,"",IF(Main[[#This Row],[Class]]="C",WORKDAY(Main[[#This Row],[Tech Start Date]],23),IF(Main[[#This Row],[Class]]="B", WORKDAY(Main[[#This Row],[Tech Start Date]],15),IF(Main[[#This Row],[Class]]="A",WORKDAY(Main[[#This Row],[Tech Start Date]],5),""))))</f>
        <v/>
      </c>
      <c r="P1399" s="69" t="str">
        <f>IF(Main[[#This Row],[Tech Start Date]]&lt;1/1/1990,"",IF(Main[[#This Row],[Class]]="C",WORKDAY(Main[[#This Row],[Tech Start Date]],28),IF(Main[[#This Row],[Class]]="B", WORKDAY(Main[[#This Row],[Tech Start Date]],19),IF(Main[[#This Row],[Class]]="A",WORKDAY(Main[[#This Row],[Tech Start Date]],9),""))))</f>
        <v/>
      </c>
      <c r="Q1399" s="67">
        <v>40979</v>
      </c>
      <c r="R1399" s="67">
        <v>40979</v>
      </c>
      <c r="S1399" s="65" t="s">
        <v>17</v>
      </c>
      <c r="T1399" s="70" t="s">
        <v>925</v>
      </c>
      <c r="U1399" s="65" t="s">
        <v>29</v>
      </c>
      <c r="V1399" s="65" t="s">
        <v>1932</v>
      </c>
      <c r="W1399" s="65" t="s">
        <v>1921</v>
      </c>
      <c r="X1399" s="65" t="s">
        <v>924</v>
      </c>
      <c r="Y1399" s="65" t="s">
        <v>2988</v>
      </c>
      <c r="Z1399" s="65" t="s">
        <v>2214</v>
      </c>
      <c r="AA1399" s="65" t="s">
        <v>924</v>
      </c>
    </row>
    <row r="1400" spans="1:27" ht="17.45" customHeight="1">
      <c r="A1400" s="131" t="str">
        <f>IF(priority(Main[[#This Row],[Comments]])&lt;&gt;0, priority(Main[[#This Row],[Comments]]),"")</f>
        <v/>
      </c>
      <c r="B1400" s="99" t="s">
        <v>1871</v>
      </c>
      <c r="C1400" s="65" t="s">
        <v>4</v>
      </c>
      <c r="D1400" s="66" t="s">
        <v>927</v>
      </c>
      <c r="E1400" s="67"/>
      <c r="F1400" s="67"/>
      <c r="G1400" s="64" t="str">
        <f>IF(stdProdLT(Main[[#This Row],[Comments]])=0.1,"N/A",IF(stdProdLT(Main[[#This Row],[Comments]])=0,"",stdProdLT(Main[[#This Row],[Comments]])))</f>
        <v/>
      </c>
      <c r="H1400" s="68" t="str">
        <f>IF(AND(Main[[#This Row],[In Stock Date]]&lt;&gt;"",Main[[#This Row],[Revised Due Date]]&lt;&gt;""),Main[[#This Row],[In Stock Date]]-Main[[#This Row],[Revised Due Date]],"")</f>
        <v/>
      </c>
      <c r="I1400" s="65" t="s">
        <v>30</v>
      </c>
      <c r="J1400" s="65" t="s">
        <v>52</v>
      </c>
      <c r="K1400" s="65" t="s">
        <v>1926</v>
      </c>
      <c r="L1400" s="67">
        <v>40589</v>
      </c>
      <c r="M1400" s="69">
        <f>IF(Main[[#This Row],[Tech Start Date]]&lt;1/1/1990,"",IF(Main[[#This Row],[Class]]="C",WORKDAY(Main[[#This Row],[Tech Start Date]],9),IF(Main[[#This Row],[Class]]="B", WORKDAY(Main[[#This Row],[Tech Start Date]],6),IF(Main[[#This Row],[Class]]="A",WORKDAY(Main[[#This Row],[Tech Start Date]],2),""))))</f>
        <v>40591</v>
      </c>
      <c r="N1400" s="69">
        <f>IF(Main[[#This Row],[Tech Start Date]]&lt;1/1/1990,"",IF(Main[[#This Row],[Class]]="C",WORKDAY(Main[[#This Row],[Tech Start Date]],19),IF(Main[[#This Row],[Class]]="B", WORKDAY(Main[[#This Row],[Tech Start Date]],12),IF(Main[[#This Row],[Class]]="A",WORKDAY(Main[[#This Row],[Tech Start Date]],4),""))))</f>
        <v>40595</v>
      </c>
      <c r="O1400" s="69">
        <f>IF(Main[[#This Row],[Tech Start Date]]&lt;1/1/1990,"",IF(Main[[#This Row],[Class]]="C",WORKDAY(Main[[#This Row],[Tech Start Date]],23),IF(Main[[#This Row],[Class]]="B", WORKDAY(Main[[#This Row],[Tech Start Date]],15),IF(Main[[#This Row],[Class]]="A",WORKDAY(Main[[#This Row],[Tech Start Date]],5),""))))</f>
        <v>40596</v>
      </c>
      <c r="P1400" s="69">
        <f>IF(Main[[#This Row],[Tech Start Date]]&lt;1/1/1990,"",IF(Main[[#This Row],[Class]]="C",WORKDAY(Main[[#This Row],[Tech Start Date]],28),IF(Main[[#This Row],[Class]]="B", WORKDAY(Main[[#This Row],[Tech Start Date]],19),IF(Main[[#This Row],[Class]]="A",WORKDAY(Main[[#This Row],[Tech Start Date]],9),""))))</f>
        <v>40602</v>
      </c>
      <c r="Q1400" s="67">
        <v>40592</v>
      </c>
      <c r="R1400" s="67">
        <v>40624</v>
      </c>
      <c r="S1400" s="65" t="s">
        <v>6</v>
      </c>
      <c r="T1400" s="70" t="s">
        <v>4</v>
      </c>
      <c r="U1400" s="65" t="s">
        <v>14</v>
      </c>
      <c r="V1400" s="65" t="s">
        <v>1920</v>
      </c>
      <c r="W1400" s="65" t="s">
        <v>1919</v>
      </c>
      <c r="X1400" s="65" t="s">
        <v>30</v>
      </c>
      <c r="Y1400" s="65" t="s">
        <v>3021</v>
      </c>
      <c r="Z1400" s="65" t="s">
        <v>30</v>
      </c>
      <c r="AA1400" s="65" t="s">
        <v>3412</v>
      </c>
    </row>
    <row r="1401" spans="1:27" ht="17.45" customHeight="1">
      <c r="A1401" s="131" t="str">
        <f>IF(priority(Main[[#This Row],[Comments]])&lt;&gt;0, priority(Main[[#This Row],[Comments]]),"")</f>
        <v/>
      </c>
      <c r="B1401" s="99" t="s">
        <v>1868</v>
      </c>
      <c r="C1401" s="65" t="s">
        <v>4</v>
      </c>
      <c r="D1401" s="66" t="s">
        <v>923</v>
      </c>
      <c r="E1401" s="67">
        <v>40590.540578703702</v>
      </c>
      <c r="F1401" s="67"/>
      <c r="G1401" s="64" t="str">
        <f>IF(stdProdLT(Main[[#This Row],[Comments]])=0.1,"N/A",IF(stdProdLT(Main[[#This Row],[Comments]])=0,"",stdProdLT(Main[[#This Row],[Comments]])))</f>
        <v/>
      </c>
      <c r="H1401" s="68" t="str">
        <f>IF(AND(Main[[#This Row],[In Stock Date]]&lt;&gt;"",Main[[#This Row],[Revised Due Date]]&lt;&gt;""),Main[[#This Row],[In Stock Date]]-Main[[#This Row],[Revised Due Date]],"")</f>
        <v/>
      </c>
      <c r="I1401" s="65" t="s">
        <v>4</v>
      </c>
      <c r="J1401" s="65" t="s">
        <v>28</v>
      </c>
      <c r="K1401" s="65" t="s">
        <v>1926</v>
      </c>
      <c r="L1401" s="67">
        <v>40590</v>
      </c>
      <c r="M1401" s="69">
        <f>IF(Main[[#This Row],[Tech Start Date]]&lt;1/1/1990,"",IF(Main[[#This Row],[Class]]="C",WORKDAY(Main[[#This Row],[Tech Start Date]],9),IF(Main[[#This Row],[Class]]="B", WORKDAY(Main[[#This Row],[Tech Start Date]],6),IF(Main[[#This Row],[Class]]="A",WORKDAY(Main[[#This Row],[Tech Start Date]],2),""))))</f>
        <v>40592</v>
      </c>
      <c r="N1401" s="69">
        <f>IF(Main[[#This Row],[Tech Start Date]]&lt;1/1/1990,"",IF(Main[[#This Row],[Class]]="C",WORKDAY(Main[[#This Row],[Tech Start Date]],19),IF(Main[[#This Row],[Class]]="B", WORKDAY(Main[[#This Row],[Tech Start Date]],12),IF(Main[[#This Row],[Class]]="A",WORKDAY(Main[[#This Row],[Tech Start Date]],4),""))))</f>
        <v>40596</v>
      </c>
      <c r="O1401" s="69">
        <f>IF(Main[[#This Row],[Tech Start Date]]&lt;1/1/1990,"",IF(Main[[#This Row],[Class]]="C",WORKDAY(Main[[#This Row],[Tech Start Date]],23),IF(Main[[#This Row],[Class]]="B", WORKDAY(Main[[#This Row],[Tech Start Date]],15),IF(Main[[#This Row],[Class]]="A",WORKDAY(Main[[#This Row],[Tech Start Date]],5),""))))</f>
        <v>40597</v>
      </c>
      <c r="P1401" s="69">
        <f>IF(Main[[#This Row],[Tech Start Date]]&lt;1/1/1990,"",IF(Main[[#This Row],[Class]]="C",WORKDAY(Main[[#This Row],[Tech Start Date]],28),IF(Main[[#This Row],[Class]]="B", WORKDAY(Main[[#This Row],[Tech Start Date]],19),IF(Main[[#This Row],[Class]]="A",WORKDAY(Main[[#This Row],[Tech Start Date]],9),""))))</f>
        <v>40603</v>
      </c>
      <c r="Q1401" s="67">
        <v>40618</v>
      </c>
      <c r="R1401" s="67">
        <v>40604</v>
      </c>
      <c r="S1401" s="65" t="s">
        <v>6</v>
      </c>
      <c r="T1401" s="70" t="s">
        <v>4</v>
      </c>
      <c r="U1401" s="65" t="s">
        <v>29</v>
      </c>
      <c r="V1401" s="65" t="s">
        <v>1917</v>
      </c>
      <c r="W1401" s="65" t="s">
        <v>1921</v>
      </c>
      <c r="X1401" s="65" t="s">
        <v>2842</v>
      </c>
      <c r="Y1401" s="65" t="s">
        <v>2971</v>
      </c>
      <c r="Z1401" s="65" t="s">
        <v>4</v>
      </c>
      <c r="AA1401" s="65" t="s">
        <v>2842</v>
      </c>
    </row>
    <row r="1402" spans="1:27" ht="17.45" customHeight="1">
      <c r="A1402" s="131" t="str">
        <f>IF(priority(Main[[#This Row],[Comments]])&lt;&gt;0, priority(Main[[#This Row],[Comments]]),"")</f>
        <v/>
      </c>
      <c r="B1402" s="99" t="s">
        <v>1872</v>
      </c>
      <c r="C1402" s="65" t="s">
        <v>4</v>
      </c>
      <c r="D1402" s="66" t="s">
        <v>2252</v>
      </c>
      <c r="E1402" s="67">
        <v>40577.592002314814</v>
      </c>
      <c r="F1402" s="67"/>
      <c r="G1402" s="64" t="str">
        <f>IF(stdProdLT(Main[[#This Row],[Comments]])=0.1,"N/A",IF(stdProdLT(Main[[#This Row],[Comments]])=0,"",stdProdLT(Main[[#This Row],[Comments]])))</f>
        <v/>
      </c>
      <c r="H1402" s="68" t="str">
        <f>IF(AND(Main[[#This Row],[In Stock Date]]&lt;&gt;"",Main[[#This Row],[Revised Due Date]]&lt;&gt;""),Main[[#This Row],[In Stock Date]]-Main[[#This Row],[Revised Due Date]],"")</f>
        <v/>
      </c>
      <c r="I1402" s="65" t="s">
        <v>914</v>
      </c>
      <c r="J1402" s="65" t="s">
        <v>28</v>
      </c>
      <c r="K1402" s="65" t="s">
        <v>1926</v>
      </c>
      <c r="L1402" s="67">
        <v>40591</v>
      </c>
      <c r="M1402" s="69">
        <f>IF(Main[[#This Row],[Tech Start Date]]&lt;1/1/1990,"",IF(Main[[#This Row],[Class]]="C",WORKDAY(Main[[#This Row],[Tech Start Date]],9),IF(Main[[#This Row],[Class]]="B", WORKDAY(Main[[#This Row],[Tech Start Date]],6),IF(Main[[#This Row],[Class]]="A",WORKDAY(Main[[#This Row],[Tech Start Date]],2),""))))</f>
        <v>40595</v>
      </c>
      <c r="N1402" s="69">
        <f>IF(Main[[#This Row],[Tech Start Date]]&lt;1/1/1990,"",IF(Main[[#This Row],[Class]]="C",WORKDAY(Main[[#This Row],[Tech Start Date]],19),IF(Main[[#This Row],[Class]]="B", WORKDAY(Main[[#This Row],[Tech Start Date]],12),IF(Main[[#This Row],[Class]]="A",WORKDAY(Main[[#This Row],[Tech Start Date]],4),""))))</f>
        <v>40597</v>
      </c>
      <c r="O1402" s="69">
        <f>IF(Main[[#This Row],[Tech Start Date]]&lt;1/1/1990,"",IF(Main[[#This Row],[Class]]="C",WORKDAY(Main[[#This Row],[Tech Start Date]],23),IF(Main[[#This Row],[Class]]="B", WORKDAY(Main[[#This Row],[Tech Start Date]],15),IF(Main[[#This Row],[Class]]="A",WORKDAY(Main[[#This Row],[Tech Start Date]],5),""))))</f>
        <v>40598</v>
      </c>
      <c r="P1402" s="69">
        <f>IF(Main[[#This Row],[Tech Start Date]]&lt;1/1/1990,"",IF(Main[[#This Row],[Class]]="C",WORKDAY(Main[[#This Row],[Tech Start Date]],28),IF(Main[[#This Row],[Class]]="B", WORKDAY(Main[[#This Row],[Tech Start Date]],19),IF(Main[[#This Row],[Class]]="A",WORKDAY(Main[[#This Row],[Tech Start Date]],9),""))))</f>
        <v>40604</v>
      </c>
      <c r="Q1402" s="67">
        <v>40626</v>
      </c>
      <c r="R1402" s="67">
        <v>40626</v>
      </c>
      <c r="S1402" s="65" t="s">
        <v>6</v>
      </c>
      <c r="T1402" s="70" t="s">
        <v>4</v>
      </c>
      <c r="U1402" s="65" t="s">
        <v>29</v>
      </c>
      <c r="V1402" s="65" t="s">
        <v>1917</v>
      </c>
      <c r="W1402" s="65" t="s">
        <v>1919</v>
      </c>
      <c r="X1402" s="65" t="s">
        <v>399</v>
      </c>
      <c r="Y1402" s="65" t="s">
        <v>3114</v>
      </c>
      <c r="Z1402" s="65" t="s">
        <v>914</v>
      </c>
      <c r="AA1402" s="65" t="s">
        <v>3386</v>
      </c>
    </row>
    <row r="1403" spans="1:27" ht="17.45" customHeight="1">
      <c r="A1403" s="131" t="str">
        <f>IF(priority(Main[[#This Row],[Comments]])&lt;&gt;0, priority(Main[[#This Row],[Comments]]),"")</f>
        <v/>
      </c>
      <c r="B1403" s="99" t="s">
        <v>1895</v>
      </c>
      <c r="C1403" s="65" t="s">
        <v>949</v>
      </c>
      <c r="D1403" s="66" t="s">
        <v>1963</v>
      </c>
      <c r="E1403" s="67"/>
      <c r="F1403" s="67">
        <v>40709</v>
      </c>
      <c r="G1403" s="64" t="str">
        <f>IF(stdProdLT(Main[[#This Row],[Comments]])=0.1,"N/A",IF(stdProdLT(Main[[#This Row],[Comments]])=0,"",stdProdLT(Main[[#This Row],[Comments]])))</f>
        <v/>
      </c>
      <c r="H1403" s="68">
        <f>IF(AND(Main[[#This Row],[In Stock Date]]&lt;&gt;"",Main[[#This Row],[Revised Due Date]]&lt;&gt;""),Main[[#This Row],[In Stock Date]]-Main[[#This Row],[Revised Due Date]],"")</f>
        <v>-44</v>
      </c>
      <c r="I1403" s="65" t="s">
        <v>909</v>
      </c>
      <c r="J1403" s="65" t="s">
        <v>28</v>
      </c>
      <c r="K1403" s="65" t="s">
        <v>1924</v>
      </c>
      <c r="L1403" s="67">
        <v>40612</v>
      </c>
      <c r="M1403" s="69">
        <f>IF(Main[[#This Row],[Tech Start Date]]&lt;1/1/1990,"",IF(Main[[#This Row],[Class]]="C",WORKDAY(Main[[#This Row],[Tech Start Date]],9),IF(Main[[#This Row],[Class]]="B", WORKDAY(Main[[#This Row],[Tech Start Date]],6),IF(Main[[#This Row],[Class]]="A",WORKDAY(Main[[#This Row],[Tech Start Date]],2),""))))</f>
        <v>40620</v>
      </c>
      <c r="N1403" s="69">
        <f>IF(Main[[#This Row],[Tech Start Date]]&lt;1/1/1990,"",IF(Main[[#This Row],[Class]]="C",WORKDAY(Main[[#This Row],[Tech Start Date]],19),IF(Main[[#This Row],[Class]]="B", WORKDAY(Main[[#This Row],[Tech Start Date]],12),IF(Main[[#This Row],[Class]]="A",WORKDAY(Main[[#This Row],[Tech Start Date]],4),""))))</f>
        <v>40630</v>
      </c>
      <c r="O1403" s="69">
        <f>IF(Main[[#This Row],[Tech Start Date]]&lt;1/1/1990,"",IF(Main[[#This Row],[Class]]="C",WORKDAY(Main[[#This Row],[Tech Start Date]],23),IF(Main[[#This Row],[Class]]="B", WORKDAY(Main[[#This Row],[Tech Start Date]],15),IF(Main[[#This Row],[Class]]="A",WORKDAY(Main[[#This Row],[Tech Start Date]],5),""))))</f>
        <v>40633</v>
      </c>
      <c r="P1403" s="69">
        <f>IF(Main[[#This Row],[Tech Start Date]]&lt;1/1/1990,"",IF(Main[[#This Row],[Class]]="C",WORKDAY(Main[[#This Row],[Tech Start Date]],28),IF(Main[[#This Row],[Class]]="B", WORKDAY(Main[[#This Row],[Tech Start Date]],19),IF(Main[[#This Row],[Class]]="A",WORKDAY(Main[[#This Row],[Tech Start Date]],9),""))))</f>
        <v>40639</v>
      </c>
      <c r="Q1403" s="67"/>
      <c r="R1403" s="67">
        <v>40753</v>
      </c>
      <c r="S1403" s="65" t="s">
        <v>11</v>
      </c>
      <c r="T1403" s="70" t="s">
        <v>2004</v>
      </c>
      <c r="U1403" s="65" t="s">
        <v>14</v>
      </c>
      <c r="V1403" s="65" t="s">
        <v>1917</v>
      </c>
      <c r="W1403" s="65" t="s">
        <v>1922</v>
      </c>
      <c r="X1403" s="65" t="s">
        <v>50</v>
      </c>
      <c r="Y1403" s="65" t="s">
        <v>3153</v>
      </c>
      <c r="Z1403" s="65" t="s">
        <v>879</v>
      </c>
      <c r="AA1403" s="65" t="s">
        <v>3483</v>
      </c>
    </row>
    <row r="1404" spans="1:27" ht="17.45" customHeight="1">
      <c r="A1404" s="131" t="str">
        <f>IF(priority(Main[[#This Row],[Comments]])&lt;&gt;0, priority(Main[[#This Row],[Comments]]),"")</f>
        <v/>
      </c>
      <c r="B1404" s="99" t="s">
        <v>1899</v>
      </c>
      <c r="C1404" s="65" t="s">
        <v>951</v>
      </c>
      <c r="D1404" s="66" t="s">
        <v>952</v>
      </c>
      <c r="E1404" s="67"/>
      <c r="F1404" s="67">
        <v>40775</v>
      </c>
      <c r="G1404" s="64" t="str">
        <f>IF(stdProdLT(Main[[#This Row],[Comments]])=0.1,"N/A",IF(stdProdLT(Main[[#This Row],[Comments]])=0,"",stdProdLT(Main[[#This Row],[Comments]])))</f>
        <v/>
      </c>
      <c r="H1404" s="68">
        <f>IF(AND(Main[[#This Row],[In Stock Date]]&lt;&gt;"",Main[[#This Row],[Revised Due Date]]&lt;&gt;""),Main[[#This Row],[In Stock Date]]-Main[[#This Row],[Revised Due Date]],"")</f>
        <v>51</v>
      </c>
      <c r="I1404" s="65" t="s">
        <v>891</v>
      </c>
      <c r="J1404" s="65" t="s">
        <v>28</v>
      </c>
      <c r="K1404" s="65" t="s">
        <v>1929</v>
      </c>
      <c r="L1404" s="67">
        <v>40619</v>
      </c>
      <c r="M1404" s="69" t="str">
        <f>IF(Main[[#This Row],[Tech Start Date]]&lt;1/1/1990,"",IF(Main[[#This Row],[Class]]="C",WORKDAY(Main[[#This Row],[Tech Start Date]],9),IF(Main[[#This Row],[Class]]="B", WORKDAY(Main[[#This Row],[Tech Start Date]],6),IF(Main[[#This Row],[Class]]="A",WORKDAY(Main[[#This Row],[Tech Start Date]],2),""))))</f>
        <v/>
      </c>
      <c r="N1404" s="69" t="str">
        <f>IF(Main[[#This Row],[Tech Start Date]]&lt;1/1/1990,"",IF(Main[[#This Row],[Class]]="C",WORKDAY(Main[[#This Row],[Tech Start Date]],19),IF(Main[[#This Row],[Class]]="B", WORKDAY(Main[[#This Row],[Tech Start Date]],12),IF(Main[[#This Row],[Class]]="A",WORKDAY(Main[[#This Row],[Tech Start Date]],4),""))))</f>
        <v/>
      </c>
      <c r="O1404" s="69" t="str">
        <f>IF(Main[[#This Row],[Tech Start Date]]&lt;1/1/1990,"",IF(Main[[#This Row],[Class]]="C",WORKDAY(Main[[#This Row],[Tech Start Date]],23),IF(Main[[#This Row],[Class]]="B", WORKDAY(Main[[#This Row],[Tech Start Date]],15),IF(Main[[#This Row],[Class]]="A",WORKDAY(Main[[#This Row],[Tech Start Date]],5),""))))</f>
        <v/>
      </c>
      <c r="P1404" s="69" t="str">
        <f>IF(Main[[#This Row],[Tech Start Date]]&lt;1/1/1990,"",IF(Main[[#This Row],[Class]]="C",WORKDAY(Main[[#This Row],[Tech Start Date]],28),IF(Main[[#This Row],[Class]]="B", WORKDAY(Main[[#This Row],[Tech Start Date]],19),IF(Main[[#This Row],[Class]]="A",WORKDAY(Main[[#This Row],[Tech Start Date]],9),""))))</f>
        <v/>
      </c>
      <c r="Q1404" s="67">
        <v>40635</v>
      </c>
      <c r="R1404" s="67">
        <v>40724</v>
      </c>
      <c r="S1404" s="65" t="s">
        <v>11</v>
      </c>
      <c r="T1404" s="70" t="s">
        <v>4</v>
      </c>
      <c r="U1404" s="65" t="s">
        <v>14</v>
      </c>
      <c r="V1404" s="65" t="s">
        <v>1918</v>
      </c>
      <c r="W1404" s="65" t="s">
        <v>1925</v>
      </c>
      <c r="X1404" s="65" t="s">
        <v>2910</v>
      </c>
      <c r="Y1404" s="65" t="s">
        <v>4</v>
      </c>
      <c r="Z1404" s="65" t="s">
        <v>879</v>
      </c>
      <c r="AA1404" s="65" t="s">
        <v>2910</v>
      </c>
    </row>
    <row r="1405" spans="1:27" ht="17.45" customHeight="1">
      <c r="A1405" s="131" t="str">
        <f>IF(priority(Main[[#This Row],[Comments]])&lt;&gt;0, priority(Main[[#This Row],[Comments]]),"")</f>
        <v/>
      </c>
      <c r="B1405" s="99" t="s">
        <v>1891</v>
      </c>
      <c r="C1405" s="65" t="s">
        <v>116</v>
      </c>
      <c r="D1405" s="66" t="s">
        <v>945</v>
      </c>
      <c r="E1405" s="67"/>
      <c r="F1405" s="67">
        <v>40725</v>
      </c>
      <c r="G1405" s="64" t="str">
        <f>IF(stdProdLT(Main[[#This Row],[Comments]])=0.1,"N/A",IF(stdProdLT(Main[[#This Row],[Comments]])=0,"",stdProdLT(Main[[#This Row],[Comments]])))</f>
        <v/>
      </c>
      <c r="H1405" s="68">
        <f>IF(AND(Main[[#This Row],[In Stock Date]]&lt;&gt;"",Main[[#This Row],[Revised Due Date]]&lt;&gt;""),Main[[#This Row],[In Stock Date]]-Main[[#This Row],[Revised Due Date]],"")</f>
        <v>11</v>
      </c>
      <c r="I1405" s="65" t="s">
        <v>171</v>
      </c>
      <c r="J1405" s="65" t="s">
        <v>28</v>
      </c>
      <c r="K1405" s="65" t="s">
        <v>1926</v>
      </c>
      <c r="L1405" s="67">
        <v>40623</v>
      </c>
      <c r="M1405" s="69">
        <f>IF(Main[[#This Row],[Tech Start Date]]&lt;1/1/1990,"",IF(Main[[#This Row],[Class]]="C",WORKDAY(Main[[#This Row],[Tech Start Date]],9),IF(Main[[#This Row],[Class]]="B", WORKDAY(Main[[#This Row],[Tech Start Date]],6),IF(Main[[#This Row],[Class]]="A",WORKDAY(Main[[#This Row],[Tech Start Date]],2),""))))</f>
        <v>40625</v>
      </c>
      <c r="N1405" s="69">
        <f>IF(Main[[#This Row],[Tech Start Date]]&lt;1/1/1990,"",IF(Main[[#This Row],[Class]]="C",WORKDAY(Main[[#This Row],[Tech Start Date]],19),IF(Main[[#This Row],[Class]]="B", WORKDAY(Main[[#This Row],[Tech Start Date]],12),IF(Main[[#This Row],[Class]]="A",WORKDAY(Main[[#This Row],[Tech Start Date]],4),""))))</f>
        <v>40627</v>
      </c>
      <c r="O1405" s="69">
        <f>IF(Main[[#This Row],[Tech Start Date]]&lt;1/1/1990,"",IF(Main[[#This Row],[Class]]="C",WORKDAY(Main[[#This Row],[Tech Start Date]],23),IF(Main[[#This Row],[Class]]="B", WORKDAY(Main[[#This Row],[Tech Start Date]],15),IF(Main[[#This Row],[Class]]="A",WORKDAY(Main[[#This Row],[Tech Start Date]],5),""))))</f>
        <v>40630</v>
      </c>
      <c r="P1405" s="69">
        <f>IF(Main[[#This Row],[Tech Start Date]]&lt;1/1/1990,"",IF(Main[[#This Row],[Class]]="C",WORKDAY(Main[[#This Row],[Tech Start Date]],28),IF(Main[[#This Row],[Class]]="B", WORKDAY(Main[[#This Row],[Tech Start Date]],19),IF(Main[[#This Row],[Class]]="A",WORKDAY(Main[[#This Row],[Tech Start Date]],9),""))))</f>
        <v>40634</v>
      </c>
      <c r="Q1405" s="67">
        <v>40714</v>
      </c>
      <c r="R1405" s="67">
        <v>40714</v>
      </c>
      <c r="S1405" s="65" t="s">
        <v>11</v>
      </c>
      <c r="T1405" s="70" t="s">
        <v>946</v>
      </c>
      <c r="U1405" s="65" t="s">
        <v>14</v>
      </c>
      <c r="V1405" s="65" t="s">
        <v>1920</v>
      </c>
      <c r="W1405" s="65" t="s">
        <v>1922</v>
      </c>
      <c r="X1405" s="65" t="s">
        <v>2851</v>
      </c>
      <c r="Y1405" s="65" t="s">
        <v>3071</v>
      </c>
      <c r="Z1405" s="65" t="s">
        <v>171</v>
      </c>
      <c r="AA1405" s="65" t="s">
        <v>2851</v>
      </c>
    </row>
    <row r="1406" spans="1:27" ht="17.45" customHeight="1">
      <c r="A1406" s="131" t="str">
        <f>IF(priority(Main[[#This Row],[Comments]])&lt;&gt;0, priority(Main[[#This Row],[Comments]]),"")</f>
        <v/>
      </c>
      <c r="B1406" s="99" t="s">
        <v>1438</v>
      </c>
      <c r="C1406" s="65" t="s">
        <v>4</v>
      </c>
      <c r="D1406" s="66" t="s">
        <v>514</v>
      </c>
      <c r="E1406" s="67">
        <v>40623.553414351853</v>
      </c>
      <c r="F1406" s="67"/>
      <c r="G1406" s="64" t="str">
        <f>IF(stdProdLT(Main[[#This Row],[Comments]])=0.1,"N/A",IF(stdProdLT(Main[[#This Row],[Comments]])=0,"",stdProdLT(Main[[#This Row],[Comments]])))</f>
        <v/>
      </c>
      <c r="H1406" s="68" t="str">
        <f>IF(AND(Main[[#This Row],[In Stock Date]]&lt;&gt;"",Main[[#This Row],[Revised Due Date]]&lt;&gt;""),Main[[#This Row],[In Stock Date]]-Main[[#This Row],[Revised Due Date]],"")</f>
        <v/>
      </c>
      <c r="I1406" s="65" t="s">
        <v>30</v>
      </c>
      <c r="J1406" s="65" t="s">
        <v>21</v>
      </c>
      <c r="K1406" s="71" t="s">
        <v>1926</v>
      </c>
      <c r="L1406" s="67">
        <v>40623</v>
      </c>
      <c r="M1406" s="69">
        <f>IF(Main[[#This Row],[Tech Start Date]]&lt;1/1/1990,"",IF(Main[[#This Row],[Class]]="C",WORKDAY(Main[[#This Row],[Tech Start Date]],9),IF(Main[[#This Row],[Class]]="B", WORKDAY(Main[[#This Row],[Tech Start Date]],6),IF(Main[[#This Row],[Class]]="A",WORKDAY(Main[[#This Row],[Tech Start Date]],2),""))))</f>
        <v>40625</v>
      </c>
      <c r="N1406" s="69">
        <f>IF(Main[[#This Row],[Tech Start Date]]&lt;1/1/1990,"",IF(Main[[#This Row],[Class]]="C",WORKDAY(Main[[#This Row],[Tech Start Date]],19),IF(Main[[#This Row],[Class]]="B", WORKDAY(Main[[#This Row],[Tech Start Date]],12),IF(Main[[#This Row],[Class]]="A",WORKDAY(Main[[#This Row],[Tech Start Date]],4),""))))</f>
        <v>40627</v>
      </c>
      <c r="O1406" s="69">
        <f>IF(Main[[#This Row],[Tech Start Date]]&lt;1/1/1990,"",IF(Main[[#This Row],[Class]]="C",WORKDAY(Main[[#This Row],[Tech Start Date]],23),IF(Main[[#This Row],[Class]]="B", WORKDAY(Main[[#This Row],[Tech Start Date]],15),IF(Main[[#This Row],[Class]]="A",WORKDAY(Main[[#This Row],[Tech Start Date]],5),""))))</f>
        <v>40630</v>
      </c>
      <c r="P1406" s="69">
        <f>IF(Main[[#This Row],[Tech Start Date]]&lt;1/1/1990,"",IF(Main[[#This Row],[Class]]="C",WORKDAY(Main[[#This Row],[Tech Start Date]],28),IF(Main[[#This Row],[Class]]="B", WORKDAY(Main[[#This Row],[Tech Start Date]],19),IF(Main[[#This Row],[Class]]="A",WORKDAY(Main[[#This Row],[Tech Start Date]],9),""))))</f>
        <v>40634</v>
      </c>
      <c r="Q1406" s="67">
        <v>40662</v>
      </c>
      <c r="R1406" s="67"/>
      <c r="S1406" s="65" t="s">
        <v>6</v>
      </c>
      <c r="T1406" s="70" t="s">
        <v>4</v>
      </c>
      <c r="U1406" s="65" t="s">
        <v>29</v>
      </c>
      <c r="V1406" s="65" t="s">
        <v>1927</v>
      </c>
      <c r="W1406" s="65" t="s">
        <v>1921</v>
      </c>
      <c r="X1406" s="65" t="s">
        <v>30</v>
      </c>
      <c r="Y1406" s="65" t="s">
        <v>2963</v>
      </c>
      <c r="Z1406" s="65" t="s">
        <v>30</v>
      </c>
      <c r="AA1406" s="65" t="s">
        <v>30</v>
      </c>
    </row>
    <row r="1407" spans="1:27" ht="17.45" customHeight="1">
      <c r="A1407" s="131" t="str">
        <f>IF(priority(Main[[#This Row],[Comments]])&lt;&gt;0, priority(Main[[#This Row],[Comments]]),"")</f>
        <v/>
      </c>
      <c r="B1407" s="99" t="s">
        <v>1877</v>
      </c>
      <c r="C1407" s="65" t="s">
        <v>31</v>
      </c>
      <c r="D1407" s="66" t="s">
        <v>929</v>
      </c>
      <c r="E1407" s="67"/>
      <c r="F1407" s="67">
        <v>40725</v>
      </c>
      <c r="G1407" s="64" t="str">
        <f>IF(stdProdLT(Main[[#This Row],[Comments]])=0.1,"N/A",IF(stdProdLT(Main[[#This Row],[Comments]])=0,"",stdProdLT(Main[[#This Row],[Comments]])))</f>
        <v/>
      </c>
      <c r="H1407" s="68">
        <f>IF(AND(Main[[#This Row],[In Stock Date]]&lt;&gt;"",Main[[#This Row],[Revised Due Date]]&lt;&gt;""),Main[[#This Row],[In Stock Date]]-Main[[#This Row],[Revised Due Date]],"")</f>
        <v>66</v>
      </c>
      <c r="I1407" s="65" t="s">
        <v>171</v>
      </c>
      <c r="J1407" s="65" t="s">
        <v>28</v>
      </c>
      <c r="K1407" s="71" t="s">
        <v>1926</v>
      </c>
      <c r="L1407" s="67">
        <v>40623</v>
      </c>
      <c r="M1407" s="69">
        <f>IF(Main[[#This Row],[Tech Start Date]]&lt;1/1/1990,"",IF(Main[[#This Row],[Class]]="C",WORKDAY(Main[[#This Row],[Tech Start Date]],9),IF(Main[[#This Row],[Class]]="B", WORKDAY(Main[[#This Row],[Tech Start Date]],6),IF(Main[[#This Row],[Class]]="A",WORKDAY(Main[[#This Row],[Tech Start Date]],2),""))))</f>
        <v>40625</v>
      </c>
      <c r="N1407" s="69">
        <f>IF(Main[[#This Row],[Tech Start Date]]&lt;1/1/1990,"",IF(Main[[#This Row],[Class]]="C",WORKDAY(Main[[#This Row],[Tech Start Date]],19),IF(Main[[#This Row],[Class]]="B", WORKDAY(Main[[#This Row],[Tech Start Date]],12),IF(Main[[#This Row],[Class]]="A",WORKDAY(Main[[#This Row],[Tech Start Date]],4),""))))</f>
        <v>40627</v>
      </c>
      <c r="O1407" s="69">
        <f>IF(Main[[#This Row],[Tech Start Date]]&lt;1/1/1990,"",IF(Main[[#This Row],[Class]]="C",WORKDAY(Main[[#This Row],[Tech Start Date]],23),IF(Main[[#This Row],[Class]]="B", WORKDAY(Main[[#This Row],[Tech Start Date]],15),IF(Main[[#This Row],[Class]]="A",WORKDAY(Main[[#This Row],[Tech Start Date]],5),""))))</f>
        <v>40630</v>
      </c>
      <c r="P1407" s="69">
        <f>IF(Main[[#This Row],[Tech Start Date]]&lt;1/1/1990,"",IF(Main[[#This Row],[Class]]="C",WORKDAY(Main[[#This Row],[Tech Start Date]],28),IF(Main[[#This Row],[Class]]="B", WORKDAY(Main[[#This Row],[Tech Start Date]],19),IF(Main[[#This Row],[Class]]="A",WORKDAY(Main[[#This Row],[Tech Start Date]],9),""))))</f>
        <v>40634</v>
      </c>
      <c r="Q1407" s="67">
        <v>40659</v>
      </c>
      <c r="R1407" s="67">
        <v>40659</v>
      </c>
      <c r="S1407" s="65" t="s">
        <v>11</v>
      </c>
      <c r="T1407" s="70" t="s">
        <v>4</v>
      </c>
      <c r="U1407" s="65" t="s">
        <v>14</v>
      </c>
      <c r="V1407" s="65" t="s">
        <v>1920</v>
      </c>
      <c r="W1407" s="65" t="s">
        <v>1923</v>
      </c>
      <c r="X1407" s="65" t="s">
        <v>2851</v>
      </c>
      <c r="Y1407" s="65" t="s">
        <v>3071</v>
      </c>
      <c r="Z1407" s="65" t="s">
        <v>171</v>
      </c>
      <c r="AA1407" s="65" t="s">
        <v>2851</v>
      </c>
    </row>
    <row r="1408" spans="1:27" ht="17.45" customHeight="1">
      <c r="A1408" s="131" t="str">
        <f>IF(priority(Main[[#This Row],[Comments]])&lt;&gt;0, priority(Main[[#This Row],[Comments]]),"")</f>
        <v/>
      </c>
      <c r="B1408" s="99" t="s">
        <v>1879</v>
      </c>
      <c r="C1408" s="65" t="s">
        <v>4</v>
      </c>
      <c r="D1408" s="66" t="s">
        <v>3826</v>
      </c>
      <c r="E1408" s="67">
        <v>40624.55673611111</v>
      </c>
      <c r="F1408" s="67"/>
      <c r="G1408" s="64" t="str">
        <f>IF(stdProdLT(Main[[#This Row],[Comments]])=0.1,"N/A",IF(stdProdLT(Main[[#This Row],[Comments]])=0,"",stdProdLT(Main[[#This Row],[Comments]])))</f>
        <v/>
      </c>
      <c r="H1408" s="68" t="str">
        <f>IF(AND(Main[[#This Row],[In Stock Date]]&lt;&gt;"",Main[[#This Row],[Revised Due Date]]&lt;&gt;""),Main[[#This Row],[In Stock Date]]-Main[[#This Row],[Revised Due Date]],"")</f>
        <v/>
      </c>
      <c r="I1408" s="65" t="s">
        <v>69</v>
      </c>
      <c r="J1408" s="65" t="s">
        <v>70</v>
      </c>
      <c r="K1408" s="65" t="s">
        <v>1926</v>
      </c>
      <c r="L1408" s="67">
        <v>40638</v>
      </c>
      <c r="M1408" s="69">
        <f>IF(Main[[#This Row],[Tech Start Date]]&lt;1/1/1990,"",IF(Main[[#This Row],[Class]]="C",WORKDAY(Main[[#This Row],[Tech Start Date]],9),IF(Main[[#This Row],[Class]]="B", WORKDAY(Main[[#This Row],[Tech Start Date]],6),IF(Main[[#This Row],[Class]]="A",WORKDAY(Main[[#This Row],[Tech Start Date]],2),""))))</f>
        <v>40640</v>
      </c>
      <c r="N1408" s="69">
        <f>IF(Main[[#This Row],[Tech Start Date]]&lt;1/1/1990,"",IF(Main[[#This Row],[Class]]="C",WORKDAY(Main[[#This Row],[Tech Start Date]],19),IF(Main[[#This Row],[Class]]="B", WORKDAY(Main[[#This Row],[Tech Start Date]],12),IF(Main[[#This Row],[Class]]="A",WORKDAY(Main[[#This Row],[Tech Start Date]],4),""))))</f>
        <v>40644</v>
      </c>
      <c r="O1408" s="69">
        <f>IF(Main[[#This Row],[Tech Start Date]]&lt;1/1/1990,"",IF(Main[[#This Row],[Class]]="C",WORKDAY(Main[[#This Row],[Tech Start Date]],23),IF(Main[[#This Row],[Class]]="B", WORKDAY(Main[[#This Row],[Tech Start Date]],15),IF(Main[[#This Row],[Class]]="A",WORKDAY(Main[[#This Row],[Tech Start Date]],5),""))))</f>
        <v>40645</v>
      </c>
      <c r="P1408" s="69">
        <f>IF(Main[[#This Row],[Tech Start Date]]&lt;1/1/1990,"",IF(Main[[#This Row],[Class]]="C",WORKDAY(Main[[#This Row],[Tech Start Date]],28),IF(Main[[#This Row],[Class]]="B", WORKDAY(Main[[#This Row],[Tech Start Date]],19),IF(Main[[#This Row],[Class]]="A",WORKDAY(Main[[#This Row],[Tech Start Date]],9),""))))</f>
        <v>40651</v>
      </c>
      <c r="Q1408" s="67"/>
      <c r="R1408" s="67">
        <v>40675</v>
      </c>
      <c r="S1408" s="65" t="s">
        <v>6</v>
      </c>
      <c r="T1408" s="70" t="s">
        <v>4</v>
      </c>
      <c r="U1408" s="65" t="s">
        <v>29</v>
      </c>
      <c r="V1408" s="65" t="s">
        <v>1920</v>
      </c>
      <c r="W1408" s="65" t="s">
        <v>1921</v>
      </c>
      <c r="X1408" s="65" t="s">
        <v>2926</v>
      </c>
      <c r="Y1408" s="65" t="s">
        <v>3154</v>
      </c>
      <c r="Z1408" s="65" t="s">
        <v>30</v>
      </c>
      <c r="AA1408" s="65" t="s">
        <v>2926</v>
      </c>
    </row>
    <row r="1409" spans="1:27" ht="17.45" customHeight="1">
      <c r="A1409" s="131" t="str">
        <f>IF(priority(Main[[#This Row],[Comments]])&lt;&gt;0, priority(Main[[#This Row],[Comments]]),"")</f>
        <v/>
      </c>
      <c r="B1409" s="99" t="s">
        <v>1875</v>
      </c>
      <c r="C1409" s="65" t="s">
        <v>4</v>
      </c>
      <c r="D1409" s="66" t="s">
        <v>2612</v>
      </c>
      <c r="E1409" s="67">
        <v>40627.819594907407</v>
      </c>
      <c r="F1409" s="67"/>
      <c r="G1409" s="64" t="str">
        <f>IF(stdProdLT(Main[[#This Row],[Comments]])=0.1,"N/A",IF(stdProdLT(Main[[#This Row],[Comments]])=0,"",stdProdLT(Main[[#This Row],[Comments]])))</f>
        <v/>
      </c>
      <c r="H1409" s="68" t="str">
        <f>IF(AND(Main[[#This Row],[In Stock Date]]&lt;&gt;"",Main[[#This Row],[Revised Due Date]]&lt;&gt;""),Main[[#This Row],[In Stock Date]]-Main[[#This Row],[Revised Due Date]],"")</f>
        <v/>
      </c>
      <c r="I1409" s="65" t="s">
        <v>30</v>
      </c>
      <c r="J1409" s="65" t="s">
        <v>75</v>
      </c>
      <c r="K1409" s="65" t="s">
        <v>1926</v>
      </c>
      <c r="L1409" s="67">
        <v>40639</v>
      </c>
      <c r="M1409" s="69">
        <f>IF(Main[[#This Row],[Tech Start Date]]&lt;1/1/1990,"",IF(Main[[#This Row],[Class]]="C",WORKDAY(Main[[#This Row],[Tech Start Date]],9),IF(Main[[#This Row],[Class]]="B", WORKDAY(Main[[#This Row],[Tech Start Date]],6),IF(Main[[#This Row],[Class]]="A",WORKDAY(Main[[#This Row],[Tech Start Date]],2),""))))</f>
        <v>40641</v>
      </c>
      <c r="N1409" s="69">
        <f>IF(Main[[#This Row],[Tech Start Date]]&lt;1/1/1990,"",IF(Main[[#This Row],[Class]]="C",WORKDAY(Main[[#This Row],[Tech Start Date]],19),IF(Main[[#This Row],[Class]]="B", WORKDAY(Main[[#This Row],[Tech Start Date]],12),IF(Main[[#This Row],[Class]]="A",WORKDAY(Main[[#This Row],[Tech Start Date]],4),""))))</f>
        <v>40645</v>
      </c>
      <c r="O1409" s="69">
        <f>IF(Main[[#This Row],[Tech Start Date]]&lt;1/1/1990,"",IF(Main[[#This Row],[Class]]="C",WORKDAY(Main[[#This Row],[Tech Start Date]],23),IF(Main[[#This Row],[Class]]="B", WORKDAY(Main[[#This Row],[Tech Start Date]],15),IF(Main[[#This Row],[Class]]="A",WORKDAY(Main[[#This Row],[Tech Start Date]],5),""))))</f>
        <v>40646</v>
      </c>
      <c r="P1409" s="69">
        <f>IF(Main[[#This Row],[Tech Start Date]]&lt;1/1/1990,"",IF(Main[[#This Row],[Class]]="C",WORKDAY(Main[[#This Row],[Tech Start Date]],28),IF(Main[[#This Row],[Class]]="B", WORKDAY(Main[[#This Row],[Tech Start Date]],19),IF(Main[[#This Row],[Class]]="A",WORKDAY(Main[[#This Row],[Tech Start Date]],9),""))))</f>
        <v>40652</v>
      </c>
      <c r="Q1409" s="67">
        <v>40659</v>
      </c>
      <c r="R1409" s="67">
        <v>40646</v>
      </c>
      <c r="S1409" s="65" t="s">
        <v>6</v>
      </c>
      <c r="T1409" s="70" t="s">
        <v>4</v>
      </c>
      <c r="U1409" s="65" t="s">
        <v>29</v>
      </c>
      <c r="V1409" s="65" t="s">
        <v>1920</v>
      </c>
      <c r="W1409" s="65" t="s">
        <v>1921</v>
      </c>
      <c r="X1409" s="65" t="s">
        <v>30</v>
      </c>
      <c r="Y1409" s="65" t="s">
        <v>2963</v>
      </c>
      <c r="Z1409" s="65" t="s">
        <v>30</v>
      </c>
      <c r="AA1409" s="65" t="s">
        <v>30</v>
      </c>
    </row>
    <row r="1410" spans="1:27" ht="17.45" customHeight="1">
      <c r="A1410" s="131" t="str">
        <f>IF(priority(Main[[#This Row],[Comments]])&lt;&gt;0, priority(Main[[#This Row],[Comments]]),"")</f>
        <v/>
      </c>
      <c r="B1410" s="99" t="s">
        <v>1882</v>
      </c>
      <c r="C1410" s="65" t="s">
        <v>4</v>
      </c>
      <c r="D1410" s="66" t="s">
        <v>2137</v>
      </c>
      <c r="E1410" s="67"/>
      <c r="F1410" s="67"/>
      <c r="G1410" s="64" t="str">
        <f>IF(stdProdLT(Main[[#This Row],[Comments]])=0.1,"N/A",IF(stdProdLT(Main[[#This Row],[Comments]])=0,"",stdProdLT(Main[[#This Row],[Comments]])))</f>
        <v/>
      </c>
      <c r="H1410" s="68" t="str">
        <f>IF(AND(Main[[#This Row],[In Stock Date]]&lt;&gt;"",Main[[#This Row],[Revised Due Date]]&lt;&gt;""),Main[[#This Row],[In Stock Date]]-Main[[#This Row],[Revised Due Date]],"")</f>
        <v/>
      </c>
      <c r="I1410" s="65" t="s">
        <v>306</v>
      </c>
      <c r="J1410" s="65" t="s">
        <v>75</v>
      </c>
      <c r="K1410" s="65" t="s">
        <v>1926</v>
      </c>
      <c r="L1410" s="67">
        <v>40651</v>
      </c>
      <c r="M1410" s="69">
        <f>IF(Main[[#This Row],[Tech Start Date]]&lt;1/1/1990,"",IF(Main[[#This Row],[Class]]="C",WORKDAY(Main[[#This Row],[Tech Start Date]],9),IF(Main[[#This Row],[Class]]="B", WORKDAY(Main[[#This Row],[Tech Start Date]],6),IF(Main[[#This Row],[Class]]="A",WORKDAY(Main[[#This Row],[Tech Start Date]],2),""))))</f>
        <v>40653</v>
      </c>
      <c r="N1410" s="69">
        <f>IF(Main[[#This Row],[Tech Start Date]]&lt;1/1/1990,"",IF(Main[[#This Row],[Class]]="C",WORKDAY(Main[[#This Row],[Tech Start Date]],19),IF(Main[[#This Row],[Class]]="B", WORKDAY(Main[[#This Row],[Tech Start Date]],12),IF(Main[[#This Row],[Class]]="A",WORKDAY(Main[[#This Row],[Tech Start Date]],4),""))))</f>
        <v>40655</v>
      </c>
      <c r="O1410" s="69">
        <f>IF(Main[[#This Row],[Tech Start Date]]&lt;1/1/1990,"",IF(Main[[#This Row],[Class]]="C",WORKDAY(Main[[#This Row],[Tech Start Date]],23),IF(Main[[#This Row],[Class]]="B", WORKDAY(Main[[#This Row],[Tech Start Date]],15),IF(Main[[#This Row],[Class]]="A",WORKDAY(Main[[#This Row],[Tech Start Date]],5),""))))</f>
        <v>40658</v>
      </c>
      <c r="P1410" s="69">
        <f>IF(Main[[#This Row],[Tech Start Date]]&lt;1/1/1990,"",IF(Main[[#This Row],[Class]]="C",WORKDAY(Main[[#This Row],[Tech Start Date]],28),IF(Main[[#This Row],[Class]]="B", WORKDAY(Main[[#This Row],[Tech Start Date]],19),IF(Main[[#This Row],[Class]]="A",WORKDAY(Main[[#This Row],[Tech Start Date]],9),""))))</f>
        <v>40662</v>
      </c>
      <c r="Q1410" s="67">
        <v>40480</v>
      </c>
      <c r="R1410" s="67">
        <v>40689</v>
      </c>
      <c r="S1410" s="65" t="s">
        <v>6</v>
      </c>
      <c r="T1410" s="70" t="s">
        <v>4</v>
      </c>
      <c r="U1410" s="65" t="s">
        <v>14</v>
      </c>
      <c r="V1410" s="65" t="s">
        <v>1927</v>
      </c>
      <c r="W1410" s="65" t="s">
        <v>1921</v>
      </c>
      <c r="X1410" s="65" t="s">
        <v>2824</v>
      </c>
      <c r="Y1410" s="65" t="s">
        <v>2935</v>
      </c>
      <c r="Z1410" s="65" t="s">
        <v>30</v>
      </c>
      <c r="AA1410" s="65" t="s">
        <v>2824</v>
      </c>
    </row>
    <row r="1411" spans="1:27" ht="17.45" customHeight="1">
      <c r="A1411" s="131" t="str">
        <f>IF(priority(Main[[#This Row],[Comments]])&lt;&gt;0, priority(Main[[#This Row],[Comments]]),"")</f>
        <v/>
      </c>
      <c r="B1411" s="99" t="s">
        <v>1881</v>
      </c>
      <c r="C1411" s="65" t="s">
        <v>4</v>
      </c>
      <c r="D1411" s="66" t="s">
        <v>932</v>
      </c>
      <c r="E1411" s="67"/>
      <c r="F1411" s="67"/>
      <c r="G1411" s="64" t="str">
        <f>IF(stdProdLT(Main[[#This Row],[Comments]])=0.1,"N/A",IF(stdProdLT(Main[[#This Row],[Comments]])=0,"",stdProdLT(Main[[#This Row],[Comments]])))</f>
        <v/>
      </c>
      <c r="H1411" s="68" t="str">
        <f>IF(AND(Main[[#This Row],[In Stock Date]]&lt;&gt;"",Main[[#This Row],[Revised Due Date]]&lt;&gt;""),Main[[#This Row],[In Stock Date]]-Main[[#This Row],[Revised Due Date]],"")</f>
        <v/>
      </c>
      <c r="I1411" s="65" t="s">
        <v>44</v>
      </c>
      <c r="J1411" s="65" t="s">
        <v>28</v>
      </c>
      <c r="K1411" s="71" t="s">
        <v>1926</v>
      </c>
      <c r="L1411" s="67">
        <v>40651</v>
      </c>
      <c r="M1411" s="69">
        <f>IF(Main[[#This Row],[Tech Start Date]]&lt;1/1/1990,"",IF(Main[[#This Row],[Class]]="C",WORKDAY(Main[[#This Row],[Tech Start Date]],9),IF(Main[[#This Row],[Class]]="B", WORKDAY(Main[[#This Row],[Tech Start Date]],6),IF(Main[[#This Row],[Class]]="A",WORKDAY(Main[[#This Row],[Tech Start Date]],2),""))))</f>
        <v>40653</v>
      </c>
      <c r="N1411" s="69">
        <f>IF(Main[[#This Row],[Tech Start Date]]&lt;1/1/1990,"",IF(Main[[#This Row],[Class]]="C",WORKDAY(Main[[#This Row],[Tech Start Date]],19),IF(Main[[#This Row],[Class]]="B", WORKDAY(Main[[#This Row],[Tech Start Date]],12),IF(Main[[#This Row],[Class]]="A",WORKDAY(Main[[#This Row],[Tech Start Date]],4),""))))</f>
        <v>40655</v>
      </c>
      <c r="O1411" s="69">
        <f>IF(Main[[#This Row],[Tech Start Date]]&lt;1/1/1990,"",IF(Main[[#This Row],[Class]]="C",WORKDAY(Main[[#This Row],[Tech Start Date]],23),IF(Main[[#This Row],[Class]]="B", WORKDAY(Main[[#This Row],[Tech Start Date]],15),IF(Main[[#This Row],[Class]]="A",WORKDAY(Main[[#This Row],[Tech Start Date]],5),""))))</f>
        <v>40658</v>
      </c>
      <c r="P1411" s="69">
        <f>IF(Main[[#This Row],[Tech Start Date]]&lt;1/1/1990,"",IF(Main[[#This Row],[Class]]="C",WORKDAY(Main[[#This Row],[Tech Start Date]],28),IF(Main[[#This Row],[Class]]="B", WORKDAY(Main[[#This Row],[Tech Start Date]],19),IF(Main[[#This Row],[Class]]="A",WORKDAY(Main[[#This Row],[Tech Start Date]],9),""))))</f>
        <v>40662</v>
      </c>
      <c r="Q1411" s="67">
        <v>40494</v>
      </c>
      <c r="R1411" s="67">
        <v>40689</v>
      </c>
      <c r="S1411" s="65" t="s">
        <v>6</v>
      </c>
      <c r="T1411" s="70" t="s">
        <v>4</v>
      </c>
      <c r="U1411" s="65" t="s">
        <v>14</v>
      </c>
      <c r="V1411" s="65" t="s">
        <v>1920</v>
      </c>
      <c r="W1411" s="65" t="s">
        <v>1921</v>
      </c>
      <c r="X1411" s="65" t="s">
        <v>2825</v>
      </c>
      <c r="Y1411" s="65" t="s">
        <v>2938</v>
      </c>
      <c r="Z1411" s="65" t="s">
        <v>44</v>
      </c>
      <c r="AA1411" s="65" t="s">
        <v>2825</v>
      </c>
    </row>
    <row r="1412" spans="1:27" ht="17.45" customHeight="1">
      <c r="A1412" s="131" t="str">
        <f>IF(priority(Main[[#This Row],[Comments]])&lt;&gt;0, priority(Main[[#This Row],[Comments]]),"")</f>
        <v/>
      </c>
      <c r="B1412" s="99" t="s">
        <v>1880</v>
      </c>
      <c r="C1412" s="65" t="s">
        <v>4</v>
      </c>
      <c r="D1412" s="66" t="s">
        <v>931</v>
      </c>
      <c r="E1412" s="67"/>
      <c r="F1412" s="67"/>
      <c r="G1412" s="64" t="str">
        <f>IF(stdProdLT(Main[[#This Row],[Comments]])=0.1,"N/A",IF(stdProdLT(Main[[#This Row],[Comments]])=0,"",stdProdLT(Main[[#This Row],[Comments]])))</f>
        <v/>
      </c>
      <c r="H1412" s="68" t="str">
        <f>IF(AND(Main[[#This Row],[In Stock Date]]&lt;&gt;"",Main[[#This Row],[Revised Due Date]]&lt;&gt;""),Main[[#This Row],[In Stock Date]]-Main[[#This Row],[Revised Due Date]],"")</f>
        <v/>
      </c>
      <c r="I1412" s="65" t="s">
        <v>130</v>
      </c>
      <c r="J1412" s="65" t="s">
        <v>70</v>
      </c>
      <c r="K1412" s="65" t="s">
        <v>1926</v>
      </c>
      <c r="L1412" s="67">
        <v>40658</v>
      </c>
      <c r="M1412" s="69">
        <f>IF(Main[[#This Row],[Tech Start Date]]&lt;1/1/1990,"",IF(Main[[#This Row],[Class]]="C",WORKDAY(Main[[#This Row],[Tech Start Date]],9),IF(Main[[#This Row],[Class]]="B", WORKDAY(Main[[#This Row],[Tech Start Date]],6),IF(Main[[#This Row],[Class]]="A",WORKDAY(Main[[#This Row],[Tech Start Date]],2),""))))</f>
        <v>40660</v>
      </c>
      <c r="N1412" s="69">
        <f>IF(Main[[#This Row],[Tech Start Date]]&lt;1/1/1990,"",IF(Main[[#This Row],[Class]]="C",WORKDAY(Main[[#This Row],[Tech Start Date]],19),IF(Main[[#This Row],[Class]]="B", WORKDAY(Main[[#This Row],[Tech Start Date]],12),IF(Main[[#This Row],[Class]]="A",WORKDAY(Main[[#This Row],[Tech Start Date]],4),""))))</f>
        <v>40662</v>
      </c>
      <c r="O1412" s="69">
        <f>IF(Main[[#This Row],[Tech Start Date]]&lt;1/1/1990,"",IF(Main[[#This Row],[Class]]="C",WORKDAY(Main[[#This Row],[Tech Start Date]],23),IF(Main[[#This Row],[Class]]="B", WORKDAY(Main[[#This Row],[Tech Start Date]],15),IF(Main[[#This Row],[Class]]="A",WORKDAY(Main[[#This Row],[Tech Start Date]],5),""))))</f>
        <v>40665</v>
      </c>
      <c r="P1412" s="69">
        <f>IF(Main[[#This Row],[Tech Start Date]]&lt;1/1/1990,"",IF(Main[[#This Row],[Class]]="C",WORKDAY(Main[[#This Row],[Tech Start Date]],28),IF(Main[[#This Row],[Class]]="B", WORKDAY(Main[[#This Row],[Tech Start Date]],19),IF(Main[[#This Row],[Class]]="A",WORKDAY(Main[[#This Row],[Tech Start Date]],9),""))))</f>
        <v>40669</v>
      </c>
      <c r="Q1412" s="67">
        <v>40665</v>
      </c>
      <c r="R1412" s="67">
        <v>40686</v>
      </c>
      <c r="S1412" s="65" t="s">
        <v>6</v>
      </c>
      <c r="T1412" s="70" t="s">
        <v>4</v>
      </c>
      <c r="U1412" s="65" t="s">
        <v>14</v>
      </c>
      <c r="V1412" s="65" t="s">
        <v>1920</v>
      </c>
      <c r="W1412" s="65" t="s">
        <v>1919</v>
      </c>
      <c r="X1412" s="65" t="s">
        <v>2857</v>
      </c>
      <c r="Y1412" s="65" t="s">
        <v>2992</v>
      </c>
      <c r="Z1412" s="65" t="s">
        <v>30</v>
      </c>
      <c r="AA1412" s="65" t="s">
        <v>2857</v>
      </c>
    </row>
    <row r="1413" spans="1:27" ht="17.45" customHeight="1">
      <c r="A1413" s="131" t="str">
        <f>IF(priority(Main[[#This Row],[Comments]])&lt;&gt;0, priority(Main[[#This Row],[Comments]]),"")</f>
        <v/>
      </c>
      <c r="B1413" s="99" t="s">
        <v>1903</v>
      </c>
      <c r="C1413" s="65" t="s">
        <v>4</v>
      </c>
      <c r="D1413" s="66" t="s">
        <v>2613</v>
      </c>
      <c r="E1413" s="67">
        <v>40659.398043981484</v>
      </c>
      <c r="F1413" s="67"/>
      <c r="G1413" s="64" t="str">
        <f>IF(stdProdLT(Main[[#This Row],[Comments]])=0.1,"N/A",IF(stdProdLT(Main[[#This Row],[Comments]])=0,"",stdProdLT(Main[[#This Row],[Comments]])))</f>
        <v/>
      </c>
      <c r="H1413" s="68" t="str">
        <f>IF(AND(Main[[#This Row],[In Stock Date]]&lt;&gt;"",Main[[#This Row],[Revised Due Date]]&lt;&gt;""),Main[[#This Row],[In Stock Date]]-Main[[#This Row],[Revised Due Date]],"")</f>
        <v/>
      </c>
      <c r="I1413" s="65" t="s">
        <v>971</v>
      </c>
      <c r="J1413" s="65" t="s">
        <v>28</v>
      </c>
      <c r="K1413" s="65" t="s">
        <v>1929</v>
      </c>
      <c r="L1413" s="67">
        <v>40665</v>
      </c>
      <c r="M1413" s="69" t="str">
        <f>IF(Main[[#This Row],[Tech Start Date]]&lt;1/1/1990,"",IF(Main[[#This Row],[Class]]="C",WORKDAY(Main[[#This Row],[Tech Start Date]],9),IF(Main[[#This Row],[Class]]="B", WORKDAY(Main[[#This Row],[Tech Start Date]],6),IF(Main[[#This Row],[Class]]="A",WORKDAY(Main[[#This Row],[Tech Start Date]],2),""))))</f>
        <v/>
      </c>
      <c r="N1413" s="69" t="str">
        <f>IF(Main[[#This Row],[Tech Start Date]]&lt;1/1/1990,"",IF(Main[[#This Row],[Class]]="C",WORKDAY(Main[[#This Row],[Tech Start Date]],19),IF(Main[[#This Row],[Class]]="B", WORKDAY(Main[[#This Row],[Tech Start Date]],12),IF(Main[[#This Row],[Class]]="A",WORKDAY(Main[[#This Row],[Tech Start Date]],4),""))))</f>
        <v/>
      </c>
      <c r="O1413" s="69" t="str">
        <f>IF(Main[[#This Row],[Tech Start Date]]&lt;1/1/1990,"",IF(Main[[#This Row],[Class]]="C",WORKDAY(Main[[#This Row],[Tech Start Date]],23),IF(Main[[#This Row],[Class]]="B", WORKDAY(Main[[#This Row],[Tech Start Date]],15),IF(Main[[#This Row],[Class]]="A",WORKDAY(Main[[#This Row],[Tech Start Date]],5),""))))</f>
        <v/>
      </c>
      <c r="P1413" s="69" t="str">
        <f>IF(Main[[#This Row],[Tech Start Date]]&lt;1/1/1990,"",IF(Main[[#This Row],[Class]]="C",WORKDAY(Main[[#This Row],[Tech Start Date]],28),IF(Main[[#This Row],[Class]]="B", WORKDAY(Main[[#This Row],[Tech Start Date]],19),IF(Main[[#This Row],[Class]]="A",WORKDAY(Main[[#This Row],[Tech Start Date]],9),""))))</f>
        <v/>
      </c>
      <c r="Q1413" s="67">
        <v>40877</v>
      </c>
      <c r="R1413" s="67">
        <v>40900</v>
      </c>
      <c r="S1413" s="65" t="s">
        <v>17</v>
      </c>
      <c r="T1413" s="70" t="s">
        <v>2614</v>
      </c>
      <c r="U1413" s="65" t="s">
        <v>29</v>
      </c>
      <c r="V1413" s="65" t="s">
        <v>1917</v>
      </c>
      <c r="W1413" s="65" t="s">
        <v>1921</v>
      </c>
      <c r="X1413" s="65" t="s">
        <v>909</v>
      </c>
      <c r="Y1413" s="65" t="s">
        <v>3023</v>
      </c>
      <c r="Z1413" s="65" t="s">
        <v>879</v>
      </c>
      <c r="AA1413" s="65" t="s">
        <v>909</v>
      </c>
    </row>
    <row r="1414" spans="1:27" ht="17.45" customHeight="1">
      <c r="A1414" s="131" t="str">
        <f>IF(priority(Main[[#This Row],[Comments]])&lt;&gt;0, priority(Main[[#This Row],[Comments]]),"")</f>
        <v/>
      </c>
      <c r="B1414" s="99" t="s">
        <v>1888</v>
      </c>
      <c r="C1414" s="65" t="s">
        <v>941</v>
      </c>
      <c r="D1414" s="66" t="s">
        <v>2799</v>
      </c>
      <c r="E1414" s="67">
        <v>40617.624050925922</v>
      </c>
      <c r="F1414" s="67">
        <v>40967</v>
      </c>
      <c r="G1414" s="64">
        <f>IF(stdProdLT(Main[[#This Row],[Comments]])=0.1,"N/A",IF(stdProdLT(Main[[#This Row],[Comments]])=0,"",stdProdLT(Main[[#This Row],[Comments]])))</f>
        <v>112</v>
      </c>
      <c r="H1414" s="68" t="str">
        <f>IF(AND(Main[[#This Row],[In Stock Date]]&lt;&gt;"",Main[[#This Row],[Revised Due Date]]&lt;&gt;""),Main[[#This Row],[In Stock Date]]-Main[[#This Row],[Revised Due Date]],"")</f>
        <v/>
      </c>
      <c r="I1414" s="65" t="s">
        <v>562</v>
      </c>
      <c r="J1414" s="65" t="s">
        <v>28</v>
      </c>
      <c r="K1414" s="71" t="s">
        <v>1930</v>
      </c>
      <c r="L1414" s="67">
        <v>40666</v>
      </c>
      <c r="M1414" s="69">
        <f>IF(Main[[#This Row],[Tech Start Date]]&lt;1/1/1990,"",IF(Main[[#This Row],[Class]]="C",WORKDAY(Main[[#This Row],[Tech Start Date]],9),IF(Main[[#This Row],[Class]]="B", WORKDAY(Main[[#This Row],[Tech Start Date]],6),IF(Main[[#This Row],[Class]]="A",WORKDAY(Main[[#This Row],[Tech Start Date]],2),""))))</f>
        <v>40679</v>
      </c>
      <c r="N1414" s="69">
        <f>IF(Main[[#This Row],[Tech Start Date]]&lt;1/1/1990,"",IF(Main[[#This Row],[Class]]="C",WORKDAY(Main[[#This Row],[Tech Start Date]],19),IF(Main[[#This Row],[Class]]="B", WORKDAY(Main[[#This Row],[Tech Start Date]],12),IF(Main[[#This Row],[Class]]="A",WORKDAY(Main[[#This Row],[Tech Start Date]],4),""))))</f>
        <v>40693</v>
      </c>
      <c r="O1414" s="69">
        <f>IF(Main[[#This Row],[Tech Start Date]]&lt;1/1/1990,"",IF(Main[[#This Row],[Class]]="C",WORKDAY(Main[[#This Row],[Tech Start Date]],23),IF(Main[[#This Row],[Class]]="B", WORKDAY(Main[[#This Row],[Tech Start Date]],15),IF(Main[[#This Row],[Class]]="A",WORKDAY(Main[[#This Row],[Tech Start Date]],5),""))))</f>
        <v>40697</v>
      </c>
      <c r="P1414" s="69">
        <f>IF(Main[[#This Row],[Tech Start Date]]&lt;1/1/1990,"",IF(Main[[#This Row],[Class]]="C",WORKDAY(Main[[#This Row],[Tech Start Date]],28),IF(Main[[#This Row],[Class]]="B", WORKDAY(Main[[#This Row],[Tech Start Date]],19),IF(Main[[#This Row],[Class]]="A",WORKDAY(Main[[#This Row],[Tech Start Date]],9),""))))</f>
        <v>40704</v>
      </c>
      <c r="Q1414" s="67">
        <v>40767</v>
      </c>
      <c r="R1414" s="67"/>
      <c r="S1414" s="65" t="s">
        <v>11</v>
      </c>
      <c r="T1414" s="70" t="s">
        <v>3571</v>
      </c>
      <c r="U1414" s="65" t="s">
        <v>534</v>
      </c>
      <c r="V1414" s="65" t="s">
        <v>1917</v>
      </c>
      <c r="W1414" s="65" t="s">
        <v>1925</v>
      </c>
      <c r="X1414" s="65" t="s">
        <v>2927</v>
      </c>
      <c r="Y1414" s="65" t="s">
        <v>3155</v>
      </c>
      <c r="Z1414" s="65" t="s">
        <v>129</v>
      </c>
      <c r="AA1414" s="65" t="s">
        <v>2927</v>
      </c>
    </row>
    <row r="1415" spans="1:27" ht="17.45" customHeight="1">
      <c r="A1415" s="131" t="str">
        <f>IF(priority(Main[[#This Row],[Comments]])&lt;&gt;0, priority(Main[[#This Row],[Comments]]),"")</f>
        <v/>
      </c>
      <c r="B1415" s="99" t="s">
        <v>1886</v>
      </c>
      <c r="C1415" s="65" t="s">
        <v>113</v>
      </c>
      <c r="D1415" s="66" t="s">
        <v>2616</v>
      </c>
      <c r="E1415" s="67">
        <v>40596.601666666669</v>
      </c>
      <c r="F1415" s="67">
        <v>40605</v>
      </c>
      <c r="G1415" s="64" t="str">
        <f>IF(stdProdLT(Main[[#This Row],[Comments]])=0.1,"N/A",IF(stdProdLT(Main[[#This Row],[Comments]])=0,"",stdProdLT(Main[[#This Row],[Comments]])))</f>
        <v/>
      </c>
      <c r="H1415" s="68" t="str">
        <f>IF(AND(Main[[#This Row],[In Stock Date]]&lt;&gt;"",Main[[#This Row],[Revised Due Date]]&lt;&gt;""),Main[[#This Row],[In Stock Date]]-Main[[#This Row],[Revised Due Date]],"")</f>
        <v/>
      </c>
      <c r="I1415" s="65" t="s">
        <v>4</v>
      </c>
      <c r="J1415" s="65" t="s">
        <v>52</v>
      </c>
      <c r="K1415" s="65" t="s">
        <v>1930</v>
      </c>
      <c r="L1415" s="67">
        <v>40666</v>
      </c>
      <c r="M1415" s="69">
        <f>IF(Main[[#This Row],[Tech Start Date]]&lt;1/1/1990,"",IF(Main[[#This Row],[Class]]="C",WORKDAY(Main[[#This Row],[Tech Start Date]],9),IF(Main[[#This Row],[Class]]="B", WORKDAY(Main[[#This Row],[Tech Start Date]],6),IF(Main[[#This Row],[Class]]="A",WORKDAY(Main[[#This Row],[Tech Start Date]],2),""))))</f>
        <v>40679</v>
      </c>
      <c r="N1415" s="69">
        <f>IF(Main[[#This Row],[Tech Start Date]]&lt;1/1/1990,"",IF(Main[[#This Row],[Class]]="C",WORKDAY(Main[[#This Row],[Tech Start Date]],19),IF(Main[[#This Row],[Class]]="B", WORKDAY(Main[[#This Row],[Tech Start Date]],12),IF(Main[[#This Row],[Class]]="A",WORKDAY(Main[[#This Row],[Tech Start Date]],4),""))))</f>
        <v>40693</v>
      </c>
      <c r="O1415" s="69">
        <f>IF(Main[[#This Row],[Tech Start Date]]&lt;1/1/1990,"",IF(Main[[#This Row],[Class]]="C",WORKDAY(Main[[#This Row],[Tech Start Date]],23),IF(Main[[#This Row],[Class]]="B", WORKDAY(Main[[#This Row],[Tech Start Date]],15),IF(Main[[#This Row],[Class]]="A",WORKDAY(Main[[#This Row],[Tech Start Date]],5),""))))</f>
        <v>40697</v>
      </c>
      <c r="P1415" s="69">
        <f>IF(Main[[#This Row],[Tech Start Date]]&lt;1/1/1990,"",IF(Main[[#This Row],[Class]]="C",WORKDAY(Main[[#This Row],[Tech Start Date]],28),IF(Main[[#This Row],[Class]]="B", WORKDAY(Main[[#This Row],[Tech Start Date]],19),IF(Main[[#This Row],[Class]]="A",WORKDAY(Main[[#This Row],[Tech Start Date]],9),""))))</f>
        <v>40704</v>
      </c>
      <c r="Q1415" s="67">
        <v>40701</v>
      </c>
      <c r="R1415" s="67"/>
      <c r="S1415" s="65" t="s">
        <v>17</v>
      </c>
      <c r="T1415" s="70" t="s">
        <v>2005</v>
      </c>
      <c r="U1415" s="65" t="s">
        <v>29</v>
      </c>
      <c r="V1415" s="65" t="s">
        <v>1917</v>
      </c>
      <c r="W1415" s="65" t="s">
        <v>1928</v>
      </c>
      <c r="X1415" s="65" t="s">
        <v>2867</v>
      </c>
      <c r="Y1415" s="65" t="s">
        <v>3011</v>
      </c>
      <c r="Z1415" s="65" t="s">
        <v>129</v>
      </c>
      <c r="AA1415" s="65" t="s">
        <v>2867</v>
      </c>
    </row>
    <row r="1416" spans="1:27" ht="17.45" customHeight="1">
      <c r="A1416" s="131" t="str">
        <f>IF(priority(Main[[#This Row],[Comments]])&lt;&gt;0, priority(Main[[#This Row],[Comments]]),"")</f>
        <v/>
      </c>
      <c r="B1416" s="99" t="s">
        <v>1887</v>
      </c>
      <c r="C1416" s="65" t="s">
        <v>937</v>
      </c>
      <c r="D1416" s="66" t="s">
        <v>938</v>
      </c>
      <c r="E1416" s="67"/>
      <c r="F1416" s="67">
        <v>40701</v>
      </c>
      <c r="G1416" s="64" t="str">
        <f>IF(stdProdLT(Main[[#This Row],[Comments]])=0.1,"N/A",IF(stdProdLT(Main[[#This Row],[Comments]])=0,"",stdProdLT(Main[[#This Row],[Comments]])))</f>
        <v/>
      </c>
      <c r="H1416" s="68">
        <f>IF(AND(Main[[#This Row],[In Stock Date]]&lt;&gt;"",Main[[#This Row],[Revised Due Date]]&lt;&gt;""),Main[[#This Row],[In Stock Date]]-Main[[#This Row],[Revised Due Date]],"")</f>
        <v>0</v>
      </c>
      <c r="I1416" s="65" t="s">
        <v>939</v>
      </c>
      <c r="J1416" s="65" t="s">
        <v>28</v>
      </c>
      <c r="K1416" s="65" t="s">
        <v>1930</v>
      </c>
      <c r="L1416" s="67">
        <v>40666</v>
      </c>
      <c r="M1416" s="69">
        <f>IF(Main[[#This Row],[Tech Start Date]]&lt;1/1/1990,"",IF(Main[[#This Row],[Class]]="C",WORKDAY(Main[[#This Row],[Tech Start Date]],9),IF(Main[[#This Row],[Class]]="B", WORKDAY(Main[[#This Row],[Tech Start Date]],6),IF(Main[[#This Row],[Class]]="A",WORKDAY(Main[[#This Row],[Tech Start Date]],2),""))))</f>
        <v>40679</v>
      </c>
      <c r="N1416" s="69">
        <f>IF(Main[[#This Row],[Tech Start Date]]&lt;1/1/1990,"",IF(Main[[#This Row],[Class]]="C",WORKDAY(Main[[#This Row],[Tech Start Date]],19),IF(Main[[#This Row],[Class]]="B", WORKDAY(Main[[#This Row],[Tech Start Date]],12),IF(Main[[#This Row],[Class]]="A",WORKDAY(Main[[#This Row],[Tech Start Date]],4),""))))</f>
        <v>40693</v>
      </c>
      <c r="O1416" s="69">
        <f>IF(Main[[#This Row],[Tech Start Date]]&lt;1/1/1990,"",IF(Main[[#This Row],[Class]]="C",WORKDAY(Main[[#This Row],[Tech Start Date]],23),IF(Main[[#This Row],[Class]]="B", WORKDAY(Main[[#This Row],[Tech Start Date]],15),IF(Main[[#This Row],[Class]]="A",WORKDAY(Main[[#This Row],[Tech Start Date]],5),""))))</f>
        <v>40697</v>
      </c>
      <c r="P1416" s="69">
        <f>IF(Main[[#This Row],[Tech Start Date]]&lt;1/1/1990,"",IF(Main[[#This Row],[Class]]="C",WORKDAY(Main[[#This Row],[Tech Start Date]],28),IF(Main[[#This Row],[Class]]="B", WORKDAY(Main[[#This Row],[Tech Start Date]],19),IF(Main[[#This Row],[Class]]="A",WORKDAY(Main[[#This Row],[Tech Start Date]],9),""))))</f>
        <v>40704</v>
      </c>
      <c r="Q1416" s="67">
        <v>40701</v>
      </c>
      <c r="R1416" s="67">
        <v>40701</v>
      </c>
      <c r="S1416" s="65" t="s">
        <v>11</v>
      </c>
      <c r="T1416" s="70" t="s">
        <v>940</v>
      </c>
      <c r="U1416" s="65" t="s">
        <v>14</v>
      </c>
      <c r="V1416" s="65" t="s">
        <v>1917</v>
      </c>
      <c r="W1416" s="65" t="s">
        <v>1922</v>
      </c>
      <c r="X1416" s="65" t="s">
        <v>2860</v>
      </c>
      <c r="Y1416" s="65" t="s">
        <v>3156</v>
      </c>
      <c r="Z1416" s="65" t="s">
        <v>129</v>
      </c>
      <c r="AA1416" s="65" t="s">
        <v>2860</v>
      </c>
    </row>
    <row r="1417" spans="1:27" ht="17.45" customHeight="1">
      <c r="A1417" s="131" t="str">
        <f>IF(priority(Main[[#This Row],[Comments]])&lt;&gt;0, priority(Main[[#This Row],[Comments]]),"")</f>
        <v/>
      </c>
      <c r="B1417" s="99" t="s">
        <v>1692</v>
      </c>
      <c r="C1417" s="65" t="s">
        <v>518</v>
      </c>
      <c r="D1417" s="66" t="s">
        <v>746</v>
      </c>
      <c r="E1417" s="67">
        <v>40661.601064814815</v>
      </c>
      <c r="F1417" s="67">
        <v>40862</v>
      </c>
      <c r="G1417" s="64" t="str">
        <f>IF(stdProdLT(Main[[#This Row],[Comments]])=0.1,"N/A",IF(stdProdLT(Main[[#This Row],[Comments]])=0,"",stdProdLT(Main[[#This Row],[Comments]])))</f>
        <v/>
      </c>
      <c r="H1417" s="68">
        <f>IF(AND(Main[[#This Row],[In Stock Date]]&lt;&gt;"",Main[[#This Row],[Revised Due Date]]&lt;&gt;""),Main[[#This Row],[In Stock Date]]-Main[[#This Row],[Revised Due Date]],"")</f>
        <v>1</v>
      </c>
      <c r="I1417" s="65" t="s">
        <v>747</v>
      </c>
      <c r="J1417" s="65" t="s">
        <v>28</v>
      </c>
      <c r="K1417" s="65" t="s">
        <v>1929</v>
      </c>
      <c r="L1417" s="67">
        <v>40668</v>
      </c>
      <c r="M1417" s="69" t="str">
        <f>IF(Main[[#This Row],[Tech Start Date]]&lt;1/1/1990,"",IF(Main[[#This Row],[Class]]="C",WORKDAY(Main[[#This Row],[Tech Start Date]],9),IF(Main[[#This Row],[Class]]="B", WORKDAY(Main[[#This Row],[Tech Start Date]],6),IF(Main[[#This Row],[Class]]="A",WORKDAY(Main[[#This Row],[Tech Start Date]],2),""))))</f>
        <v/>
      </c>
      <c r="N1417" s="69" t="str">
        <f>IF(Main[[#This Row],[Tech Start Date]]&lt;1/1/1990,"",IF(Main[[#This Row],[Class]]="C",WORKDAY(Main[[#This Row],[Tech Start Date]],19),IF(Main[[#This Row],[Class]]="B", WORKDAY(Main[[#This Row],[Tech Start Date]],12),IF(Main[[#This Row],[Class]]="A",WORKDAY(Main[[#This Row],[Tech Start Date]],4),""))))</f>
        <v/>
      </c>
      <c r="O1417" s="69" t="str">
        <f>IF(Main[[#This Row],[Tech Start Date]]&lt;1/1/1990,"",IF(Main[[#This Row],[Class]]="C",WORKDAY(Main[[#This Row],[Tech Start Date]],23),IF(Main[[#This Row],[Class]]="B", WORKDAY(Main[[#This Row],[Tech Start Date]],15),IF(Main[[#This Row],[Class]]="A",WORKDAY(Main[[#This Row],[Tech Start Date]],5),""))))</f>
        <v/>
      </c>
      <c r="P1417" s="69" t="str">
        <f>IF(Main[[#This Row],[Tech Start Date]]&lt;1/1/1990,"",IF(Main[[#This Row],[Class]]="C",WORKDAY(Main[[#This Row],[Tech Start Date]],28),IF(Main[[#This Row],[Class]]="B", WORKDAY(Main[[#This Row],[Tech Start Date]],19),IF(Main[[#This Row],[Class]]="A",WORKDAY(Main[[#This Row],[Tech Start Date]],9),""))))</f>
        <v/>
      </c>
      <c r="Q1417" s="67">
        <v>40739</v>
      </c>
      <c r="R1417" s="67">
        <v>40861</v>
      </c>
      <c r="S1417" s="65" t="s">
        <v>17</v>
      </c>
      <c r="T1417" s="70" t="s">
        <v>4</v>
      </c>
      <c r="U1417" s="65" t="s">
        <v>29</v>
      </c>
      <c r="V1417" s="65" t="s">
        <v>1920</v>
      </c>
      <c r="W1417" s="65" t="s">
        <v>1922</v>
      </c>
      <c r="X1417" s="65" t="s">
        <v>554</v>
      </c>
      <c r="Y1417" s="65" t="s">
        <v>3157</v>
      </c>
      <c r="Z1417" s="65" t="s">
        <v>970</v>
      </c>
      <c r="AA1417" s="65" t="s">
        <v>3484</v>
      </c>
    </row>
    <row r="1418" spans="1:27" ht="17.45" customHeight="1">
      <c r="A1418" s="131" t="str">
        <f>IF(priority(Main[[#This Row],[Comments]])&lt;&gt;0, priority(Main[[#This Row],[Comments]]),"")</f>
        <v/>
      </c>
      <c r="B1418" s="99" t="s">
        <v>1885</v>
      </c>
      <c r="C1418" s="65" t="s">
        <v>4</v>
      </c>
      <c r="D1418" s="66" t="s">
        <v>936</v>
      </c>
      <c r="E1418" s="67"/>
      <c r="F1418" s="67"/>
      <c r="G1418" s="64" t="str">
        <f>IF(stdProdLT(Main[[#This Row],[Comments]])=0.1,"N/A",IF(stdProdLT(Main[[#This Row],[Comments]])=0,"",stdProdLT(Main[[#This Row],[Comments]])))</f>
        <v/>
      </c>
      <c r="H1418" s="68" t="str">
        <f>IF(AND(Main[[#This Row],[In Stock Date]]&lt;&gt;"",Main[[#This Row],[Revised Due Date]]&lt;&gt;""),Main[[#This Row],[In Stock Date]]-Main[[#This Row],[Revised Due Date]],"")</f>
        <v/>
      </c>
      <c r="I1418" s="65" t="s">
        <v>30</v>
      </c>
      <c r="J1418" s="65" t="s">
        <v>28</v>
      </c>
      <c r="K1418" s="65" t="s">
        <v>1926</v>
      </c>
      <c r="L1418" s="67">
        <v>40686</v>
      </c>
      <c r="M1418" s="69">
        <f>IF(Main[[#This Row],[Tech Start Date]]&lt;1/1/1990,"",IF(Main[[#This Row],[Class]]="C",WORKDAY(Main[[#This Row],[Tech Start Date]],9),IF(Main[[#This Row],[Class]]="B", WORKDAY(Main[[#This Row],[Tech Start Date]],6),IF(Main[[#This Row],[Class]]="A",WORKDAY(Main[[#This Row],[Tech Start Date]],2),""))))</f>
        <v>40688</v>
      </c>
      <c r="N1418" s="69">
        <f>IF(Main[[#This Row],[Tech Start Date]]&lt;1/1/1990,"",IF(Main[[#This Row],[Class]]="C",WORKDAY(Main[[#This Row],[Tech Start Date]],19),IF(Main[[#This Row],[Class]]="B", WORKDAY(Main[[#This Row],[Tech Start Date]],12),IF(Main[[#This Row],[Class]]="A",WORKDAY(Main[[#This Row],[Tech Start Date]],4),""))))</f>
        <v>40690</v>
      </c>
      <c r="O1418" s="69">
        <f>IF(Main[[#This Row],[Tech Start Date]]&lt;1/1/1990,"",IF(Main[[#This Row],[Class]]="C",WORKDAY(Main[[#This Row],[Tech Start Date]],23),IF(Main[[#This Row],[Class]]="B", WORKDAY(Main[[#This Row],[Tech Start Date]],15),IF(Main[[#This Row],[Class]]="A",WORKDAY(Main[[#This Row],[Tech Start Date]],5),""))))</f>
        <v>40693</v>
      </c>
      <c r="P1418" s="69">
        <f>IF(Main[[#This Row],[Tech Start Date]]&lt;1/1/1990,"",IF(Main[[#This Row],[Class]]="C",WORKDAY(Main[[#This Row],[Tech Start Date]],28),IF(Main[[#This Row],[Class]]="B", WORKDAY(Main[[#This Row],[Tech Start Date]],19),IF(Main[[#This Row],[Class]]="A",WORKDAY(Main[[#This Row],[Tech Start Date]],9),""))))</f>
        <v>40697</v>
      </c>
      <c r="Q1418" s="67">
        <v>40669</v>
      </c>
      <c r="R1418" s="67">
        <v>40700</v>
      </c>
      <c r="S1418" s="65" t="s">
        <v>6</v>
      </c>
      <c r="T1418" s="70" t="s">
        <v>4</v>
      </c>
      <c r="U1418" s="65" t="s">
        <v>14</v>
      </c>
      <c r="V1418" s="65" t="s">
        <v>1920</v>
      </c>
      <c r="W1418" s="65" t="s">
        <v>1919</v>
      </c>
      <c r="X1418" s="65" t="s">
        <v>2825</v>
      </c>
      <c r="Y1418" s="65" t="s">
        <v>2938</v>
      </c>
      <c r="Z1418" s="65" t="s">
        <v>530</v>
      </c>
      <c r="AA1418" s="65" t="s">
        <v>2825</v>
      </c>
    </row>
    <row r="1419" spans="1:27" ht="17.45" customHeight="1">
      <c r="A1419" s="131" t="str">
        <f>IF(priority(Main[[#This Row],[Comments]])&lt;&gt;0, priority(Main[[#This Row],[Comments]]),"")</f>
        <v/>
      </c>
      <c r="B1419" s="99" t="s">
        <v>1213</v>
      </c>
      <c r="C1419" s="65" t="s">
        <v>4</v>
      </c>
      <c r="D1419" s="66" t="s">
        <v>271</v>
      </c>
      <c r="E1419" s="67">
        <v>40683.573206018518</v>
      </c>
      <c r="F1419" s="67"/>
      <c r="G1419" s="64" t="str">
        <f>IF(stdProdLT(Main[[#This Row],[Comments]])=0.1,"N/A",IF(stdProdLT(Main[[#This Row],[Comments]])=0,"",stdProdLT(Main[[#This Row],[Comments]])))</f>
        <v/>
      </c>
      <c r="H1419" s="68" t="str">
        <f>IF(AND(Main[[#This Row],[In Stock Date]]&lt;&gt;"",Main[[#This Row],[Revised Due Date]]&lt;&gt;""),Main[[#This Row],[In Stock Date]]-Main[[#This Row],[Revised Due Date]],"")</f>
        <v/>
      </c>
      <c r="I1419" s="65" t="s">
        <v>272</v>
      </c>
      <c r="J1419" s="65" t="s">
        <v>28</v>
      </c>
      <c r="K1419" s="65" t="s">
        <v>1929</v>
      </c>
      <c r="L1419" s="67">
        <v>40687</v>
      </c>
      <c r="M1419" s="69" t="str">
        <f>IF(Main[[#This Row],[Tech Start Date]]&lt;1/1/1990,"",IF(Main[[#This Row],[Class]]="C",WORKDAY(Main[[#This Row],[Tech Start Date]],9),IF(Main[[#This Row],[Class]]="B", WORKDAY(Main[[#This Row],[Tech Start Date]],6),IF(Main[[#This Row],[Class]]="A",WORKDAY(Main[[#This Row],[Tech Start Date]],2),""))))</f>
        <v/>
      </c>
      <c r="N1419" s="69" t="str">
        <f>IF(Main[[#This Row],[Tech Start Date]]&lt;1/1/1990,"",IF(Main[[#This Row],[Class]]="C",WORKDAY(Main[[#This Row],[Tech Start Date]],19),IF(Main[[#This Row],[Class]]="B", WORKDAY(Main[[#This Row],[Tech Start Date]],12),IF(Main[[#This Row],[Class]]="A",WORKDAY(Main[[#This Row],[Tech Start Date]],4),""))))</f>
        <v/>
      </c>
      <c r="O1419" s="69" t="str">
        <f>IF(Main[[#This Row],[Tech Start Date]]&lt;1/1/1990,"",IF(Main[[#This Row],[Class]]="C",WORKDAY(Main[[#This Row],[Tech Start Date]],23),IF(Main[[#This Row],[Class]]="B", WORKDAY(Main[[#This Row],[Tech Start Date]],15),IF(Main[[#This Row],[Class]]="A",WORKDAY(Main[[#This Row],[Tech Start Date]],5),""))))</f>
        <v/>
      </c>
      <c r="P1419" s="69" t="str">
        <f>IF(Main[[#This Row],[Tech Start Date]]&lt;1/1/1990,"",IF(Main[[#This Row],[Class]]="C",WORKDAY(Main[[#This Row],[Tech Start Date]],28),IF(Main[[#This Row],[Class]]="B", WORKDAY(Main[[#This Row],[Tech Start Date]],19),IF(Main[[#This Row],[Class]]="A",WORKDAY(Main[[#This Row],[Tech Start Date]],9),""))))</f>
        <v/>
      </c>
      <c r="Q1419" s="67">
        <v>41274</v>
      </c>
      <c r="R1419" s="67">
        <v>41241</v>
      </c>
      <c r="S1419" s="65" t="s">
        <v>17</v>
      </c>
      <c r="T1419" s="70" t="s">
        <v>4</v>
      </c>
      <c r="U1419" s="65" t="s">
        <v>29</v>
      </c>
      <c r="V1419" s="65" t="s">
        <v>1920</v>
      </c>
      <c r="W1419" s="65" t="s">
        <v>1922</v>
      </c>
      <c r="X1419" s="65" t="s">
        <v>554</v>
      </c>
      <c r="Y1419" s="65" t="s">
        <v>2958</v>
      </c>
      <c r="Z1419" s="65" t="s">
        <v>970</v>
      </c>
      <c r="AA1419" s="65" t="s">
        <v>554</v>
      </c>
    </row>
    <row r="1420" spans="1:27" ht="17.45" customHeight="1">
      <c r="A1420" s="131" t="str">
        <f>IF(priority(Main[[#This Row],[Comments]])&lt;&gt;0, priority(Main[[#This Row],[Comments]]),"")</f>
        <v/>
      </c>
      <c r="B1420" s="99" t="s">
        <v>1909</v>
      </c>
      <c r="C1420" s="65" t="s">
        <v>122</v>
      </c>
      <c r="D1420" s="66" t="s">
        <v>1957</v>
      </c>
      <c r="E1420" s="67">
        <v>40703.615451388891</v>
      </c>
      <c r="F1420" s="67">
        <v>40907</v>
      </c>
      <c r="G1420" s="64" t="str">
        <f>IF(stdProdLT(Main[[#This Row],[Comments]])=0.1,"N/A",IF(stdProdLT(Main[[#This Row],[Comments]])=0,"",stdProdLT(Main[[#This Row],[Comments]])))</f>
        <v/>
      </c>
      <c r="H1420" s="68">
        <f>IF(AND(Main[[#This Row],[In Stock Date]]&lt;&gt;"",Main[[#This Row],[Revised Due Date]]&lt;&gt;""),Main[[#This Row],[In Stock Date]]-Main[[#This Row],[Revised Due Date]],"")</f>
        <v>0</v>
      </c>
      <c r="I1420" s="65" t="s">
        <v>958</v>
      </c>
      <c r="J1420" s="65" t="s">
        <v>28</v>
      </c>
      <c r="K1420" s="65" t="s">
        <v>1929</v>
      </c>
      <c r="L1420" s="67">
        <v>40703</v>
      </c>
      <c r="M1420" s="69" t="str">
        <f>IF(Main[[#This Row],[Tech Start Date]]&lt;1/1/1990,"",IF(Main[[#This Row],[Class]]="C",WORKDAY(Main[[#This Row],[Tech Start Date]],9),IF(Main[[#This Row],[Class]]="B", WORKDAY(Main[[#This Row],[Tech Start Date]],6),IF(Main[[#This Row],[Class]]="A",WORKDAY(Main[[#This Row],[Tech Start Date]],2),""))))</f>
        <v/>
      </c>
      <c r="N1420" s="69" t="str">
        <f>IF(Main[[#This Row],[Tech Start Date]]&lt;1/1/1990,"",IF(Main[[#This Row],[Class]]="C",WORKDAY(Main[[#This Row],[Tech Start Date]],19),IF(Main[[#This Row],[Class]]="B", WORKDAY(Main[[#This Row],[Tech Start Date]],12),IF(Main[[#This Row],[Class]]="A",WORKDAY(Main[[#This Row],[Tech Start Date]],4),""))))</f>
        <v/>
      </c>
      <c r="O1420" s="69" t="str">
        <f>IF(Main[[#This Row],[Tech Start Date]]&lt;1/1/1990,"",IF(Main[[#This Row],[Class]]="C",WORKDAY(Main[[#This Row],[Tech Start Date]],23),IF(Main[[#This Row],[Class]]="B", WORKDAY(Main[[#This Row],[Tech Start Date]],15),IF(Main[[#This Row],[Class]]="A",WORKDAY(Main[[#This Row],[Tech Start Date]],5),""))))</f>
        <v/>
      </c>
      <c r="P1420" s="69" t="str">
        <f>IF(Main[[#This Row],[Tech Start Date]]&lt;1/1/1990,"",IF(Main[[#This Row],[Class]]="C",WORKDAY(Main[[#This Row],[Tech Start Date]],28),IF(Main[[#This Row],[Class]]="B", WORKDAY(Main[[#This Row],[Tech Start Date]],19),IF(Main[[#This Row],[Class]]="A",WORKDAY(Main[[#This Row],[Tech Start Date]],9),""))))</f>
        <v/>
      </c>
      <c r="Q1420" s="67">
        <v>40864</v>
      </c>
      <c r="R1420" s="67">
        <v>40907</v>
      </c>
      <c r="S1420" s="65" t="s">
        <v>17</v>
      </c>
      <c r="T1420" s="70" t="s">
        <v>1958</v>
      </c>
      <c r="U1420" s="65" t="s">
        <v>29</v>
      </c>
      <c r="V1420" s="65" t="s">
        <v>1918</v>
      </c>
      <c r="W1420" s="65" t="s">
        <v>1928</v>
      </c>
      <c r="X1420" s="65" t="s">
        <v>958</v>
      </c>
      <c r="Y1420" s="65" t="s">
        <v>4</v>
      </c>
      <c r="Z1420" s="65" t="s">
        <v>4</v>
      </c>
      <c r="AA1420" s="65" t="s">
        <v>977</v>
      </c>
    </row>
    <row r="1421" spans="1:27" ht="17.45" customHeight="1">
      <c r="A1421" s="131" t="str">
        <f>IF(priority(Main[[#This Row],[Comments]])&lt;&gt;0, priority(Main[[#This Row],[Comments]]),"")</f>
        <v/>
      </c>
      <c r="B1421" s="99" t="s">
        <v>1906</v>
      </c>
      <c r="C1421" s="65" t="s">
        <v>113</v>
      </c>
      <c r="D1421" s="66" t="s">
        <v>2800</v>
      </c>
      <c r="E1421" s="67">
        <v>40709.602083333331</v>
      </c>
      <c r="F1421" s="67">
        <v>41091</v>
      </c>
      <c r="G1421" s="64">
        <f>IF(stdProdLT(Main[[#This Row],[Comments]])=0.1,"N/A",IF(stdProdLT(Main[[#This Row],[Comments]])=0,"",stdProdLT(Main[[#This Row],[Comments]])))</f>
        <v>126</v>
      </c>
      <c r="H1421" s="68" t="str">
        <f>IF(AND(Main[[#This Row],[In Stock Date]]&lt;&gt;"",Main[[#This Row],[Revised Due Date]]&lt;&gt;""),Main[[#This Row],[In Stock Date]]-Main[[#This Row],[Revised Due Date]],"")</f>
        <v/>
      </c>
      <c r="I1421" s="65" t="s">
        <v>562</v>
      </c>
      <c r="J1421" s="65" t="s">
        <v>28</v>
      </c>
      <c r="K1421" s="65" t="s">
        <v>1930</v>
      </c>
      <c r="L1421" s="67">
        <v>40709</v>
      </c>
      <c r="M1421" s="69">
        <f>IF(Main[[#This Row],[Tech Start Date]]&lt;1/1/1990,"",IF(Main[[#This Row],[Class]]="C",WORKDAY(Main[[#This Row],[Tech Start Date]],9),IF(Main[[#This Row],[Class]]="B", WORKDAY(Main[[#This Row],[Tech Start Date]],6),IF(Main[[#This Row],[Class]]="A",WORKDAY(Main[[#This Row],[Tech Start Date]],2),""))))</f>
        <v>40722</v>
      </c>
      <c r="N1421" s="69">
        <f>IF(Main[[#This Row],[Tech Start Date]]&lt;1/1/1990,"",IF(Main[[#This Row],[Class]]="C",WORKDAY(Main[[#This Row],[Tech Start Date]],19),IF(Main[[#This Row],[Class]]="B", WORKDAY(Main[[#This Row],[Tech Start Date]],12),IF(Main[[#This Row],[Class]]="A",WORKDAY(Main[[#This Row],[Tech Start Date]],4),""))))</f>
        <v>40736</v>
      </c>
      <c r="O1421" s="69">
        <f>IF(Main[[#This Row],[Tech Start Date]]&lt;1/1/1990,"",IF(Main[[#This Row],[Class]]="C",WORKDAY(Main[[#This Row],[Tech Start Date]],23),IF(Main[[#This Row],[Class]]="B", WORKDAY(Main[[#This Row],[Tech Start Date]],15),IF(Main[[#This Row],[Class]]="A",WORKDAY(Main[[#This Row],[Tech Start Date]],5),""))))</f>
        <v>40742</v>
      </c>
      <c r="P1421" s="69">
        <f>IF(Main[[#This Row],[Tech Start Date]]&lt;1/1/1990,"",IF(Main[[#This Row],[Class]]="C",WORKDAY(Main[[#This Row],[Tech Start Date]],28),IF(Main[[#This Row],[Class]]="B", WORKDAY(Main[[#This Row],[Tech Start Date]],19),IF(Main[[#This Row],[Class]]="A",WORKDAY(Main[[#This Row],[Tech Start Date]],9),""))))</f>
        <v>40749</v>
      </c>
      <c r="Q1421" s="67"/>
      <c r="R1421" s="67"/>
      <c r="S1421" s="65" t="s">
        <v>11</v>
      </c>
      <c r="T1421" s="70" t="s">
        <v>3572</v>
      </c>
      <c r="U1421" s="65" t="s">
        <v>534</v>
      </c>
      <c r="V1421" s="65" t="s">
        <v>1917</v>
      </c>
      <c r="W1421" s="65" t="s">
        <v>1928</v>
      </c>
      <c r="X1421" s="65" t="s">
        <v>2839</v>
      </c>
      <c r="Y1421" s="65" t="s">
        <v>2945</v>
      </c>
      <c r="Z1421" s="65" t="s">
        <v>129</v>
      </c>
      <c r="AA1421" s="65" t="s">
        <v>2839</v>
      </c>
    </row>
    <row r="1422" spans="1:27" ht="17.45" customHeight="1">
      <c r="A1422" s="131" t="str">
        <f>IF(priority(Main[[#This Row],[Comments]])&lt;&gt;0, priority(Main[[#This Row],[Comments]]),"")</f>
        <v/>
      </c>
      <c r="B1422" s="99" t="s">
        <v>2010</v>
      </c>
      <c r="C1422" s="65" t="s">
        <v>2011</v>
      </c>
      <c r="D1422" s="66" t="s">
        <v>2025</v>
      </c>
      <c r="E1422" s="67">
        <v>40737.577511574076</v>
      </c>
      <c r="F1422" s="67"/>
      <c r="G1422" s="64" t="str">
        <f>IF(stdProdLT(Main[[#This Row],[Comments]])=0.1,"N/A",IF(stdProdLT(Main[[#This Row],[Comments]])=0,"",stdProdLT(Main[[#This Row],[Comments]])))</f>
        <v/>
      </c>
      <c r="H1422" s="68" t="str">
        <f>IF(AND(Main[[#This Row],[In Stock Date]]&lt;&gt;"",Main[[#This Row],[Revised Due Date]]&lt;&gt;""),Main[[#This Row],[In Stock Date]]-Main[[#This Row],[Revised Due Date]],"")</f>
        <v/>
      </c>
      <c r="I1422" s="65" t="s">
        <v>4</v>
      </c>
      <c r="J1422" s="65" t="s">
        <v>28</v>
      </c>
      <c r="K1422" s="65" t="s">
        <v>1929</v>
      </c>
      <c r="L1422" s="67">
        <v>40742</v>
      </c>
      <c r="M1422" s="69" t="str">
        <f>IF(Main[[#This Row],[Tech Start Date]]&lt;1/1/1990,"",IF(Main[[#This Row],[Class]]="C",WORKDAY(Main[[#This Row],[Tech Start Date]],9),IF(Main[[#This Row],[Class]]="B", WORKDAY(Main[[#This Row],[Tech Start Date]],6),IF(Main[[#This Row],[Class]]="A",WORKDAY(Main[[#This Row],[Tech Start Date]],2),""))))</f>
        <v/>
      </c>
      <c r="N1422" s="69" t="str">
        <f>IF(Main[[#This Row],[Tech Start Date]]&lt;1/1/1990,"",IF(Main[[#This Row],[Class]]="C",WORKDAY(Main[[#This Row],[Tech Start Date]],19),IF(Main[[#This Row],[Class]]="B", WORKDAY(Main[[#This Row],[Tech Start Date]],12),IF(Main[[#This Row],[Class]]="A",WORKDAY(Main[[#This Row],[Tech Start Date]],4),""))))</f>
        <v/>
      </c>
      <c r="O1422" s="69" t="str">
        <f>IF(Main[[#This Row],[Tech Start Date]]&lt;1/1/1990,"",IF(Main[[#This Row],[Class]]="C",WORKDAY(Main[[#This Row],[Tech Start Date]],23),IF(Main[[#This Row],[Class]]="B", WORKDAY(Main[[#This Row],[Tech Start Date]],15),IF(Main[[#This Row],[Class]]="A",WORKDAY(Main[[#This Row],[Tech Start Date]],5),""))))</f>
        <v/>
      </c>
      <c r="P1422" s="69" t="str">
        <f>IF(Main[[#This Row],[Tech Start Date]]&lt;1/1/1990,"",IF(Main[[#This Row],[Class]]="C",WORKDAY(Main[[#This Row],[Tech Start Date]],28),IF(Main[[#This Row],[Class]]="B", WORKDAY(Main[[#This Row],[Tech Start Date]],19),IF(Main[[#This Row],[Class]]="A",WORKDAY(Main[[#This Row],[Tech Start Date]],9),""))))</f>
        <v/>
      </c>
      <c r="Q1422" s="67"/>
      <c r="R1422" s="67"/>
      <c r="S1422" s="65" t="s">
        <v>17</v>
      </c>
      <c r="T1422" s="70" t="s">
        <v>4</v>
      </c>
      <c r="U1422" s="65" t="s">
        <v>29</v>
      </c>
      <c r="V1422" s="65" t="s">
        <v>1917</v>
      </c>
      <c r="W1422" s="65" t="s">
        <v>1925</v>
      </c>
      <c r="X1422" s="65" t="s">
        <v>129</v>
      </c>
      <c r="Y1422" s="65" t="s">
        <v>2965</v>
      </c>
      <c r="Z1422" s="65" t="s">
        <v>129</v>
      </c>
      <c r="AA1422" s="65" t="s">
        <v>2834</v>
      </c>
    </row>
    <row r="1423" spans="1:27" ht="17.45" customHeight="1">
      <c r="A1423" s="131" t="str">
        <f>IF(priority(Main[[#This Row],[Comments]])&lt;&gt;0, priority(Main[[#This Row],[Comments]]),"")</f>
        <v/>
      </c>
      <c r="B1423" s="99" t="s">
        <v>1689</v>
      </c>
      <c r="C1423" s="65" t="s">
        <v>743</v>
      </c>
      <c r="D1423" s="66" t="s">
        <v>1975</v>
      </c>
      <c r="E1423" s="67">
        <v>40681.50267361111</v>
      </c>
      <c r="F1423" s="67"/>
      <c r="G1423" s="64" t="str">
        <f>IF(stdProdLT(Main[[#This Row],[Comments]])=0.1,"N/A",IF(stdProdLT(Main[[#This Row],[Comments]])=0,"",stdProdLT(Main[[#This Row],[Comments]])))</f>
        <v/>
      </c>
      <c r="H1423" s="68" t="str">
        <f>IF(AND(Main[[#This Row],[In Stock Date]]&lt;&gt;"",Main[[#This Row],[Revised Due Date]]&lt;&gt;""),Main[[#This Row],[In Stock Date]]-Main[[#This Row],[Revised Due Date]],"")</f>
        <v/>
      </c>
      <c r="I1423" s="65" t="s">
        <v>747</v>
      </c>
      <c r="J1423" s="65" t="s">
        <v>28</v>
      </c>
      <c r="K1423" s="65" t="s">
        <v>1929</v>
      </c>
      <c r="L1423" s="67">
        <v>40742</v>
      </c>
      <c r="M1423" s="69" t="str">
        <f>IF(Main[[#This Row],[Tech Start Date]]&lt;1/1/1990,"",IF(Main[[#This Row],[Class]]="C",WORKDAY(Main[[#This Row],[Tech Start Date]],9),IF(Main[[#This Row],[Class]]="B", WORKDAY(Main[[#This Row],[Tech Start Date]],6),IF(Main[[#This Row],[Class]]="A",WORKDAY(Main[[#This Row],[Tech Start Date]],2),""))))</f>
        <v/>
      </c>
      <c r="N1423" s="69" t="str">
        <f>IF(Main[[#This Row],[Tech Start Date]]&lt;1/1/1990,"",IF(Main[[#This Row],[Class]]="C",WORKDAY(Main[[#This Row],[Tech Start Date]],19),IF(Main[[#This Row],[Class]]="B", WORKDAY(Main[[#This Row],[Tech Start Date]],12),IF(Main[[#This Row],[Class]]="A",WORKDAY(Main[[#This Row],[Tech Start Date]],4),""))))</f>
        <v/>
      </c>
      <c r="O1423" s="69" t="str">
        <f>IF(Main[[#This Row],[Tech Start Date]]&lt;1/1/1990,"",IF(Main[[#This Row],[Class]]="C",WORKDAY(Main[[#This Row],[Tech Start Date]],23),IF(Main[[#This Row],[Class]]="B", WORKDAY(Main[[#This Row],[Tech Start Date]],15),IF(Main[[#This Row],[Class]]="A",WORKDAY(Main[[#This Row],[Tech Start Date]],5),""))))</f>
        <v/>
      </c>
      <c r="P1423" s="69" t="str">
        <f>IF(Main[[#This Row],[Tech Start Date]]&lt;1/1/1990,"",IF(Main[[#This Row],[Class]]="C",WORKDAY(Main[[#This Row],[Tech Start Date]],28),IF(Main[[#This Row],[Class]]="B", WORKDAY(Main[[#This Row],[Tech Start Date]],19),IF(Main[[#This Row],[Class]]="A",WORKDAY(Main[[#This Row],[Tech Start Date]],9),""))))</f>
        <v/>
      </c>
      <c r="Q1423" s="67">
        <v>40939</v>
      </c>
      <c r="R1423" s="67">
        <v>40879</v>
      </c>
      <c r="S1423" s="65" t="s">
        <v>17</v>
      </c>
      <c r="T1423" s="70" t="s">
        <v>4</v>
      </c>
      <c r="U1423" s="65" t="s">
        <v>29</v>
      </c>
      <c r="V1423" s="65" t="s">
        <v>1920</v>
      </c>
      <c r="W1423" s="65" t="s">
        <v>1922</v>
      </c>
      <c r="X1423" s="65" t="s">
        <v>554</v>
      </c>
      <c r="Y1423" s="65" t="s">
        <v>2958</v>
      </c>
      <c r="Z1423" s="65" t="s">
        <v>654</v>
      </c>
      <c r="AA1423" s="65" t="s">
        <v>554</v>
      </c>
    </row>
    <row r="1424" spans="1:27" ht="17.45" customHeight="1">
      <c r="A1424" s="131" t="str">
        <f>IF(priority(Main[[#This Row],[Comments]])&lt;&gt;0, priority(Main[[#This Row],[Comments]]),"")</f>
        <v/>
      </c>
      <c r="B1424" s="99" t="s">
        <v>2042</v>
      </c>
      <c r="C1424" s="65" t="s">
        <v>116</v>
      </c>
      <c r="D1424" s="66" t="s">
        <v>2253</v>
      </c>
      <c r="E1424" s="67">
        <v>40751.429224537038</v>
      </c>
      <c r="F1424" s="67"/>
      <c r="G1424" s="64" t="str">
        <f>IF(stdProdLT(Main[[#This Row],[Comments]])=0.1,"N/A",IF(stdProdLT(Main[[#This Row],[Comments]])=0,"",stdProdLT(Main[[#This Row],[Comments]])))</f>
        <v/>
      </c>
      <c r="H1424" s="68" t="str">
        <f>IF(AND(Main[[#This Row],[In Stock Date]]&lt;&gt;"",Main[[#This Row],[Revised Due Date]]&lt;&gt;""),Main[[#This Row],[In Stock Date]]-Main[[#This Row],[Revised Due Date]],"")</f>
        <v/>
      </c>
      <c r="I1424" s="65" t="s">
        <v>2046</v>
      </c>
      <c r="J1424" s="65" t="s">
        <v>28</v>
      </c>
      <c r="K1424" s="65" t="s">
        <v>1929</v>
      </c>
      <c r="L1424" s="67">
        <v>40742</v>
      </c>
      <c r="M1424" s="69" t="str">
        <f>IF(Main[[#This Row],[Tech Start Date]]&lt;1/1/1990,"",IF(Main[[#This Row],[Class]]="C",WORKDAY(Main[[#This Row],[Tech Start Date]],9),IF(Main[[#This Row],[Class]]="B", WORKDAY(Main[[#This Row],[Tech Start Date]],6),IF(Main[[#This Row],[Class]]="A",WORKDAY(Main[[#This Row],[Tech Start Date]],2),""))))</f>
        <v/>
      </c>
      <c r="N1424" s="69" t="str">
        <f>IF(Main[[#This Row],[Tech Start Date]]&lt;1/1/1990,"",IF(Main[[#This Row],[Class]]="C",WORKDAY(Main[[#This Row],[Tech Start Date]],19),IF(Main[[#This Row],[Class]]="B", WORKDAY(Main[[#This Row],[Tech Start Date]],12),IF(Main[[#This Row],[Class]]="A",WORKDAY(Main[[#This Row],[Tech Start Date]],4),""))))</f>
        <v/>
      </c>
      <c r="O1424" s="69" t="str">
        <f>IF(Main[[#This Row],[Tech Start Date]]&lt;1/1/1990,"",IF(Main[[#This Row],[Class]]="C",WORKDAY(Main[[#This Row],[Tech Start Date]],23),IF(Main[[#This Row],[Class]]="B", WORKDAY(Main[[#This Row],[Tech Start Date]],15),IF(Main[[#This Row],[Class]]="A",WORKDAY(Main[[#This Row],[Tech Start Date]],5),""))))</f>
        <v/>
      </c>
      <c r="P1424" s="69" t="str">
        <f>IF(Main[[#This Row],[Tech Start Date]]&lt;1/1/1990,"",IF(Main[[#This Row],[Class]]="C",WORKDAY(Main[[#This Row],[Tech Start Date]],28),IF(Main[[#This Row],[Class]]="B", WORKDAY(Main[[#This Row],[Tech Start Date]],19),IF(Main[[#This Row],[Class]]="A",WORKDAY(Main[[#This Row],[Tech Start Date]],9),""))))</f>
        <v/>
      </c>
      <c r="Q1424" s="67"/>
      <c r="R1424" s="67">
        <v>40868</v>
      </c>
      <c r="S1424" s="65" t="s">
        <v>17</v>
      </c>
      <c r="T1424" s="70" t="s">
        <v>4</v>
      </c>
      <c r="U1424" s="65" t="s">
        <v>29</v>
      </c>
      <c r="V1424" s="65" t="s">
        <v>1920</v>
      </c>
      <c r="W1424" s="65" t="s">
        <v>1922</v>
      </c>
      <c r="X1424" s="65" t="s">
        <v>654</v>
      </c>
      <c r="Y1424" s="65" t="s">
        <v>3132</v>
      </c>
      <c r="Z1424" s="65" t="s">
        <v>654</v>
      </c>
      <c r="AA1424" s="65" t="s">
        <v>654</v>
      </c>
    </row>
    <row r="1425" spans="1:27" ht="17.45" customHeight="1">
      <c r="A1425" s="131" t="str">
        <f>IF(priority(Main[[#This Row],[Comments]])&lt;&gt;0, priority(Main[[#This Row],[Comments]]),"")</f>
        <v/>
      </c>
      <c r="B1425" s="99" t="s">
        <v>1030</v>
      </c>
      <c r="C1425" s="65" t="s">
        <v>46</v>
      </c>
      <c r="D1425" s="66" t="s">
        <v>2140</v>
      </c>
      <c r="E1425" s="67">
        <v>40549.665949074071</v>
      </c>
      <c r="F1425" s="67">
        <v>40603</v>
      </c>
      <c r="G1425" s="64" t="str">
        <f>IF(stdProdLT(Main[[#This Row],[Comments]])=0.1,"N/A",IF(stdProdLT(Main[[#This Row],[Comments]])=0,"",stdProdLT(Main[[#This Row],[Comments]])))</f>
        <v/>
      </c>
      <c r="H1425" s="68" t="str">
        <f>IF(AND(Main[[#This Row],[In Stock Date]]&lt;&gt;"",Main[[#This Row],[Revised Due Date]]&lt;&gt;""),Main[[#This Row],[In Stock Date]]-Main[[#This Row],[Revised Due Date]],"")</f>
        <v/>
      </c>
      <c r="I1425" s="65" t="s">
        <v>171</v>
      </c>
      <c r="J1425" s="65" t="s">
        <v>70</v>
      </c>
      <c r="K1425" s="65" t="s">
        <v>1929</v>
      </c>
      <c r="L1425" s="67">
        <v>40751</v>
      </c>
      <c r="M1425" s="69" t="str">
        <f>IF(Main[[#This Row],[Tech Start Date]]&lt;1/1/1990,"",IF(Main[[#This Row],[Class]]="C",WORKDAY(Main[[#This Row],[Tech Start Date]],9),IF(Main[[#This Row],[Class]]="B", WORKDAY(Main[[#This Row],[Tech Start Date]],6),IF(Main[[#This Row],[Class]]="A",WORKDAY(Main[[#This Row],[Tech Start Date]],2),""))))</f>
        <v/>
      </c>
      <c r="N1425" s="69" t="str">
        <f>IF(Main[[#This Row],[Tech Start Date]]&lt;1/1/1990,"",IF(Main[[#This Row],[Class]]="C",WORKDAY(Main[[#This Row],[Tech Start Date]],19),IF(Main[[#This Row],[Class]]="B", WORKDAY(Main[[#This Row],[Tech Start Date]],12),IF(Main[[#This Row],[Class]]="A",WORKDAY(Main[[#This Row],[Tech Start Date]],4),""))))</f>
        <v/>
      </c>
      <c r="O1425" s="69" t="str">
        <f>IF(Main[[#This Row],[Tech Start Date]]&lt;1/1/1990,"",IF(Main[[#This Row],[Class]]="C",WORKDAY(Main[[#This Row],[Tech Start Date]],23),IF(Main[[#This Row],[Class]]="B", WORKDAY(Main[[#This Row],[Tech Start Date]],15),IF(Main[[#This Row],[Class]]="A",WORKDAY(Main[[#This Row],[Tech Start Date]],5),""))))</f>
        <v/>
      </c>
      <c r="P1425" s="69" t="str">
        <f>IF(Main[[#This Row],[Tech Start Date]]&lt;1/1/1990,"",IF(Main[[#This Row],[Class]]="C",WORKDAY(Main[[#This Row],[Tech Start Date]],28),IF(Main[[#This Row],[Class]]="B", WORKDAY(Main[[#This Row],[Tech Start Date]],19),IF(Main[[#This Row],[Class]]="A",WORKDAY(Main[[#This Row],[Tech Start Date]],9),""))))</f>
        <v/>
      </c>
      <c r="Q1425" s="67">
        <v>40603</v>
      </c>
      <c r="R1425" s="67"/>
      <c r="S1425" s="65" t="s">
        <v>17</v>
      </c>
      <c r="T1425" s="70" t="s">
        <v>4</v>
      </c>
      <c r="U1425" s="65" t="s">
        <v>29</v>
      </c>
      <c r="V1425" s="65" t="s">
        <v>1920</v>
      </c>
      <c r="W1425" s="65" t="s">
        <v>1922</v>
      </c>
      <c r="X1425" s="65" t="s">
        <v>554</v>
      </c>
      <c r="Y1425" s="65" t="s">
        <v>2958</v>
      </c>
      <c r="Z1425" s="65" t="s">
        <v>970</v>
      </c>
      <c r="AA1425" s="65" t="s">
        <v>554</v>
      </c>
    </row>
    <row r="1426" spans="1:27" ht="17.45" customHeight="1">
      <c r="A1426" s="131" t="str">
        <f>IF(priority(Main[[#This Row],[Comments]])&lt;&gt;0, priority(Main[[#This Row],[Comments]]),"")</f>
        <v/>
      </c>
      <c r="B1426" s="99" t="s">
        <v>2049</v>
      </c>
      <c r="C1426" s="65" t="s">
        <v>4</v>
      </c>
      <c r="D1426" s="66" t="s">
        <v>2057</v>
      </c>
      <c r="E1426" s="67"/>
      <c r="F1426" s="67"/>
      <c r="G1426" s="64" t="str">
        <f>IF(stdProdLT(Main[[#This Row],[Comments]])=0.1,"N/A",IF(stdProdLT(Main[[#This Row],[Comments]])=0,"",stdProdLT(Main[[#This Row],[Comments]])))</f>
        <v/>
      </c>
      <c r="H1426" s="68" t="str">
        <f>IF(AND(Main[[#This Row],[In Stock Date]]&lt;&gt;"",Main[[#This Row],[Revised Due Date]]&lt;&gt;""),Main[[#This Row],[In Stock Date]]-Main[[#This Row],[Revised Due Date]],"")</f>
        <v/>
      </c>
      <c r="I1426" s="65" t="s">
        <v>891</v>
      </c>
      <c r="J1426" s="65" t="s">
        <v>28</v>
      </c>
      <c r="K1426" s="65" t="s">
        <v>1926</v>
      </c>
      <c r="L1426" s="67">
        <v>40752</v>
      </c>
      <c r="M1426" s="69">
        <f>IF(Main[[#This Row],[Tech Start Date]]&lt;1/1/1990,"",IF(Main[[#This Row],[Class]]="C",WORKDAY(Main[[#This Row],[Tech Start Date]],9),IF(Main[[#This Row],[Class]]="B", WORKDAY(Main[[#This Row],[Tech Start Date]],6),IF(Main[[#This Row],[Class]]="A",WORKDAY(Main[[#This Row],[Tech Start Date]],2),""))))</f>
        <v>40756</v>
      </c>
      <c r="N1426" s="69">
        <f>IF(Main[[#This Row],[Tech Start Date]]&lt;1/1/1990,"",IF(Main[[#This Row],[Class]]="C",WORKDAY(Main[[#This Row],[Tech Start Date]],19),IF(Main[[#This Row],[Class]]="B", WORKDAY(Main[[#This Row],[Tech Start Date]],12),IF(Main[[#This Row],[Class]]="A",WORKDAY(Main[[#This Row],[Tech Start Date]],4),""))))</f>
        <v>40758</v>
      </c>
      <c r="O1426" s="69">
        <f>IF(Main[[#This Row],[Tech Start Date]]&lt;1/1/1990,"",IF(Main[[#This Row],[Class]]="C",WORKDAY(Main[[#This Row],[Tech Start Date]],23),IF(Main[[#This Row],[Class]]="B", WORKDAY(Main[[#This Row],[Tech Start Date]],15),IF(Main[[#This Row],[Class]]="A",WORKDAY(Main[[#This Row],[Tech Start Date]],5),""))))</f>
        <v>40759</v>
      </c>
      <c r="P1426" s="69">
        <f>IF(Main[[#This Row],[Tech Start Date]]&lt;1/1/1990,"",IF(Main[[#This Row],[Class]]="C",WORKDAY(Main[[#This Row],[Tech Start Date]],28),IF(Main[[#This Row],[Class]]="B", WORKDAY(Main[[#This Row],[Tech Start Date]],19),IF(Main[[#This Row],[Class]]="A",WORKDAY(Main[[#This Row],[Tech Start Date]],9),""))))</f>
        <v>40765</v>
      </c>
      <c r="Q1426" s="67">
        <v>40758</v>
      </c>
      <c r="R1426" s="67">
        <v>40786</v>
      </c>
      <c r="S1426" s="65" t="s">
        <v>6</v>
      </c>
      <c r="T1426" s="70" t="s">
        <v>4</v>
      </c>
      <c r="U1426" s="65" t="s">
        <v>14</v>
      </c>
      <c r="V1426" s="65" t="s">
        <v>1917</v>
      </c>
      <c r="W1426" s="65" t="s">
        <v>1921</v>
      </c>
      <c r="X1426" s="65" t="s">
        <v>879</v>
      </c>
      <c r="Y1426" s="65" t="s">
        <v>3015</v>
      </c>
      <c r="Z1426" s="65" t="s">
        <v>879</v>
      </c>
      <c r="AA1426" s="65" t="s">
        <v>879</v>
      </c>
    </row>
    <row r="1427" spans="1:27" ht="17.45" customHeight="1">
      <c r="A1427" s="131" t="str">
        <f>IF(priority(Main[[#This Row],[Comments]])&lt;&gt;0, priority(Main[[#This Row],[Comments]]),"")</f>
        <v/>
      </c>
      <c r="B1427" s="99" t="s">
        <v>1900</v>
      </c>
      <c r="C1427" s="65" t="s">
        <v>72</v>
      </c>
      <c r="D1427" s="66" t="s">
        <v>2141</v>
      </c>
      <c r="E1427" s="67">
        <v>40470.014479166668</v>
      </c>
      <c r="F1427" s="67">
        <v>40487</v>
      </c>
      <c r="G1427" s="64">
        <f>IF(stdProdLT(Main[[#This Row],[Comments]])=0.1,"N/A",IF(stdProdLT(Main[[#This Row],[Comments]])=0,"",stdProdLT(Main[[#This Row],[Comments]])))</f>
        <v>42</v>
      </c>
      <c r="H1427" s="68">
        <f>IF(AND(Main[[#This Row],[In Stock Date]]&lt;&gt;"",Main[[#This Row],[Revised Due Date]]&lt;&gt;""),Main[[#This Row],[In Stock Date]]-Main[[#This Row],[Revised Due Date]],"")</f>
        <v>-294</v>
      </c>
      <c r="I1427" s="65" t="s">
        <v>2056</v>
      </c>
      <c r="J1427" s="65" t="s">
        <v>52</v>
      </c>
      <c r="K1427" s="65" t="s">
        <v>1924</v>
      </c>
      <c r="L1427" s="67">
        <v>40756</v>
      </c>
      <c r="M1427" s="69">
        <f>IF(Main[[#This Row],[Tech Start Date]]&lt;1/1/1990,"",IF(Main[[#This Row],[Class]]="C",WORKDAY(Main[[#This Row],[Tech Start Date]],9),IF(Main[[#This Row],[Class]]="B", WORKDAY(Main[[#This Row],[Tech Start Date]],6),IF(Main[[#This Row],[Class]]="A",WORKDAY(Main[[#This Row],[Tech Start Date]],2),""))))</f>
        <v>40764</v>
      </c>
      <c r="N1427" s="69">
        <f>IF(Main[[#This Row],[Tech Start Date]]&lt;1/1/1990,"",IF(Main[[#This Row],[Class]]="C",WORKDAY(Main[[#This Row],[Tech Start Date]],19),IF(Main[[#This Row],[Class]]="B", WORKDAY(Main[[#This Row],[Tech Start Date]],12),IF(Main[[#This Row],[Class]]="A",WORKDAY(Main[[#This Row],[Tech Start Date]],4),""))))</f>
        <v>40772</v>
      </c>
      <c r="O1427" s="69">
        <f>IF(Main[[#This Row],[Tech Start Date]]&lt;1/1/1990,"",IF(Main[[#This Row],[Class]]="C",WORKDAY(Main[[#This Row],[Tech Start Date]],23),IF(Main[[#This Row],[Class]]="B", WORKDAY(Main[[#This Row],[Tech Start Date]],15),IF(Main[[#This Row],[Class]]="A",WORKDAY(Main[[#This Row],[Tech Start Date]],5),""))))</f>
        <v>40777</v>
      </c>
      <c r="P1427" s="69">
        <f>IF(Main[[#This Row],[Tech Start Date]]&lt;1/1/1990,"",IF(Main[[#This Row],[Class]]="C",WORKDAY(Main[[#This Row],[Tech Start Date]],28),IF(Main[[#This Row],[Class]]="B", WORKDAY(Main[[#This Row],[Tech Start Date]],19),IF(Main[[#This Row],[Class]]="A",WORKDAY(Main[[#This Row],[Tech Start Date]],9),""))))</f>
        <v>40781</v>
      </c>
      <c r="Q1427" s="67"/>
      <c r="R1427" s="67">
        <v>40781</v>
      </c>
      <c r="S1427" s="65" t="s">
        <v>6</v>
      </c>
      <c r="T1427" s="70" t="s">
        <v>2142</v>
      </c>
      <c r="U1427" s="65" t="s">
        <v>29</v>
      </c>
      <c r="V1427" s="65" t="s">
        <v>1918</v>
      </c>
      <c r="W1427" s="65" t="s">
        <v>1919</v>
      </c>
      <c r="X1427" s="65" t="s">
        <v>2907</v>
      </c>
      <c r="Y1427" s="65" t="s">
        <v>3085</v>
      </c>
      <c r="Z1427" s="65" t="s">
        <v>2056</v>
      </c>
      <c r="AA1427" s="65" t="s">
        <v>2907</v>
      </c>
    </row>
    <row r="1428" spans="1:27" ht="17.45" customHeight="1">
      <c r="A1428" s="131" t="str">
        <f>IF(priority(Main[[#This Row],[Comments]])&lt;&gt;0, priority(Main[[#This Row],[Comments]]),"")</f>
        <v/>
      </c>
      <c r="B1428" s="99" t="s">
        <v>1302</v>
      </c>
      <c r="C1428" s="65" t="s">
        <v>374</v>
      </c>
      <c r="D1428" s="66" t="s">
        <v>2267</v>
      </c>
      <c r="E1428" s="67">
        <v>40711.60083333333</v>
      </c>
      <c r="F1428" s="67">
        <v>40877</v>
      </c>
      <c r="G1428" s="64" t="str">
        <f>IF(stdProdLT(Main[[#This Row],[Comments]])=0.1,"N/A",IF(stdProdLT(Main[[#This Row],[Comments]])=0,"",stdProdLT(Main[[#This Row],[Comments]])))</f>
        <v/>
      </c>
      <c r="H1428" s="68">
        <f>IF(AND(Main[[#This Row],[In Stock Date]]&lt;&gt;"",Main[[#This Row],[Revised Due Date]]&lt;&gt;""),Main[[#This Row],[In Stock Date]]-Main[[#This Row],[Revised Due Date]],"")</f>
        <v>0</v>
      </c>
      <c r="I1428" s="65" t="s">
        <v>239</v>
      </c>
      <c r="J1428" s="65" t="s">
        <v>52</v>
      </c>
      <c r="K1428" s="65" t="s">
        <v>1929</v>
      </c>
      <c r="L1428" s="67">
        <v>40767</v>
      </c>
      <c r="M1428" s="69" t="str">
        <f>IF(Main[[#This Row],[Tech Start Date]]&lt;1/1/1990,"",IF(Main[[#This Row],[Class]]="C",WORKDAY(Main[[#This Row],[Tech Start Date]],9),IF(Main[[#This Row],[Class]]="B", WORKDAY(Main[[#This Row],[Tech Start Date]],6),IF(Main[[#This Row],[Class]]="A",WORKDAY(Main[[#This Row],[Tech Start Date]],2),""))))</f>
        <v/>
      </c>
      <c r="N1428" s="69" t="str">
        <f>IF(Main[[#This Row],[Tech Start Date]]&lt;1/1/1990,"",IF(Main[[#This Row],[Class]]="C",WORKDAY(Main[[#This Row],[Tech Start Date]],19),IF(Main[[#This Row],[Class]]="B", WORKDAY(Main[[#This Row],[Tech Start Date]],12),IF(Main[[#This Row],[Class]]="A",WORKDAY(Main[[#This Row],[Tech Start Date]],4),""))))</f>
        <v/>
      </c>
      <c r="O1428" s="69" t="str">
        <f>IF(Main[[#This Row],[Tech Start Date]]&lt;1/1/1990,"",IF(Main[[#This Row],[Class]]="C",WORKDAY(Main[[#This Row],[Tech Start Date]],23),IF(Main[[#This Row],[Class]]="B", WORKDAY(Main[[#This Row],[Tech Start Date]],15),IF(Main[[#This Row],[Class]]="A",WORKDAY(Main[[#This Row],[Tech Start Date]],5),""))))</f>
        <v/>
      </c>
      <c r="P1428" s="69" t="str">
        <f>IF(Main[[#This Row],[Tech Start Date]]&lt;1/1/1990,"",IF(Main[[#This Row],[Class]]="C",WORKDAY(Main[[#This Row],[Tech Start Date]],28),IF(Main[[#This Row],[Class]]="B", WORKDAY(Main[[#This Row],[Tech Start Date]],19),IF(Main[[#This Row],[Class]]="A",WORKDAY(Main[[#This Row],[Tech Start Date]],9),""))))</f>
        <v/>
      </c>
      <c r="Q1428" s="67">
        <v>40877</v>
      </c>
      <c r="R1428" s="67">
        <v>40877</v>
      </c>
      <c r="S1428" s="65" t="s">
        <v>17</v>
      </c>
      <c r="T1428" s="70" t="s">
        <v>4</v>
      </c>
      <c r="U1428" s="65" t="s">
        <v>29</v>
      </c>
      <c r="V1428" s="65" t="s">
        <v>1920</v>
      </c>
      <c r="W1428" s="65" t="s">
        <v>1925</v>
      </c>
      <c r="X1428" s="65" t="s">
        <v>554</v>
      </c>
      <c r="Y1428" s="65" t="s">
        <v>2958</v>
      </c>
      <c r="Z1428" s="65" t="s">
        <v>530</v>
      </c>
      <c r="AA1428" s="65" t="s">
        <v>554</v>
      </c>
    </row>
    <row r="1429" spans="1:27" ht="17.45" customHeight="1">
      <c r="A1429" s="131" t="str">
        <f>IF(priority(Main[[#This Row],[Comments]])&lt;&gt;0, priority(Main[[#This Row],[Comments]]),"")</f>
        <v/>
      </c>
      <c r="B1429" s="99" t="s">
        <v>2145</v>
      </c>
      <c r="C1429" s="65" t="s">
        <v>4</v>
      </c>
      <c r="D1429" s="66" t="s">
        <v>2801</v>
      </c>
      <c r="E1429" s="67">
        <v>40772.344918981478</v>
      </c>
      <c r="F1429" s="67"/>
      <c r="G1429" s="64" t="str">
        <f>IF(stdProdLT(Main[[#This Row],[Comments]])=0.1,"N/A",IF(stdProdLT(Main[[#This Row],[Comments]])=0,"",stdProdLT(Main[[#This Row],[Comments]])))</f>
        <v/>
      </c>
      <c r="H1429" s="68" t="str">
        <f>IF(AND(Main[[#This Row],[In Stock Date]]&lt;&gt;"",Main[[#This Row],[Revised Due Date]]&lt;&gt;""),Main[[#This Row],[In Stock Date]]-Main[[#This Row],[Revised Due Date]],"")</f>
        <v/>
      </c>
      <c r="I1429" s="65" t="s">
        <v>879</v>
      </c>
      <c r="J1429" s="65" t="s">
        <v>28</v>
      </c>
      <c r="K1429" s="65" t="s">
        <v>1924</v>
      </c>
      <c r="L1429" s="67">
        <v>40772</v>
      </c>
      <c r="M1429" s="69">
        <f>IF(Main[[#This Row],[Tech Start Date]]&lt;1/1/1990,"",IF(Main[[#This Row],[Class]]="C",WORKDAY(Main[[#This Row],[Tech Start Date]],9),IF(Main[[#This Row],[Class]]="B", WORKDAY(Main[[#This Row],[Tech Start Date]],6),IF(Main[[#This Row],[Class]]="A",WORKDAY(Main[[#This Row],[Tech Start Date]],2),""))))</f>
        <v>40780</v>
      </c>
      <c r="N1429" s="69">
        <f>IF(Main[[#This Row],[Tech Start Date]]&lt;1/1/1990,"",IF(Main[[#This Row],[Class]]="C",WORKDAY(Main[[#This Row],[Tech Start Date]],19),IF(Main[[#This Row],[Class]]="B", WORKDAY(Main[[#This Row],[Tech Start Date]],12),IF(Main[[#This Row],[Class]]="A",WORKDAY(Main[[#This Row],[Tech Start Date]],4),""))))</f>
        <v>40788</v>
      </c>
      <c r="O1429" s="69">
        <f>IF(Main[[#This Row],[Tech Start Date]]&lt;1/1/1990,"",IF(Main[[#This Row],[Class]]="C",WORKDAY(Main[[#This Row],[Tech Start Date]],23),IF(Main[[#This Row],[Class]]="B", WORKDAY(Main[[#This Row],[Tech Start Date]],15),IF(Main[[#This Row],[Class]]="A",WORKDAY(Main[[#This Row],[Tech Start Date]],5),""))))</f>
        <v>40793</v>
      </c>
      <c r="P1429" s="69">
        <f>IF(Main[[#This Row],[Tech Start Date]]&lt;1/1/1990,"",IF(Main[[#This Row],[Class]]="C",WORKDAY(Main[[#This Row],[Tech Start Date]],28),IF(Main[[#This Row],[Class]]="B", WORKDAY(Main[[#This Row],[Tech Start Date]],19),IF(Main[[#This Row],[Class]]="A",WORKDAY(Main[[#This Row],[Tech Start Date]],9),""))))</f>
        <v>40799</v>
      </c>
      <c r="Q1429" s="67">
        <v>40779</v>
      </c>
      <c r="R1429" s="67">
        <v>40907</v>
      </c>
      <c r="S1429" s="65" t="s">
        <v>6</v>
      </c>
      <c r="T1429" s="70" t="s">
        <v>4</v>
      </c>
      <c r="U1429" s="65" t="s">
        <v>29</v>
      </c>
      <c r="V1429" s="65" t="s">
        <v>1917</v>
      </c>
      <c r="W1429" s="65" t="s">
        <v>1925</v>
      </c>
      <c r="X1429" s="65" t="s">
        <v>879</v>
      </c>
      <c r="Y1429" s="65" t="s">
        <v>4</v>
      </c>
      <c r="Z1429" s="65" t="s">
        <v>129</v>
      </c>
      <c r="AA1429" s="65" t="s">
        <v>3487</v>
      </c>
    </row>
    <row r="1430" spans="1:27" ht="17.45" customHeight="1">
      <c r="A1430" s="131" t="str">
        <f>IF(priority(Main[[#This Row],[Comments]])&lt;&gt;0, priority(Main[[#This Row],[Comments]]),"")</f>
        <v/>
      </c>
      <c r="B1430" s="99" t="s">
        <v>2146</v>
      </c>
      <c r="C1430" s="65" t="s">
        <v>4</v>
      </c>
      <c r="D1430" s="66" t="s">
        <v>2619</v>
      </c>
      <c r="E1430" s="67">
        <v>40772.447592592594</v>
      </c>
      <c r="F1430" s="67"/>
      <c r="G1430" s="64" t="str">
        <f>IF(stdProdLT(Main[[#This Row],[Comments]])=0.1,"N/A",IF(stdProdLT(Main[[#This Row],[Comments]])=0,"",stdProdLT(Main[[#This Row],[Comments]])))</f>
        <v/>
      </c>
      <c r="H1430" s="68" t="str">
        <f>IF(AND(Main[[#This Row],[In Stock Date]]&lt;&gt;"",Main[[#This Row],[Revised Due Date]]&lt;&gt;""),Main[[#This Row],[In Stock Date]]-Main[[#This Row],[Revised Due Date]],"")</f>
        <v/>
      </c>
      <c r="I1430" s="65" t="s">
        <v>879</v>
      </c>
      <c r="J1430" s="65" t="s">
        <v>28</v>
      </c>
      <c r="K1430" s="65" t="s">
        <v>1930</v>
      </c>
      <c r="L1430" s="67">
        <v>40772</v>
      </c>
      <c r="M1430" s="69">
        <f>IF(Main[[#This Row],[Tech Start Date]]&lt;1/1/1990,"",IF(Main[[#This Row],[Class]]="C",WORKDAY(Main[[#This Row],[Tech Start Date]],9),IF(Main[[#This Row],[Class]]="B", WORKDAY(Main[[#This Row],[Tech Start Date]],6),IF(Main[[#This Row],[Class]]="A",WORKDAY(Main[[#This Row],[Tech Start Date]],2),""))))</f>
        <v>40785</v>
      </c>
      <c r="N1430" s="69">
        <f>IF(Main[[#This Row],[Tech Start Date]]&lt;1/1/1990,"",IF(Main[[#This Row],[Class]]="C",WORKDAY(Main[[#This Row],[Tech Start Date]],19),IF(Main[[#This Row],[Class]]="B", WORKDAY(Main[[#This Row],[Tech Start Date]],12),IF(Main[[#This Row],[Class]]="A",WORKDAY(Main[[#This Row],[Tech Start Date]],4),""))))</f>
        <v>40799</v>
      </c>
      <c r="O1430" s="69">
        <f>IF(Main[[#This Row],[Tech Start Date]]&lt;1/1/1990,"",IF(Main[[#This Row],[Class]]="C",WORKDAY(Main[[#This Row],[Tech Start Date]],23),IF(Main[[#This Row],[Class]]="B", WORKDAY(Main[[#This Row],[Tech Start Date]],15),IF(Main[[#This Row],[Class]]="A",WORKDAY(Main[[#This Row],[Tech Start Date]],5),""))))</f>
        <v>40805</v>
      </c>
      <c r="P1430" s="69">
        <f>IF(Main[[#This Row],[Tech Start Date]]&lt;1/1/1990,"",IF(Main[[#This Row],[Class]]="C",WORKDAY(Main[[#This Row],[Tech Start Date]],28),IF(Main[[#This Row],[Class]]="B", WORKDAY(Main[[#This Row],[Tech Start Date]],19),IF(Main[[#This Row],[Class]]="A",WORKDAY(Main[[#This Row],[Tech Start Date]],9),""))))</f>
        <v>40812</v>
      </c>
      <c r="Q1430" s="67">
        <v>40786</v>
      </c>
      <c r="R1430" s="67">
        <v>40907</v>
      </c>
      <c r="S1430" s="65" t="s">
        <v>17</v>
      </c>
      <c r="T1430" s="70" t="s">
        <v>2326</v>
      </c>
      <c r="U1430" s="65" t="s">
        <v>29</v>
      </c>
      <c r="V1430" s="65" t="s">
        <v>1917</v>
      </c>
      <c r="W1430" s="65" t="s">
        <v>1919</v>
      </c>
      <c r="X1430" s="65" t="s">
        <v>879</v>
      </c>
      <c r="Y1430" s="65" t="s">
        <v>3015</v>
      </c>
      <c r="Z1430" s="65" t="s">
        <v>129</v>
      </c>
      <c r="AA1430" s="65" t="s">
        <v>879</v>
      </c>
    </row>
    <row r="1431" spans="1:27" ht="17.45" customHeight="1">
      <c r="A1431" s="131" t="str">
        <f>IF(priority(Main[[#This Row],[Comments]])&lt;&gt;0, priority(Main[[#This Row],[Comments]]),"")</f>
        <v/>
      </c>
      <c r="B1431" s="99" t="s">
        <v>2150</v>
      </c>
      <c r="C1431" s="65" t="s">
        <v>53</v>
      </c>
      <c r="D1431" s="66" t="s">
        <v>2151</v>
      </c>
      <c r="E1431" s="67">
        <v>40774.327164351853</v>
      </c>
      <c r="F1431" s="67">
        <v>40786</v>
      </c>
      <c r="G1431" s="64" t="str">
        <f>IF(stdProdLT(Main[[#This Row],[Comments]])=0.1,"N/A",IF(stdProdLT(Main[[#This Row],[Comments]])=0,"",stdProdLT(Main[[#This Row],[Comments]])))</f>
        <v/>
      </c>
      <c r="H1431" s="68">
        <f>IF(AND(Main[[#This Row],[In Stock Date]]&lt;&gt;"",Main[[#This Row],[Revised Due Date]]&lt;&gt;""),Main[[#This Row],[In Stock Date]]-Main[[#This Row],[Revised Due Date]],"")</f>
        <v>-6</v>
      </c>
      <c r="I1431" s="65" t="s">
        <v>2056</v>
      </c>
      <c r="J1431" s="65" t="s">
        <v>52</v>
      </c>
      <c r="K1431" s="65" t="s">
        <v>1926</v>
      </c>
      <c r="L1431" s="67">
        <v>40777</v>
      </c>
      <c r="M1431" s="69">
        <f>IF(Main[[#This Row],[Tech Start Date]]&lt;1/1/1990,"",IF(Main[[#This Row],[Class]]="C",WORKDAY(Main[[#This Row],[Tech Start Date]],9),IF(Main[[#This Row],[Class]]="B", WORKDAY(Main[[#This Row],[Tech Start Date]],6),IF(Main[[#This Row],[Class]]="A",WORKDAY(Main[[#This Row],[Tech Start Date]],2),""))))</f>
        <v>40779</v>
      </c>
      <c r="N1431" s="69">
        <f>IF(Main[[#This Row],[Tech Start Date]]&lt;1/1/1990,"",IF(Main[[#This Row],[Class]]="C",WORKDAY(Main[[#This Row],[Tech Start Date]],19),IF(Main[[#This Row],[Class]]="B", WORKDAY(Main[[#This Row],[Tech Start Date]],12),IF(Main[[#This Row],[Class]]="A",WORKDAY(Main[[#This Row],[Tech Start Date]],4),""))))</f>
        <v>40781</v>
      </c>
      <c r="O1431" s="69">
        <f>IF(Main[[#This Row],[Tech Start Date]]&lt;1/1/1990,"",IF(Main[[#This Row],[Class]]="C",WORKDAY(Main[[#This Row],[Tech Start Date]],23),IF(Main[[#This Row],[Class]]="B", WORKDAY(Main[[#This Row],[Tech Start Date]],15),IF(Main[[#This Row],[Class]]="A",WORKDAY(Main[[#This Row],[Tech Start Date]],5),""))))</f>
        <v>40784</v>
      </c>
      <c r="P1431" s="69">
        <f>IF(Main[[#This Row],[Tech Start Date]]&lt;1/1/1990,"",IF(Main[[#This Row],[Class]]="C",WORKDAY(Main[[#This Row],[Tech Start Date]],28),IF(Main[[#This Row],[Class]]="B", WORKDAY(Main[[#This Row],[Tech Start Date]],19),IF(Main[[#This Row],[Class]]="A",WORKDAY(Main[[#This Row],[Tech Start Date]],9),""))))</f>
        <v>40788</v>
      </c>
      <c r="Q1431" s="67"/>
      <c r="R1431" s="67">
        <v>40792</v>
      </c>
      <c r="S1431" s="65" t="s">
        <v>6</v>
      </c>
      <c r="T1431" s="70" t="s">
        <v>4</v>
      </c>
      <c r="U1431" s="65" t="s">
        <v>29</v>
      </c>
      <c r="V1431" s="65" t="s">
        <v>1918</v>
      </c>
      <c r="W1431" s="65" t="s">
        <v>1919</v>
      </c>
      <c r="X1431" s="65" t="s">
        <v>2822</v>
      </c>
      <c r="Y1431" s="65" t="s">
        <v>2999</v>
      </c>
      <c r="Z1431" s="65" t="s">
        <v>2056</v>
      </c>
      <c r="AA1431" s="65" t="s">
        <v>2822</v>
      </c>
    </row>
    <row r="1432" spans="1:27" ht="17.45" customHeight="1">
      <c r="A1432" s="131" t="str">
        <f>IF(priority(Main[[#This Row],[Comments]])&lt;&gt;0, priority(Main[[#This Row],[Comments]]),"")</f>
        <v/>
      </c>
      <c r="B1432" s="99" t="s">
        <v>2152</v>
      </c>
      <c r="C1432" s="65" t="s">
        <v>2153</v>
      </c>
      <c r="D1432" s="66" t="s">
        <v>2154</v>
      </c>
      <c r="E1432" s="67">
        <v>40778.69290509259</v>
      </c>
      <c r="F1432" s="67"/>
      <c r="G1432" s="64" t="str">
        <f>IF(stdProdLT(Main[[#This Row],[Comments]])=0.1,"N/A",IF(stdProdLT(Main[[#This Row],[Comments]])=0,"",stdProdLT(Main[[#This Row],[Comments]])))</f>
        <v/>
      </c>
      <c r="H1432" s="68" t="str">
        <f>IF(AND(Main[[#This Row],[In Stock Date]]&lt;&gt;"",Main[[#This Row],[Revised Due Date]]&lt;&gt;""),Main[[#This Row],[In Stock Date]]-Main[[#This Row],[Revised Due Date]],"")</f>
        <v/>
      </c>
      <c r="I1432" s="65" t="s">
        <v>943</v>
      </c>
      <c r="J1432" s="65" t="s">
        <v>28</v>
      </c>
      <c r="K1432" s="65" t="s">
        <v>1924</v>
      </c>
      <c r="L1432" s="67">
        <v>40778</v>
      </c>
      <c r="M1432" s="69">
        <f>IF(Main[[#This Row],[Tech Start Date]]&lt;1/1/1990,"",IF(Main[[#This Row],[Class]]="C",WORKDAY(Main[[#This Row],[Tech Start Date]],9),IF(Main[[#This Row],[Class]]="B", WORKDAY(Main[[#This Row],[Tech Start Date]],6),IF(Main[[#This Row],[Class]]="A",WORKDAY(Main[[#This Row],[Tech Start Date]],2),""))))</f>
        <v>40786</v>
      </c>
      <c r="N1432" s="69">
        <f>IF(Main[[#This Row],[Tech Start Date]]&lt;1/1/1990,"",IF(Main[[#This Row],[Class]]="C",WORKDAY(Main[[#This Row],[Tech Start Date]],19),IF(Main[[#This Row],[Class]]="B", WORKDAY(Main[[#This Row],[Tech Start Date]],12),IF(Main[[#This Row],[Class]]="A",WORKDAY(Main[[#This Row],[Tech Start Date]],4),""))))</f>
        <v>40794</v>
      </c>
      <c r="O1432" s="69">
        <f>IF(Main[[#This Row],[Tech Start Date]]&lt;1/1/1990,"",IF(Main[[#This Row],[Class]]="C",WORKDAY(Main[[#This Row],[Tech Start Date]],23),IF(Main[[#This Row],[Class]]="B", WORKDAY(Main[[#This Row],[Tech Start Date]],15),IF(Main[[#This Row],[Class]]="A",WORKDAY(Main[[#This Row],[Tech Start Date]],5),""))))</f>
        <v>40799</v>
      </c>
      <c r="P1432" s="69">
        <f>IF(Main[[#This Row],[Tech Start Date]]&lt;1/1/1990,"",IF(Main[[#This Row],[Class]]="C",WORKDAY(Main[[#This Row],[Tech Start Date]],28),IF(Main[[#This Row],[Class]]="B", WORKDAY(Main[[#This Row],[Tech Start Date]],19),IF(Main[[#This Row],[Class]]="A",WORKDAY(Main[[#This Row],[Tech Start Date]],9),""))))</f>
        <v>40805</v>
      </c>
      <c r="Q1432" s="67"/>
      <c r="R1432" s="67">
        <v>40807</v>
      </c>
      <c r="S1432" s="65" t="s">
        <v>6</v>
      </c>
      <c r="T1432" s="70" t="s">
        <v>4</v>
      </c>
      <c r="U1432" s="65" t="s">
        <v>29</v>
      </c>
      <c r="V1432" s="65" t="s">
        <v>1918</v>
      </c>
      <c r="W1432" s="65" t="s">
        <v>1921</v>
      </c>
      <c r="X1432" s="65" t="s">
        <v>2056</v>
      </c>
      <c r="Y1432" s="65" t="s">
        <v>3159</v>
      </c>
      <c r="Z1432" s="65" t="s">
        <v>2056</v>
      </c>
      <c r="AA1432" s="65" t="s">
        <v>2056</v>
      </c>
    </row>
    <row r="1433" spans="1:27" ht="17.45" customHeight="1">
      <c r="A1433" s="131" t="str">
        <f>IF(priority(Main[[#This Row],[Comments]])&lt;&gt;0, priority(Main[[#This Row],[Comments]]),"")</f>
        <v/>
      </c>
      <c r="B1433" s="99" t="s">
        <v>2156</v>
      </c>
      <c r="C1433" s="65" t="s">
        <v>2153</v>
      </c>
      <c r="D1433" s="66" t="s">
        <v>2157</v>
      </c>
      <c r="E1433" s="67">
        <v>40778.690706018519</v>
      </c>
      <c r="F1433" s="67"/>
      <c r="G1433" s="64" t="str">
        <f>IF(stdProdLT(Main[[#This Row],[Comments]])=0.1,"N/A",IF(stdProdLT(Main[[#This Row],[Comments]])=0,"",stdProdLT(Main[[#This Row],[Comments]])))</f>
        <v/>
      </c>
      <c r="H1433" s="68" t="str">
        <f>IF(AND(Main[[#This Row],[In Stock Date]]&lt;&gt;"",Main[[#This Row],[Revised Due Date]]&lt;&gt;""),Main[[#This Row],[In Stock Date]]-Main[[#This Row],[Revised Due Date]],"")</f>
        <v/>
      </c>
      <c r="I1433" s="65" t="s">
        <v>943</v>
      </c>
      <c r="J1433" s="65" t="s">
        <v>28</v>
      </c>
      <c r="K1433" s="71" t="s">
        <v>1926</v>
      </c>
      <c r="L1433" s="67">
        <v>40778</v>
      </c>
      <c r="M1433" s="69">
        <f>IF(Main[[#This Row],[Tech Start Date]]&lt;1/1/1990,"",IF(Main[[#This Row],[Class]]="C",WORKDAY(Main[[#This Row],[Tech Start Date]],9),IF(Main[[#This Row],[Class]]="B", WORKDAY(Main[[#This Row],[Tech Start Date]],6),IF(Main[[#This Row],[Class]]="A",WORKDAY(Main[[#This Row],[Tech Start Date]],2),""))))</f>
        <v>40780</v>
      </c>
      <c r="N1433" s="69">
        <f>IF(Main[[#This Row],[Tech Start Date]]&lt;1/1/1990,"",IF(Main[[#This Row],[Class]]="C",WORKDAY(Main[[#This Row],[Tech Start Date]],19),IF(Main[[#This Row],[Class]]="B", WORKDAY(Main[[#This Row],[Tech Start Date]],12),IF(Main[[#This Row],[Class]]="A",WORKDAY(Main[[#This Row],[Tech Start Date]],4),""))))</f>
        <v>40784</v>
      </c>
      <c r="O1433" s="69">
        <f>IF(Main[[#This Row],[Tech Start Date]]&lt;1/1/1990,"",IF(Main[[#This Row],[Class]]="C",WORKDAY(Main[[#This Row],[Tech Start Date]],23),IF(Main[[#This Row],[Class]]="B", WORKDAY(Main[[#This Row],[Tech Start Date]],15),IF(Main[[#This Row],[Class]]="A",WORKDAY(Main[[#This Row],[Tech Start Date]],5),""))))</f>
        <v>40785</v>
      </c>
      <c r="P1433" s="69">
        <f>IF(Main[[#This Row],[Tech Start Date]]&lt;1/1/1990,"",IF(Main[[#This Row],[Class]]="C",WORKDAY(Main[[#This Row],[Tech Start Date]],28),IF(Main[[#This Row],[Class]]="B", WORKDAY(Main[[#This Row],[Tech Start Date]],19),IF(Main[[#This Row],[Class]]="A",WORKDAY(Main[[#This Row],[Tech Start Date]],9),""))))</f>
        <v>40791</v>
      </c>
      <c r="Q1433" s="67"/>
      <c r="R1433" s="67">
        <v>40807</v>
      </c>
      <c r="S1433" s="65" t="s">
        <v>6</v>
      </c>
      <c r="T1433" s="70" t="s">
        <v>4</v>
      </c>
      <c r="U1433" s="65" t="s">
        <v>29</v>
      </c>
      <c r="V1433" s="65" t="s">
        <v>1918</v>
      </c>
      <c r="W1433" s="65" t="s">
        <v>1919</v>
      </c>
      <c r="X1433" s="65" t="s">
        <v>2056</v>
      </c>
      <c r="Y1433" s="65" t="s">
        <v>3159</v>
      </c>
      <c r="Z1433" s="65" t="s">
        <v>2056</v>
      </c>
      <c r="AA1433" s="65" t="s">
        <v>2056</v>
      </c>
    </row>
    <row r="1434" spans="1:27" ht="17.45" customHeight="1">
      <c r="A1434" s="131" t="str">
        <f>IF(priority(Main[[#This Row],[Comments]])&lt;&gt;0, priority(Main[[#This Row],[Comments]]),"")</f>
        <v/>
      </c>
      <c r="B1434" s="99" t="s">
        <v>2212</v>
      </c>
      <c r="C1434" s="65" t="s">
        <v>2213</v>
      </c>
      <c r="D1434" s="66" t="s">
        <v>2803</v>
      </c>
      <c r="E1434" s="67"/>
      <c r="F1434" s="67">
        <v>40940</v>
      </c>
      <c r="G1434" s="64">
        <f>IF(stdProdLT(Main[[#This Row],[Comments]])=0.1,"N/A",IF(stdProdLT(Main[[#This Row],[Comments]])=0,"",stdProdLT(Main[[#This Row],[Comments]])))</f>
        <v>112</v>
      </c>
      <c r="H1434" s="68" t="str">
        <f>IF(AND(Main[[#This Row],[In Stock Date]]&lt;&gt;"",Main[[#This Row],[Revised Due Date]]&lt;&gt;""),Main[[#This Row],[In Stock Date]]-Main[[#This Row],[Revised Due Date]],"")</f>
        <v/>
      </c>
      <c r="I1434" s="65" t="s">
        <v>939</v>
      </c>
      <c r="J1434" s="65" t="s">
        <v>28</v>
      </c>
      <c r="K1434" s="65" t="s">
        <v>1924</v>
      </c>
      <c r="L1434" s="67">
        <v>40792</v>
      </c>
      <c r="M1434" s="69">
        <f>IF(Main[[#This Row],[Tech Start Date]]&lt;1/1/1990,"",IF(Main[[#This Row],[Class]]="C",WORKDAY(Main[[#This Row],[Tech Start Date]],9),IF(Main[[#This Row],[Class]]="B", WORKDAY(Main[[#This Row],[Tech Start Date]],6),IF(Main[[#This Row],[Class]]="A",WORKDAY(Main[[#This Row],[Tech Start Date]],2),""))))</f>
        <v>40800</v>
      </c>
      <c r="N1434" s="69">
        <f>IF(Main[[#This Row],[Tech Start Date]]&lt;1/1/1990,"",IF(Main[[#This Row],[Class]]="C",WORKDAY(Main[[#This Row],[Tech Start Date]],19),IF(Main[[#This Row],[Class]]="B", WORKDAY(Main[[#This Row],[Tech Start Date]],12),IF(Main[[#This Row],[Class]]="A",WORKDAY(Main[[#This Row],[Tech Start Date]],4),""))))</f>
        <v>40808</v>
      </c>
      <c r="O1434" s="69">
        <f>IF(Main[[#This Row],[Tech Start Date]]&lt;1/1/1990,"",IF(Main[[#This Row],[Class]]="C",WORKDAY(Main[[#This Row],[Tech Start Date]],23),IF(Main[[#This Row],[Class]]="B", WORKDAY(Main[[#This Row],[Tech Start Date]],15),IF(Main[[#This Row],[Class]]="A",WORKDAY(Main[[#This Row],[Tech Start Date]],5),""))))</f>
        <v>40813</v>
      </c>
      <c r="P1434" s="69">
        <f>IF(Main[[#This Row],[Tech Start Date]]&lt;1/1/1990,"",IF(Main[[#This Row],[Class]]="C",WORKDAY(Main[[#This Row],[Tech Start Date]],28),IF(Main[[#This Row],[Class]]="B", WORKDAY(Main[[#This Row],[Tech Start Date]],19),IF(Main[[#This Row],[Class]]="A",WORKDAY(Main[[#This Row],[Tech Start Date]],9),""))))</f>
        <v>40819</v>
      </c>
      <c r="Q1434" s="67">
        <v>40792</v>
      </c>
      <c r="R1434" s="67"/>
      <c r="S1434" s="65" t="s">
        <v>11</v>
      </c>
      <c r="T1434" s="70" t="s">
        <v>3321</v>
      </c>
      <c r="U1434" s="65" t="s">
        <v>14</v>
      </c>
      <c r="V1434" s="65" t="s">
        <v>1917</v>
      </c>
      <c r="W1434" s="65" t="s">
        <v>1922</v>
      </c>
      <c r="X1434" s="65" t="s">
        <v>2838</v>
      </c>
      <c r="Y1434" s="65" t="s">
        <v>2989</v>
      </c>
      <c r="Z1434" s="65" t="s">
        <v>129</v>
      </c>
      <c r="AA1434" s="65" t="s">
        <v>2855</v>
      </c>
    </row>
    <row r="1435" spans="1:27" ht="17.45" customHeight="1">
      <c r="A1435" s="131" t="str">
        <f>IF(priority(Main[[#This Row],[Comments]])&lt;&gt;0, priority(Main[[#This Row],[Comments]]),"")</f>
        <v/>
      </c>
      <c r="B1435" s="99" t="s">
        <v>2204</v>
      </c>
      <c r="C1435" s="65" t="s">
        <v>116</v>
      </c>
      <c r="D1435" s="66" t="s">
        <v>2205</v>
      </c>
      <c r="E1435" s="67">
        <v>40787.614270833335</v>
      </c>
      <c r="F1435" s="67"/>
      <c r="G1435" s="64" t="str">
        <f>IF(stdProdLT(Main[[#This Row],[Comments]])=0.1,"N/A",IF(stdProdLT(Main[[#This Row],[Comments]])=0,"",stdProdLT(Main[[#This Row],[Comments]])))</f>
        <v/>
      </c>
      <c r="H1435" s="68" t="str">
        <f>IF(AND(Main[[#This Row],[In Stock Date]]&lt;&gt;"",Main[[#This Row],[Revised Due Date]]&lt;&gt;""),Main[[#This Row],[In Stock Date]]-Main[[#This Row],[Revised Due Date]],"")</f>
        <v/>
      </c>
      <c r="I1435" s="65" t="s">
        <v>2254</v>
      </c>
      <c r="J1435" s="65" t="s">
        <v>28</v>
      </c>
      <c r="K1435" s="65" t="s">
        <v>1930</v>
      </c>
      <c r="L1435" s="67">
        <v>40798</v>
      </c>
      <c r="M1435" s="69">
        <f>IF(Main[[#This Row],[Tech Start Date]]&lt;1/1/1990,"",IF(Main[[#This Row],[Class]]="C",WORKDAY(Main[[#This Row],[Tech Start Date]],9),IF(Main[[#This Row],[Class]]="B", WORKDAY(Main[[#This Row],[Tech Start Date]],6),IF(Main[[#This Row],[Class]]="A",WORKDAY(Main[[#This Row],[Tech Start Date]],2),""))))</f>
        <v>40809</v>
      </c>
      <c r="N1435" s="69">
        <f>IF(Main[[#This Row],[Tech Start Date]]&lt;1/1/1990,"",IF(Main[[#This Row],[Class]]="C",WORKDAY(Main[[#This Row],[Tech Start Date]],19),IF(Main[[#This Row],[Class]]="B", WORKDAY(Main[[#This Row],[Tech Start Date]],12),IF(Main[[#This Row],[Class]]="A",WORKDAY(Main[[#This Row],[Tech Start Date]],4),""))))</f>
        <v>40823</v>
      </c>
      <c r="O1435" s="69">
        <f>IF(Main[[#This Row],[Tech Start Date]]&lt;1/1/1990,"",IF(Main[[#This Row],[Class]]="C",WORKDAY(Main[[#This Row],[Tech Start Date]],23),IF(Main[[#This Row],[Class]]="B", WORKDAY(Main[[#This Row],[Tech Start Date]],15),IF(Main[[#This Row],[Class]]="A",WORKDAY(Main[[#This Row],[Tech Start Date]],5),""))))</f>
        <v>40829</v>
      </c>
      <c r="P1435" s="69">
        <f>IF(Main[[#This Row],[Tech Start Date]]&lt;1/1/1990,"",IF(Main[[#This Row],[Class]]="C",WORKDAY(Main[[#This Row],[Tech Start Date]],28),IF(Main[[#This Row],[Class]]="B", WORKDAY(Main[[#This Row],[Tech Start Date]],19),IF(Main[[#This Row],[Class]]="A",WORKDAY(Main[[#This Row],[Tech Start Date]],9),""))))</f>
        <v>40836</v>
      </c>
      <c r="Q1435" s="67">
        <v>40914</v>
      </c>
      <c r="R1435" s="67">
        <v>40841</v>
      </c>
      <c r="S1435" s="65" t="s">
        <v>6</v>
      </c>
      <c r="T1435" s="70" t="s">
        <v>4</v>
      </c>
      <c r="U1435" s="65" t="s">
        <v>29</v>
      </c>
      <c r="V1435" s="65" t="s">
        <v>1918</v>
      </c>
      <c r="W1435" s="65" t="s">
        <v>1919</v>
      </c>
      <c r="X1435" s="65" t="s">
        <v>2056</v>
      </c>
      <c r="Y1435" s="65" t="s">
        <v>3159</v>
      </c>
      <c r="Z1435" s="65" t="s">
        <v>2056</v>
      </c>
      <c r="AA1435" s="65" t="s">
        <v>2056</v>
      </c>
    </row>
    <row r="1436" spans="1:27" ht="17.45" customHeight="1">
      <c r="A1436" s="131" t="str">
        <f>IF(priority(Main[[#This Row],[Comments]])&lt;&gt;0, priority(Main[[#This Row],[Comments]]),"")</f>
        <v/>
      </c>
      <c r="B1436" s="99" t="s">
        <v>2181</v>
      </c>
      <c r="C1436" s="65" t="s">
        <v>4</v>
      </c>
      <c r="D1436" s="66" t="s">
        <v>2182</v>
      </c>
      <c r="E1436" s="67">
        <v>40787.619050925925</v>
      </c>
      <c r="F1436" s="67"/>
      <c r="G1436" s="64" t="str">
        <f>IF(stdProdLT(Main[[#This Row],[Comments]])=0.1,"N/A",IF(stdProdLT(Main[[#This Row],[Comments]])=0,"",stdProdLT(Main[[#This Row],[Comments]])))</f>
        <v/>
      </c>
      <c r="H1436" s="68" t="str">
        <f>IF(AND(Main[[#This Row],[In Stock Date]]&lt;&gt;"",Main[[#This Row],[Revised Due Date]]&lt;&gt;""),Main[[#This Row],[In Stock Date]]-Main[[#This Row],[Revised Due Date]],"")</f>
        <v/>
      </c>
      <c r="I1436" s="65" t="s">
        <v>942</v>
      </c>
      <c r="J1436" s="65" t="s">
        <v>28</v>
      </c>
      <c r="K1436" s="65" t="s">
        <v>1930</v>
      </c>
      <c r="L1436" s="67">
        <v>40798</v>
      </c>
      <c r="M1436" s="69">
        <f>IF(Main[[#This Row],[Tech Start Date]]&lt;1/1/1990,"",IF(Main[[#This Row],[Class]]="C",WORKDAY(Main[[#This Row],[Tech Start Date]],9),IF(Main[[#This Row],[Class]]="B", WORKDAY(Main[[#This Row],[Tech Start Date]],6),IF(Main[[#This Row],[Class]]="A",WORKDAY(Main[[#This Row],[Tech Start Date]],2),""))))</f>
        <v>40809</v>
      </c>
      <c r="N1436" s="69">
        <f>IF(Main[[#This Row],[Tech Start Date]]&lt;1/1/1990,"",IF(Main[[#This Row],[Class]]="C",WORKDAY(Main[[#This Row],[Tech Start Date]],19),IF(Main[[#This Row],[Class]]="B", WORKDAY(Main[[#This Row],[Tech Start Date]],12),IF(Main[[#This Row],[Class]]="A",WORKDAY(Main[[#This Row],[Tech Start Date]],4),""))))</f>
        <v>40823</v>
      </c>
      <c r="O1436" s="69">
        <f>IF(Main[[#This Row],[Tech Start Date]]&lt;1/1/1990,"",IF(Main[[#This Row],[Class]]="C",WORKDAY(Main[[#This Row],[Tech Start Date]],23),IF(Main[[#This Row],[Class]]="B", WORKDAY(Main[[#This Row],[Tech Start Date]],15),IF(Main[[#This Row],[Class]]="A",WORKDAY(Main[[#This Row],[Tech Start Date]],5),""))))</f>
        <v>40829</v>
      </c>
      <c r="P1436" s="69">
        <f>IF(Main[[#This Row],[Tech Start Date]]&lt;1/1/1990,"",IF(Main[[#This Row],[Class]]="C",WORKDAY(Main[[#This Row],[Tech Start Date]],28),IF(Main[[#This Row],[Class]]="B", WORKDAY(Main[[#This Row],[Tech Start Date]],19),IF(Main[[#This Row],[Class]]="A",WORKDAY(Main[[#This Row],[Tech Start Date]],9),""))))</f>
        <v>40836</v>
      </c>
      <c r="Q1436" s="67">
        <v>40914</v>
      </c>
      <c r="R1436" s="67">
        <v>40841</v>
      </c>
      <c r="S1436" s="65" t="s">
        <v>6</v>
      </c>
      <c r="T1436" s="70" t="s">
        <v>4</v>
      </c>
      <c r="U1436" s="65" t="s">
        <v>29</v>
      </c>
      <c r="V1436" s="65" t="s">
        <v>1918</v>
      </c>
      <c r="W1436" s="65" t="s">
        <v>1919</v>
      </c>
      <c r="X1436" s="65" t="s">
        <v>2056</v>
      </c>
      <c r="Y1436" s="65" t="s">
        <v>3159</v>
      </c>
      <c r="Z1436" s="65" t="s">
        <v>2056</v>
      </c>
      <c r="AA1436" s="65" t="s">
        <v>2056</v>
      </c>
    </row>
    <row r="1437" spans="1:27" ht="17.45" customHeight="1">
      <c r="A1437" s="131" t="str">
        <f>IF(priority(Main[[#This Row],[Comments]])&lt;&gt;0, priority(Main[[#This Row],[Comments]]),"")</f>
        <v/>
      </c>
      <c r="B1437" s="99" t="s">
        <v>2234</v>
      </c>
      <c r="C1437" s="65" t="s">
        <v>2235</v>
      </c>
      <c r="D1437" s="66" t="s">
        <v>2236</v>
      </c>
      <c r="E1437" s="67"/>
      <c r="F1437" s="67">
        <v>40814</v>
      </c>
      <c r="G1437" s="64">
        <f>IF(stdProdLT(Main[[#This Row],[Comments]])=0.1,"N/A",IF(stdProdLT(Main[[#This Row],[Comments]])=0,"",stdProdLT(Main[[#This Row],[Comments]])))</f>
        <v>112</v>
      </c>
      <c r="H1437" s="68">
        <f>IF(AND(Main[[#This Row],[In Stock Date]]&lt;&gt;"",Main[[#This Row],[Revised Due Date]]&lt;&gt;""),Main[[#This Row],[In Stock Date]]-Main[[#This Row],[Revised Due Date]],"")</f>
        <v>-6</v>
      </c>
      <c r="I1437" s="65" t="s">
        <v>2047</v>
      </c>
      <c r="J1437" s="65" t="s">
        <v>28</v>
      </c>
      <c r="K1437" s="65" t="s">
        <v>1926</v>
      </c>
      <c r="L1437" s="67">
        <v>40805</v>
      </c>
      <c r="M1437" s="69">
        <f>IF(Main[[#This Row],[Tech Start Date]]&lt;1/1/1990,"",IF(Main[[#This Row],[Class]]="C",WORKDAY(Main[[#This Row],[Tech Start Date]],9),IF(Main[[#This Row],[Class]]="B", WORKDAY(Main[[#This Row],[Tech Start Date]],6),IF(Main[[#This Row],[Class]]="A",WORKDAY(Main[[#This Row],[Tech Start Date]],2),""))))</f>
        <v>40807</v>
      </c>
      <c r="N1437" s="69">
        <f>IF(Main[[#This Row],[Tech Start Date]]&lt;1/1/1990,"",IF(Main[[#This Row],[Class]]="C",WORKDAY(Main[[#This Row],[Tech Start Date]],19),IF(Main[[#This Row],[Class]]="B", WORKDAY(Main[[#This Row],[Tech Start Date]],12),IF(Main[[#This Row],[Class]]="A",WORKDAY(Main[[#This Row],[Tech Start Date]],4),""))))</f>
        <v>40809</v>
      </c>
      <c r="O1437" s="69">
        <f>IF(Main[[#This Row],[Tech Start Date]]&lt;1/1/1990,"",IF(Main[[#This Row],[Class]]="C",WORKDAY(Main[[#This Row],[Tech Start Date]],23),IF(Main[[#This Row],[Class]]="B", WORKDAY(Main[[#This Row],[Tech Start Date]],15),IF(Main[[#This Row],[Class]]="A",WORKDAY(Main[[#This Row],[Tech Start Date]],5),""))))</f>
        <v>40812</v>
      </c>
      <c r="P1437" s="69">
        <f>IF(Main[[#This Row],[Tech Start Date]]&lt;1/1/1990,"",IF(Main[[#This Row],[Class]]="C",WORKDAY(Main[[#This Row],[Tech Start Date]],28),IF(Main[[#This Row],[Class]]="B", WORKDAY(Main[[#This Row],[Tech Start Date]],19),IF(Main[[#This Row],[Class]]="A",WORKDAY(Main[[#This Row],[Tech Start Date]],9),""))))</f>
        <v>40816</v>
      </c>
      <c r="Q1437" s="67">
        <v>40819</v>
      </c>
      <c r="R1437" s="67">
        <v>40820</v>
      </c>
      <c r="S1437" s="65" t="s">
        <v>11</v>
      </c>
      <c r="T1437" s="70" t="s">
        <v>2268</v>
      </c>
      <c r="U1437" s="65" t="s">
        <v>14</v>
      </c>
      <c r="V1437" s="65" t="s">
        <v>1920</v>
      </c>
      <c r="W1437" s="65" t="s">
        <v>1925</v>
      </c>
      <c r="X1437" s="65" t="s">
        <v>2928</v>
      </c>
      <c r="Y1437" s="65" t="s">
        <v>4</v>
      </c>
      <c r="Z1437" s="65" t="s">
        <v>2047</v>
      </c>
      <c r="AA1437" s="65" t="s">
        <v>2928</v>
      </c>
    </row>
    <row r="1438" spans="1:27" ht="17.45" customHeight="1">
      <c r="A1438" s="131" t="str">
        <f>IF(priority(Main[[#This Row],[Comments]])&lt;&gt;0, priority(Main[[#This Row],[Comments]]),"")</f>
        <v/>
      </c>
      <c r="B1438" s="99" t="s">
        <v>2099</v>
      </c>
      <c r="C1438" s="65" t="s">
        <v>4</v>
      </c>
      <c r="D1438" s="66" t="s">
        <v>2804</v>
      </c>
      <c r="E1438" s="67">
        <v>40760.556030092594</v>
      </c>
      <c r="F1438" s="67"/>
      <c r="G1438" s="64" t="str">
        <f>IF(stdProdLT(Main[[#This Row],[Comments]])=0.1,"N/A",IF(stdProdLT(Main[[#This Row],[Comments]])=0,"",stdProdLT(Main[[#This Row],[Comments]])))</f>
        <v/>
      </c>
      <c r="H1438" s="68" t="str">
        <f>IF(AND(Main[[#This Row],[In Stock Date]]&lt;&gt;"",Main[[#This Row],[Revised Due Date]]&lt;&gt;""),Main[[#This Row],[In Stock Date]]-Main[[#This Row],[Revised Due Date]],"")</f>
        <v/>
      </c>
      <c r="I1438" s="65" t="s">
        <v>891</v>
      </c>
      <c r="J1438" s="65" t="s">
        <v>4</v>
      </c>
      <c r="K1438" s="71" t="s">
        <v>1929</v>
      </c>
      <c r="L1438" s="67">
        <v>40805</v>
      </c>
      <c r="M1438" s="69" t="str">
        <f>IF(Main[[#This Row],[Tech Start Date]]&lt;1/1/1990,"",IF(Main[[#This Row],[Class]]="C",WORKDAY(Main[[#This Row],[Tech Start Date]],9),IF(Main[[#This Row],[Class]]="B", WORKDAY(Main[[#This Row],[Tech Start Date]],6),IF(Main[[#This Row],[Class]]="A",WORKDAY(Main[[#This Row],[Tech Start Date]],2),""))))</f>
        <v/>
      </c>
      <c r="N1438" s="69" t="str">
        <f>IF(Main[[#This Row],[Tech Start Date]]&lt;1/1/1990,"",IF(Main[[#This Row],[Class]]="C",WORKDAY(Main[[#This Row],[Tech Start Date]],19),IF(Main[[#This Row],[Class]]="B", WORKDAY(Main[[#This Row],[Tech Start Date]],12),IF(Main[[#This Row],[Class]]="A",WORKDAY(Main[[#This Row],[Tech Start Date]],4),""))))</f>
        <v/>
      </c>
      <c r="O1438" s="69" t="str">
        <f>IF(Main[[#This Row],[Tech Start Date]]&lt;1/1/1990,"",IF(Main[[#This Row],[Class]]="C",WORKDAY(Main[[#This Row],[Tech Start Date]],23),IF(Main[[#This Row],[Class]]="B", WORKDAY(Main[[#This Row],[Tech Start Date]],15),IF(Main[[#This Row],[Class]]="A",WORKDAY(Main[[#This Row],[Tech Start Date]],5),""))))</f>
        <v/>
      </c>
      <c r="P1438" s="69" t="str">
        <f>IF(Main[[#This Row],[Tech Start Date]]&lt;1/1/1990,"",IF(Main[[#This Row],[Class]]="C",WORKDAY(Main[[#This Row],[Tech Start Date]],28),IF(Main[[#This Row],[Class]]="B", WORKDAY(Main[[#This Row],[Tech Start Date]],19),IF(Main[[#This Row],[Class]]="A",WORKDAY(Main[[#This Row],[Tech Start Date]],9),""))))</f>
        <v/>
      </c>
      <c r="Q1438" s="67"/>
      <c r="R1438" s="67">
        <v>41075</v>
      </c>
      <c r="S1438" s="65" t="s">
        <v>6</v>
      </c>
      <c r="T1438" s="70" t="s">
        <v>4</v>
      </c>
      <c r="U1438" s="65" t="s">
        <v>29</v>
      </c>
      <c r="V1438" s="65" t="s">
        <v>1917</v>
      </c>
      <c r="W1438" s="65" t="s">
        <v>1921</v>
      </c>
      <c r="X1438" s="65" t="s">
        <v>306</v>
      </c>
      <c r="Y1438" s="65" t="s">
        <v>4</v>
      </c>
      <c r="Z1438" s="65" t="s">
        <v>879</v>
      </c>
      <c r="AA1438" s="65" t="s">
        <v>4</v>
      </c>
    </row>
    <row r="1439" spans="1:27" ht="17.45" customHeight="1">
      <c r="A1439" s="131" t="str">
        <f>IF(priority(Main[[#This Row],[Comments]])&lt;&gt;0, priority(Main[[#This Row],[Comments]]),"")</f>
        <v/>
      </c>
      <c r="B1439" s="99" t="s">
        <v>2079</v>
      </c>
      <c r="C1439" s="65" t="s">
        <v>33</v>
      </c>
      <c r="D1439" s="66" t="s">
        <v>3836</v>
      </c>
      <c r="E1439" s="67">
        <v>40776.124837962961</v>
      </c>
      <c r="F1439" s="67">
        <v>41007</v>
      </c>
      <c r="G1439" s="64">
        <f>IF(stdProdLT(Main[[#This Row],[Comments]])=0.1,"N/A",IF(stdProdLT(Main[[#This Row],[Comments]])=0,"",stdProdLT(Main[[#This Row],[Comments]])))</f>
        <v>112</v>
      </c>
      <c r="H1439" s="68" t="str">
        <f>IF(AND(Main[[#This Row],[In Stock Date]]&lt;&gt;"",Main[[#This Row],[Revised Due Date]]&lt;&gt;""),Main[[#This Row],[In Stock Date]]-Main[[#This Row],[Revised Due Date]],"")</f>
        <v/>
      </c>
      <c r="I1439" s="65" t="s">
        <v>914</v>
      </c>
      <c r="J1439" s="65" t="s">
        <v>52</v>
      </c>
      <c r="K1439" s="71" t="s">
        <v>1930</v>
      </c>
      <c r="L1439" s="67">
        <v>40805</v>
      </c>
      <c r="M1439" s="69">
        <f>IF(Main[[#This Row],[Tech Start Date]]&lt;1/1/1990,"",IF(Main[[#This Row],[Class]]="C",WORKDAY(Main[[#This Row],[Tech Start Date]],9),IF(Main[[#This Row],[Class]]="B", WORKDAY(Main[[#This Row],[Tech Start Date]],6),IF(Main[[#This Row],[Class]]="A",WORKDAY(Main[[#This Row],[Tech Start Date]],2),""))))</f>
        <v>40816</v>
      </c>
      <c r="N1439" s="69">
        <f>IF(Main[[#This Row],[Tech Start Date]]&lt;1/1/1990,"",IF(Main[[#This Row],[Class]]="C",WORKDAY(Main[[#This Row],[Tech Start Date]],19),IF(Main[[#This Row],[Class]]="B", WORKDAY(Main[[#This Row],[Tech Start Date]],12),IF(Main[[#This Row],[Class]]="A",WORKDAY(Main[[#This Row],[Tech Start Date]],4),""))))</f>
        <v>40830</v>
      </c>
      <c r="O1439" s="69">
        <f>IF(Main[[#This Row],[Tech Start Date]]&lt;1/1/1990,"",IF(Main[[#This Row],[Class]]="C",WORKDAY(Main[[#This Row],[Tech Start Date]],23),IF(Main[[#This Row],[Class]]="B", WORKDAY(Main[[#This Row],[Tech Start Date]],15),IF(Main[[#This Row],[Class]]="A",WORKDAY(Main[[#This Row],[Tech Start Date]],5),""))))</f>
        <v>40836</v>
      </c>
      <c r="P1439" s="69">
        <f>IF(Main[[#This Row],[Tech Start Date]]&lt;1/1/1990,"",IF(Main[[#This Row],[Class]]="C",WORKDAY(Main[[#This Row],[Tech Start Date]],28),IF(Main[[#This Row],[Class]]="B", WORKDAY(Main[[#This Row],[Tech Start Date]],19),IF(Main[[#This Row],[Class]]="A",WORKDAY(Main[[#This Row],[Tech Start Date]],9),""))))</f>
        <v>40843</v>
      </c>
      <c r="Q1439" s="67">
        <v>40811</v>
      </c>
      <c r="R1439" s="67"/>
      <c r="S1439" s="65" t="s">
        <v>11</v>
      </c>
      <c r="T1439" s="70" t="s">
        <v>3837</v>
      </c>
      <c r="U1439" s="65" t="s">
        <v>534</v>
      </c>
      <c r="V1439" s="65" t="s">
        <v>1917</v>
      </c>
      <c r="W1439" s="65" t="s">
        <v>1922</v>
      </c>
      <c r="X1439" s="65" t="s">
        <v>2832</v>
      </c>
      <c r="Y1439" s="65" t="s">
        <v>2952</v>
      </c>
      <c r="Z1439" s="65" t="s">
        <v>129</v>
      </c>
      <c r="AA1439" s="65" t="s">
        <v>2832</v>
      </c>
    </row>
    <row r="1440" spans="1:27" ht="17.45" customHeight="1">
      <c r="A1440" s="131" t="str">
        <f>IF(priority(Main[[#This Row],[Comments]])&lt;&gt;0, priority(Main[[#This Row],[Comments]]),"")</f>
        <v/>
      </c>
      <c r="B1440" s="99" t="s">
        <v>2620</v>
      </c>
      <c r="C1440" s="65" t="s">
        <v>518</v>
      </c>
      <c r="D1440" s="66" t="s">
        <v>2621</v>
      </c>
      <c r="E1440" s="67"/>
      <c r="F1440" s="67">
        <v>40854</v>
      </c>
      <c r="G1440" s="64">
        <f>IF(stdProdLT(Main[[#This Row],[Comments]])=0.1,"N/A",IF(stdProdLT(Main[[#This Row],[Comments]])=0,"",stdProdLT(Main[[#This Row],[Comments]])))</f>
        <v>98</v>
      </c>
      <c r="H1440" s="68">
        <f>IF(AND(Main[[#This Row],[In Stock Date]]&lt;&gt;"",Main[[#This Row],[Revised Due Date]]&lt;&gt;""),Main[[#This Row],[In Stock Date]]-Main[[#This Row],[Revised Due Date]],"")</f>
        <v>18</v>
      </c>
      <c r="I1440" s="65" t="s">
        <v>2047</v>
      </c>
      <c r="J1440" s="65" t="s">
        <v>28</v>
      </c>
      <c r="K1440" s="65" t="s">
        <v>1926</v>
      </c>
      <c r="L1440" s="67">
        <v>40821</v>
      </c>
      <c r="M1440" s="69">
        <f>IF(Main[[#This Row],[Tech Start Date]]&lt;1/1/1990,"",IF(Main[[#This Row],[Class]]="C",WORKDAY(Main[[#This Row],[Tech Start Date]],9),IF(Main[[#This Row],[Class]]="B", WORKDAY(Main[[#This Row],[Tech Start Date]],6),IF(Main[[#This Row],[Class]]="A",WORKDAY(Main[[#This Row],[Tech Start Date]],2),""))))</f>
        <v>40823</v>
      </c>
      <c r="N1440" s="69">
        <f>IF(Main[[#This Row],[Tech Start Date]]&lt;1/1/1990,"",IF(Main[[#This Row],[Class]]="C",WORKDAY(Main[[#This Row],[Tech Start Date]],19),IF(Main[[#This Row],[Class]]="B", WORKDAY(Main[[#This Row],[Tech Start Date]],12),IF(Main[[#This Row],[Class]]="A",WORKDAY(Main[[#This Row],[Tech Start Date]],4),""))))</f>
        <v>40827</v>
      </c>
      <c r="O1440" s="69">
        <f>IF(Main[[#This Row],[Tech Start Date]]&lt;1/1/1990,"",IF(Main[[#This Row],[Class]]="C",WORKDAY(Main[[#This Row],[Tech Start Date]],23),IF(Main[[#This Row],[Class]]="B", WORKDAY(Main[[#This Row],[Tech Start Date]],15),IF(Main[[#This Row],[Class]]="A",WORKDAY(Main[[#This Row],[Tech Start Date]],5),""))))</f>
        <v>40828</v>
      </c>
      <c r="P1440" s="69">
        <f>IF(Main[[#This Row],[Tech Start Date]]&lt;1/1/1990,"",IF(Main[[#This Row],[Class]]="C",WORKDAY(Main[[#This Row],[Tech Start Date]],28),IF(Main[[#This Row],[Class]]="B", WORKDAY(Main[[#This Row],[Tech Start Date]],19),IF(Main[[#This Row],[Class]]="A",WORKDAY(Main[[#This Row],[Tech Start Date]],9),""))))</f>
        <v>40834</v>
      </c>
      <c r="Q1440" s="67"/>
      <c r="R1440" s="67">
        <v>40836</v>
      </c>
      <c r="S1440" s="65" t="s">
        <v>11</v>
      </c>
      <c r="T1440" s="70" t="s">
        <v>2622</v>
      </c>
      <c r="U1440" s="65" t="s">
        <v>14</v>
      </c>
      <c r="V1440" s="65" t="s">
        <v>1920</v>
      </c>
      <c r="W1440" s="65" t="s">
        <v>1925</v>
      </c>
      <c r="X1440" s="65" t="s">
        <v>50</v>
      </c>
      <c r="Y1440" s="65" t="s">
        <v>3161</v>
      </c>
      <c r="Z1440" s="65" t="s">
        <v>530</v>
      </c>
      <c r="AA1440" s="65" t="s">
        <v>3488</v>
      </c>
    </row>
    <row r="1441" spans="1:27" ht="17.45" customHeight="1">
      <c r="A1441" s="131" t="str">
        <f>IF(priority(Main[[#This Row],[Comments]])&lt;&gt;0, priority(Main[[#This Row],[Comments]]),"")</f>
        <v/>
      </c>
      <c r="B1441" s="99" t="s">
        <v>2623</v>
      </c>
      <c r="C1441" s="65" t="s">
        <v>116</v>
      </c>
      <c r="D1441" s="66" t="s">
        <v>2624</v>
      </c>
      <c r="E1441" s="67">
        <v>40823.419490740744</v>
      </c>
      <c r="F1441" s="67"/>
      <c r="G1441" s="64" t="str">
        <f>IF(stdProdLT(Main[[#This Row],[Comments]])=0.1,"N/A",IF(stdProdLT(Main[[#This Row],[Comments]])=0,"",stdProdLT(Main[[#This Row],[Comments]])))</f>
        <v/>
      </c>
      <c r="H1441" s="68" t="str">
        <f>IF(AND(Main[[#This Row],[In Stock Date]]&lt;&gt;"",Main[[#This Row],[Revised Due Date]]&lt;&gt;""),Main[[#This Row],[In Stock Date]]-Main[[#This Row],[Revised Due Date]],"")</f>
        <v/>
      </c>
      <c r="I1441" s="65" t="s">
        <v>239</v>
      </c>
      <c r="J1441" s="65" t="s">
        <v>21</v>
      </c>
      <c r="K1441" s="65" t="s">
        <v>1924</v>
      </c>
      <c r="L1441" s="67">
        <v>40823</v>
      </c>
      <c r="M1441" s="69">
        <f>IF(Main[[#This Row],[Tech Start Date]]&lt;1/1/1990,"",IF(Main[[#This Row],[Class]]="C",WORKDAY(Main[[#This Row],[Tech Start Date]],9),IF(Main[[#This Row],[Class]]="B", WORKDAY(Main[[#This Row],[Tech Start Date]],6),IF(Main[[#This Row],[Class]]="A",WORKDAY(Main[[#This Row],[Tech Start Date]],2),""))))</f>
        <v>40833</v>
      </c>
      <c r="N1441" s="69">
        <f>IF(Main[[#This Row],[Tech Start Date]]&lt;1/1/1990,"",IF(Main[[#This Row],[Class]]="C",WORKDAY(Main[[#This Row],[Tech Start Date]],19),IF(Main[[#This Row],[Class]]="B", WORKDAY(Main[[#This Row],[Tech Start Date]],12),IF(Main[[#This Row],[Class]]="A",WORKDAY(Main[[#This Row],[Tech Start Date]],4),""))))</f>
        <v>40841</v>
      </c>
      <c r="O1441" s="69">
        <f>IF(Main[[#This Row],[Tech Start Date]]&lt;1/1/1990,"",IF(Main[[#This Row],[Class]]="C",WORKDAY(Main[[#This Row],[Tech Start Date]],23),IF(Main[[#This Row],[Class]]="B", WORKDAY(Main[[#This Row],[Tech Start Date]],15),IF(Main[[#This Row],[Class]]="A",WORKDAY(Main[[#This Row],[Tech Start Date]],5),""))))</f>
        <v>40844</v>
      </c>
      <c r="P1441" s="69">
        <f>IF(Main[[#This Row],[Tech Start Date]]&lt;1/1/1990,"",IF(Main[[#This Row],[Class]]="C",WORKDAY(Main[[#This Row],[Tech Start Date]],28),IF(Main[[#This Row],[Class]]="B", WORKDAY(Main[[#This Row],[Tech Start Date]],19),IF(Main[[#This Row],[Class]]="A",WORKDAY(Main[[#This Row],[Tech Start Date]],9),""))))</f>
        <v>40850</v>
      </c>
      <c r="Q1441" s="67"/>
      <c r="R1441" s="67">
        <v>40837</v>
      </c>
      <c r="S1441" s="65" t="s">
        <v>6</v>
      </c>
      <c r="T1441" s="70" t="s">
        <v>4</v>
      </c>
      <c r="U1441" s="65" t="s">
        <v>29</v>
      </c>
      <c r="V1441" s="65" t="s">
        <v>1920</v>
      </c>
      <c r="W1441" s="65" t="s">
        <v>1921</v>
      </c>
      <c r="X1441" s="65" t="s">
        <v>2047</v>
      </c>
      <c r="Y1441" s="65" t="s">
        <v>3162</v>
      </c>
      <c r="Z1441" s="65" t="s">
        <v>530</v>
      </c>
      <c r="AA1441" s="65" t="s">
        <v>2047</v>
      </c>
    </row>
    <row r="1442" spans="1:27" ht="17.45" customHeight="1">
      <c r="A1442" s="131" t="str">
        <f>IF(priority(Main[[#This Row],[Comments]])&lt;&gt;0, priority(Main[[#This Row],[Comments]]),"")</f>
        <v/>
      </c>
      <c r="B1442" s="99" t="s">
        <v>2295</v>
      </c>
      <c r="C1442" s="65" t="s">
        <v>2296</v>
      </c>
      <c r="D1442" s="66" t="s">
        <v>3839</v>
      </c>
      <c r="E1442" s="67">
        <v>40814.583657407406</v>
      </c>
      <c r="F1442" s="67">
        <v>41150</v>
      </c>
      <c r="G1442" s="64">
        <f>IF(stdProdLT(Main[[#This Row],[Comments]])=0.1,"N/A",IF(stdProdLT(Main[[#This Row],[Comments]])=0,"",stdProdLT(Main[[#This Row],[Comments]])))</f>
        <v>112</v>
      </c>
      <c r="H1442" s="68" t="str">
        <f>IF(AND(Main[[#This Row],[In Stock Date]]&lt;&gt;"",Main[[#This Row],[Revised Due Date]]&lt;&gt;""),Main[[#This Row],[In Stock Date]]-Main[[#This Row],[Revised Due Date]],"")</f>
        <v/>
      </c>
      <c r="I1442" s="65" t="s">
        <v>562</v>
      </c>
      <c r="J1442" s="65" t="s">
        <v>28</v>
      </c>
      <c r="K1442" s="71" t="s">
        <v>1930</v>
      </c>
      <c r="L1442" s="67">
        <v>40828</v>
      </c>
      <c r="M1442" s="69">
        <f>IF(Main[[#This Row],[Tech Start Date]]&lt;1/1/1990,"",IF(Main[[#This Row],[Class]]="C",WORKDAY(Main[[#This Row],[Tech Start Date]],9),IF(Main[[#This Row],[Class]]="B", WORKDAY(Main[[#This Row],[Tech Start Date]],6),IF(Main[[#This Row],[Class]]="A",WORKDAY(Main[[#This Row],[Tech Start Date]],2),""))))</f>
        <v>40841</v>
      </c>
      <c r="N1442" s="69">
        <f>IF(Main[[#This Row],[Tech Start Date]]&lt;1/1/1990,"",IF(Main[[#This Row],[Class]]="C",WORKDAY(Main[[#This Row],[Tech Start Date]],19),IF(Main[[#This Row],[Class]]="B", WORKDAY(Main[[#This Row],[Tech Start Date]],12),IF(Main[[#This Row],[Class]]="A",WORKDAY(Main[[#This Row],[Tech Start Date]],4),""))))</f>
        <v>40855</v>
      </c>
      <c r="O1442" s="69">
        <f>IF(Main[[#This Row],[Tech Start Date]]&lt;1/1/1990,"",IF(Main[[#This Row],[Class]]="C",WORKDAY(Main[[#This Row],[Tech Start Date]],23),IF(Main[[#This Row],[Class]]="B", WORKDAY(Main[[#This Row],[Tech Start Date]],15),IF(Main[[#This Row],[Class]]="A",WORKDAY(Main[[#This Row],[Tech Start Date]],5),""))))</f>
        <v>40861</v>
      </c>
      <c r="P1442" s="69">
        <f>IF(Main[[#This Row],[Tech Start Date]]&lt;1/1/1990,"",IF(Main[[#This Row],[Class]]="C",WORKDAY(Main[[#This Row],[Tech Start Date]],28),IF(Main[[#This Row],[Class]]="B", WORKDAY(Main[[#This Row],[Tech Start Date]],19),IF(Main[[#This Row],[Class]]="A",WORKDAY(Main[[#This Row],[Tech Start Date]],9),""))))</f>
        <v>40868</v>
      </c>
      <c r="Q1442" s="67">
        <v>40876</v>
      </c>
      <c r="R1442" s="67"/>
      <c r="S1442" s="65" t="s">
        <v>11</v>
      </c>
      <c r="T1442" s="70" t="s">
        <v>3840</v>
      </c>
      <c r="U1442" s="65" t="s">
        <v>534</v>
      </c>
      <c r="V1442" s="65" t="s">
        <v>1917</v>
      </c>
      <c r="W1442" s="65" t="s">
        <v>1923</v>
      </c>
      <c r="X1442" s="65" t="s">
        <v>2929</v>
      </c>
      <c r="Y1442" s="65" t="s">
        <v>4</v>
      </c>
      <c r="Z1442" s="65" t="s">
        <v>129</v>
      </c>
      <c r="AA1442" s="65" t="s">
        <v>3489</v>
      </c>
    </row>
    <row r="1443" spans="1:27" ht="17.45" customHeight="1">
      <c r="A1443" s="131" t="str">
        <f>IF(priority(Main[[#This Row],[Comments]])&lt;&gt;0, priority(Main[[#This Row],[Comments]]),"")</f>
        <v/>
      </c>
      <c r="B1443" s="99" t="s">
        <v>2627</v>
      </c>
      <c r="C1443" s="65" t="s">
        <v>116</v>
      </c>
      <c r="D1443" s="66" t="s">
        <v>2628</v>
      </c>
      <c r="E1443" s="67"/>
      <c r="F1443" s="67"/>
      <c r="G1443" s="64" t="str">
        <f>IF(stdProdLT(Main[[#This Row],[Comments]])=0.1,"N/A",IF(stdProdLT(Main[[#This Row],[Comments]])=0,"",stdProdLT(Main[[#This Row],[Comments]])))</f>
        <v>N/A</v>
      </c>
      <c r="H1443" s="68" t="str">
        <f>IF(AND(Main[[#This Row],[In Stock Date]]&lt;&gt;"",Main[[#This Row],[Revised Due Date]]&lt;&gt;""),Main[[#This Row],[In Stock Date]]-Main[[#This Row],[Revised Due Date]],"")</f>
        <v/>
      </c>
      <c r="I1443" s="65" t="s">
        <v>171</v>
      </c>
      <c r="J1443" s="65" t="s">
        <v>1981</v>
      </c>
      <c r="K1443" s="65" t="s">
        <v>1926</v>
      </c>
      <c r="L1443" s="67">
        <v>40835</v>
      </c>
      <c r="M1443" s="69">
        <f>IF(Main[[#This Row],[Tech Start Date]]&lt;1/1/1990,"",IF(Main[[#This Row],[Class]]="C",WORKDAY(Main[[#This Row],[Tech Start Date]],9),IF(Main[[#This Row],[Class]]="B", WORKDAY(Main[[#This Row],[Tech Start Date]],6),IF(Main[[#This Row],[Class]]="A",WORKDAY(Main[[#This Row],[Tech Start Date]],2),""))))</f>
        <v>40837</v>
      </c>
      <c r="N1443" s="69">
        <f>IF(Main[[#This Row],[Tech Start Date]]&lt;1/1/1990,"",IF(Main[[#This Row],[Class]]="C",WORKDAY(Main[[#This Row],[Tech Start Date]],19),IF(Main[[#This Row],[Class]]="B", WORKDAY(Main[[#This Row],[Tech Start Date]],12),IF(Main[[#This Row],[Class]]="A",WORKDAY(Main[[#This Row],[Tech Start Date]],4),""))))</f>
        <v>40841</v>
      </c>
      <c r="O1443" s="69">
        <f>IF(Main[[#This Row],[Tech Start Date]]&lt;1/1/1990,"",IF(Main[[#This Row],[Class]]="C",WORKDAY(Main[[#This Row],[Tech Start Date]],23),IF(Main[[#This Row],[Class]]="B", WORKDAY(Main[[#This Row],[Tech Start Date]],15),IF(Main[[#This Row],[Class]]="A",WORKDAY(Main[[#This Row],[Tech Start Date]],5),""))))</f>
        <v>40842</v>
      </c>
      <c r="P1443" s="69">
        <f>IF(Main[[#This Row],[Tech Start Date]]&lt;1/1/1990,"",IF(Main[[#This Row],[Class]]="C",WORKDAY(Main[[#This Row],[Tech Start Date]],28),IF(Main[[#This Row],[Class]]="B", WORKDAY(Main[[#This Row],[Tech Start Date]],19),IF(Main[[#This Row],[Class]]="A",WORKDAY(Main[[#This Row],[Tech Start Date]],9),""))))</f>
        <v>40848</v>
      </c>
      <c r="Q1443" s="67">
        <v>40954</v>
      </c>
      <c r="R1443" s="67">
        <v>40850</v>
      </c>
      <c r="S1443" s="65" t="s">
        <v>11</v>
      </c>
      <c r="T1443" s="70" t="s">
        <v>2629</v>
      </c>
      <c r="U1443" s="65" t="s">
        <v>14</v>
      </c>
      <c r="V1443" s="65" t="s">
        <v>1920</v>
      </c>
      <c r="W1443" s="65" t="s">
        <v>1921</v>
      </c>
      <c r="X1443" s="65" t="s">
        <v>554</v>
      </c>
      <c r="Y1443" s="65" t="s">
        <v>2958</v>
      </c>
      <c r="Z1443" s="65" t="s">
        <v>530</v>
      </c>
      <c r="AA1443" s="65" t="s">
        <v>554</v>
      </c>
    </row>
    <row r="1444" spans="1:27" ht="17.45" customHeight="1">
      <c r="A1444" s="131" t="str">
        <f>IF(priority(Main[[#This Row],[Comments]])&lt;&gt;0, priority(Main[[#This Row],[Comments]]),"")</f>
        <v/>
      </c>
      <c r="B1444" s="99" t="s">
        <v>2631</v>
      </c>
      <c r="C1444" s="65" t="s">
        <v>4</v>
      </c>
      <c r="D1444" s="66" t="s">
        <v>3841</v>
      </c>
      <c r="E1444" s="67">
        <v>40848.357997685183</v>
      </c>
      <c r="F1444" s="67"/>
      <c r="G1444" s="64" t="str">
        <f>IF(stdProdLT(Main[[#This Row],[Comments]])=0.1,"N/A",IF(stdProdLT(Main[[#This Row],[Comments]])=0,"",stdProdLT(Main[[#This Row],[Comments]])))</f>
        <v/>
      </c>
      <c r="H1444" s="68" t="str">
        <f>IF(AND(Main[[#This Row],[In Stock Date]]&lt;&gt;"",Main[[#This Row],[Revised Due Date]]&lt;&gt;""),Main[[#This Row],[In Stock Date]]-Main[[#This Row],[Revised Due Date]],"")</f>
        <v/>
      </c>
      <c r="I1444" s="65" t="s">
        <v>2632</v>
      </c>
      <c r="J1444" s="65" t="s">
        <v>28</v>
      </c>
      <c r="K1444" s="65" t="s">
        <v>1929</v>
      </c>
      <c r="L1444" s="67">
        <v>40840</v>
      </c>
      <c r="M1444" s="69" t="str">
        <f>IF(Main[[#This Row],[Tech Start Date]]&lt;1/1/1990,"",IF(Main[[#This Row],[Class]]="C",WORKDAY(Main[[#This Row],[Tech Start Date]],9),IF(Main[[#This Row],[Class]]="B", WORKDAY(Main[[#This Row],[Tech Start Date]],6),IF(Main[[#This Row],[Class]]="A",WORKDAY(Main[[#This Row],[Tech Start Date]],2),""))))</f>
        <v/>
      </c>
      <c r="N1444" s="69" t="str">
        <f>IF(Main[[#This Row],[Tech Start Date]]&lt;1/1/1990,"",IF(Main[[#This Row],[Class]]="C",WORKDAY(Main[[#This Row],[Tech Start Date]],19),IF(Main[[#This Row],[Class]]="B", WORKDAY(Main[[#This Row],[Tech Start Date]],12),IF(Main[[#This Row],[Class]]="A",WORKDAY(Main[[#This Row],[Tech Start Date]],4),""))))</f>
        <v/>
      </c>
      <c r="O1444" s="69" t="str">
        <f>IF(Main[[#This Row],[Tech Start Date]]&lt;1/1/1990,"",IF(Main[[#This Row],[Class]]="C",WORKDAY(Main[[#This Row],[Tech Start Date]],23),IF(Main[[#This Row],[Class]]="B", WORKDAY(Main[[#This Row],[Tech Start Date]],15),IF(Main[[#This Row],[Class]]="A",WORKDAY(Main[[#This Row],[Tech Start Date]],5),""))))</f>
        <v/>
      </c>
      <c r="P1444" s="69" t="str">
        <f>IF(Main[[#This Row],[Tech Start Date]]&lt;1/1/1990,"",IF(Main[[#This Row],[Class]]="C",WORKDAY(Main[[#This Row],[Tech Start Date]],28),IF(Main[[#This Row],[Class]]="B", WORKDAY(Main[[#This Row],[Tech Start Date]],19),IF(Main[[#This Row],[Class]]="A",WORKDAY(Main[[#This Row],[Tech Start Date]],9),""))))</f>
        <v/>
      </c>
      <c r="Q1444" s="67">
        <v>40998</v>
      </c>
      <c r="R1444" s="67">
        <v>40998</v>
      </c>
      <c r="S1444" s="65" t="s">
        <v>17</v>
      </c>
      <c r="T1444" s="70" t="s">
        <v>4</v>
      </c>
      <c r="U1444" s="65" t="s">
        <v>29</v>
      </c>
      <c r="V1444" s="65" t="s">
        <v>1917</v>
      </c>
      <c r="W1444" s="65" t="s">
        <v>1922</v>
      </c>
      <c r="X1444" s="65" t="s">
        <v>879</v>
      </c>
      <c r="Y1444" s="65" t="s">
        <v>3015</v>
      </c>
      <c r="Z1444" s="65" t="s">
        <v>879</v>
      </c>
      <c r="AA1444" s="65" t="s">
        <v>879</v>
      </c>
    </row>
    <row r="1445" spans="1:27" ht="17.45" customHeight="1">
      <c r="A1445" s="131" t="str">
        <f>IF(priority(Main[[#This Row],[Comments]])&lt;&gt;0, priority(Main[[#This Row],[Comments]]),"")</f>
        <v/>
      </c>
      <c r="B1445" s="99" t="s">
        <v>2633</v>
      </c>
      <c r="C1445" s="65" t="s">
        <v>2573</v>
      </c>
      <c r="D1445" s="66" t="s">
        <v>2809</v>
      </c>
      <c r="E1445" s="67">
        <v>40847.264097222222</v>
      </c>
      <c r="F1445" s="67">
        <v>40983</v>
      </c>
      <c r="G1445" s="64" t="str">
        <f>IF(stdProdLT(Main[[#This Row],[Comments]])=0.1,"N/A",IF(stdProdLT(Main[[#This Row],[Comments]])=0,"",stdProdLT(Main[[#This Row],[Comments]])))</f>
        <v>N/A</v>
      </c>
      <c r="H1445" s="68" t="str">
        <f>IF(AND(Main[[#This Row],[In Stock Date]]&lt;&gt;"",Main[[#This Row],[Revised Due Date]]&lt;&gt;""),Main[[#This Row],[In Stock Date]]-Main[[#This Row],[Revised Due Date]],"")</f>
        <v/>
      </c>
      <c r="I1445" s="65" t="s">
        <v>914</v>
      </c>
      <c r="J1445" s="65" t="s">
        <v>28</v>
      </c>
      <c r="K1445" s="65" t="s">
        <v>1930</v>
      </c>
      <c r="L1445" s="67">
        <v>40848</v>
      </c>
      <c r="M1445" s="69">
        <f>IF(Main[[#This Row],[Tech Start Date]]&lt;1/1/1990,"",IF(Main[[#This Row],[Class]]="C",WORKDAY(Main[[#This Row],[Tech Start Date]],9),IF(Main[[#This Row],[Class]]="B", WORKDAY(Main[[#This Row],[Tech Start Date]],6),IF(Main[[#This Row],[Class]]="A",WORKDAY(Main[[#This Row],[Tech Start Date]],2),""))))</f>
        <v>40861</v>
      </c>
      <c r="N1445" s="69">
        <f>IF(Main[[#This Row],[Tech Start Date]]&lt;1/1/1990,"",IF(Main[[#This Row],[Class]]="C",WORKDAY(Main[[#This Row],[Tech Start Date]],19),IF(Main[[#This Row],[Class]]="B", WORKDAY(Main[[#This Row],[Tech Start Date]],12),IF(Main[[#This Row],[Class]]="A",WORKDAY(Main[[#This Row],[Tech Start Date]],4),""))))</f>
        <v>40875</v>
      </c>
      <c r="O1445" s="69">
        <f>IF(Main[[#This Row],[Tech Start Date]]&lt;1/1/1990,"",IF(Main[[#This Row],[Class]]="C",WORKDAY(Main[[#This Row],[Tech Start Date]],23),IF(Main[[#This Row],[Class]]="B", WORKDAY(Main[[#This Row],[Tech Start Date]],15),IF(Main[[#This Row],[Class]]="A",WORKDAY(Main[[#This Row],[Tech Start Date]],5),""))))</f>
        <v>40879</v>
      </c>
      <c r="P1445" s="69">
        <f>IF(Main[[#This Row],[Tech Start Date]]&lt;1/1/1990,"",IF(Main[[#This Row],[Class]]="C",WORKDAY(Main[[#This Row],[Tech Start Date]],28),IF(Main[[#This Row],[Class]]="B", WORKDAY(Main[[#This Row],[Tech Start Date]],19),IF(Main[[#This Row],[Class]]="A",WORKDAY(Main[[#This Row],[Tech Start Date]],9),""))))</f>
        <v>40886</v>
      </c>
      <c r="Q1445" s="67">
        <v>40885</v>
      </c>
      <c r="R1445" s="67"/>
      <c r="S1445" s="65" t="s">
        <v>11</v>
      </c>
      <c r="T1445" s="70" t="s">
        <v>3235</v>
      </c>
      <c r="U1445" s="65" t="s">
        <v>534</v>
      </c>
      <c r="V1445" s="65" t="s">
        <v>1917</v>
      </c>
      <c r="W1445" s="65" t="s">
        <v>1925</v>
      </c>
      <c r="X1445" s="65" t="s">
        <v>2910</v>
      </c>
      <c r="Y1445" s="65" t="s">
        <v>3163</v>
      </c>
      <c r="Z1445" s="65" t="s">
        <v>129</v>
      </c>
      <c r="AA1445" s="65" t="s">
        <v>2910</v>
      </c>
    </row>
    <row r="1446" spans="1:27" ht="17.45" customHeight="1">
      <c r="A1446" s="131" t="str">
        <f>IF(priority(Main[[#This Row],[Comments]])&lt;&gt;0, priority(Main[[#This Row],[Comments]]),"")</f>
        <v/>
      </c>
      <c r="B1446" s="99" t="s">
        <v>2637</v>
      </c>
      <c r="C1446" s="65" t="s">
        <v>2638</v>
      </c>
      <c r="D1446" s="66" t="s">
        <v>2639</v>
      </c>
      <c r="E1446" s="67"/>
      <c r="F1446" s="67"/>
      <c r="G1446" s="64" t="str">
        <f>IF(stdProdLT(Main[[#This Row],[Comments]])=0.1,"N/A",IF(stdProdLT(Main[[#This Row],[Comments]])=0,"",stdProdLT(Main[[#This Row],[Comments]])))</f>
        <v/>
      </c>
      <c r="H1446" s="68" t="str">
        <f>IF(AND(Main[[#This Row],[In Stock Date]]&lt;&gt;"",Main[[#This Row],[Revised Due Date]]&lt;&gt;""),Main[[#This Row],[In Stock Date]]-Main[[#This Row],[Revised Due Date]],"")</f>
        <v/>
      </c>
      <c r="I1446" s="65" t="s">
        <v>2047</v>
      </c>
      <c r="J1446" s="65" t="s">
        <v>28</v>
      </c>
      <c r="K1446" s="71" t="s">
        <v>1926</v>
      </c>
      <c r="L1446" s="67">
        <v>40848</v>
      </c>
      <c r="M1446" s="69">
        <f>IF(Main[[#This Row],[Tech Start Date]]&lt;1/1/1990,"",IF(Main[[#This Row],[Class]]="C",WORKDAY(Main[[#This Row],[Tech Start Date]],9),IF(Main[[#This Row],[Class]]="B", WORKDAY(Main[[#This Row],[Tech Start Date]],6),IF(Main[[#This Row],[Class]]="A",WORKDAY(Main[[#This Row],[Tech Start Date]],2),""))))</f>
        <v>40850</v>
      </c>
      <c r="N1446" s="69">
        <f>IF(Main[[#This Row],[Tech Start Date]]&lt;1/1/1990,"",IF(Main[[#This Row],[Class]]="C",WORKDAY(Main[[#This Row],[Tech Start Date]],19),IF(Main[[#This Row],[Class]]="B", WORKDAY(Main[[#This Row],[Tech Start Date]],12),IF(Main[[#This Row],[Class]]="A",WORKDAY(Main[[#This Row],[Tech Start Date]],4),""))))</f>
        <v>40854</v>
      </c>
      <c r="O1446" s="69">
        <f>IF(Main[[#This Row],[Tech Start Date]]&lt;1/1/1990,"",IF(Main[[#This Row],[Class]]="C",WORKDAY(Main[[#This Row],[Tech Start Date]],23),IF(Main[[#This Row],[Class]]="B", WORKDAY(Main[[#This Row],[Tech Start Date]],15),IF(Main[[#This Row],[Class]]="A",WORKDAY(Main[[#This Row],[Tech Start Date]],5),""))))</f>
        <v>40855</v>
      </c>
      <c r="P1446" s="69">
        <f>IF(Main[[#This Row],[Tech Start Date]]&lt;1/1/1990,"",IF(Main[[#This Row],[Class]]="C",WORKDAY(Main[[#This Row],[Tech Start Date]],28),IF(Main[[#This Row],[Class]]="B", WORKDAY(Main[[#This Row],[Tech Start Date]],19),IF(Main[[#This Row],[Class]]="A",WORKDAY(Main[[#This Row],[Tech Start Date]],9),""))))</f>
        <v>40861</v>
      </c>
      <c r="Q1446" s="67">
        <v>40849</v>
      </c>
      <c r="R1446" s="67">
        <v>40863</v>
      </c>
      <c r="S1446" s="65" t="s">
        <v>11</v>
      </c>
      <c r="T1446" s="70" t="s">
        <v>4</v>
      </c>
      <c r="U1446" s="65" t="s">
        <v>14</v>
      </c>
      <c r="V1446" s="65" t="s">
        <v>1927</v>
      </c>
      <c r="W1446" s="65" t="s">
        <v>1925</v>
      </c>
      <c r="X1446" s="65" t="s">
        <v>2850</v>
      </c>
      <c r="Y1446" s="65" t="s">
        <v>2983</v>
      </c>
      <c r="Z1446" s="65" t="s">
        <v>530</v>
      </c>
      <c r="AA1446" s="65" t="s">
        <v>2850</v>
      </c>
    </row>
    <row r="1447" spans="1:27" ht="17.45" customHeight="1">
      <c r="A1447" s="131" t="str">
        <f>IF(priority(Main[[#This Row],[Comments]])&lt;&gt;0, priority(Main[[#This Row],[Comments]]),"")</f>
        <v/>
      </c>
      <c r="B1447" s="99" t="s">
        <v>2644</v>
      </c>
      <c r="C1447" s="65" t="s">
        <v>2573</v>
      </c>
      <c r="D1447" s="66" t="s">
        <v>3184</v>
      </c>
      <c r="E1447" s="67">
        <v>40843.101504629631</v>
      </c>
      <c r="F1447" s="67"/>
      <c r="G1447" s="64">
        <f>IF(stdProdLT(Main[[#This Row],[Comments]])=0.1,"N/A",IF(stdProdLT(Main[[#This Row],[Comments]])=0,"",stdProdLT(Main[[#This Row],[Comments]])))</f>
        <v>168</v>
      </c>
      <c r="H1447" s="68" t="str">
        <f>IF(AND(Main[[#This Row],[In Stock Date]]&lt;&gt;"",Main[[#This Row],[Revised Due Date]]&lt;&gt;""),Main[[#This Row],[In Stock Date]]-Main[[#This Row],[Revised Due Date]],"")</f>
        <v/>
      </c>
      <c r="I1447" s="65" t="s">
        <v>171</v>
      </c>
      <c r="J1447" s="65" t="s">
        <v>70</v>
      </c>
      <c r="K1447" s="65" t="s">
        <v>1930</v>
      </c>
      <c r="L1447" s="67">
        <v>40849</v>
      </c>
      <c r="M1447" s="69">
        <f>IF(Main[[#This Row],[Tech Start Date]]&lt;1/1/1990,"",IF(Main[[#This Row],[Class]]="C",WORKDAY(Main[[#This Row],[Tech Start Date]],9),IF(Main[[#This Row],[Class]]="B", WORKDAY(Main[[#This Row],[Tech Start Date]],6),IF(Main[[#This Row],[Class]]="A",WORKDAY(Main[[#This Row],[Tech Start Date]],2),""))))</f>
        <v>40862</v>
      </c>
      <c r="N1447" s="69">
        <f>IF(Main[[#This Row],[Tech Start Date]]&lt;1/1/1990,"",IF(Main[[#This Row],[Class]]="C",WORKDAY(Main[[#This Row],[Tech Start Date]],19),IF(Main[[#This Row],[Class]]="B", WORKDAY(Main[[#This Row],[Tech Start Date]],12),IF(Main[[#This Row],[Class]]="A",WORKDAY(Main[[#This Row],[Tech Start Date]],4),""))))</f>
        <v>40876</v>
      </c>
      <c r="O1447" s="69">
        <f>IF(Main[[#This Row],[Tech Start Date]]&lt;1/1/1990,"",IF(Main[[#This Row],[Class]]="C",WORKDAY(Main[[#This Row],[Tech Start Date]],23),IF(Main[[#This Row],[Class]]="B", WORKDAY(Main[[#This Row],[Tech Start Date]],15),IF(Main[[#This Row],[Class]]="A",WORKDAY(Main[[#This Row],[Tech Start Date]],5),""))))</f>
        <v>40882</v>
      </c>
      <c r="P1447" s="69">
        <f>IF(Main[[#This Row],[Tech Start Date]]&lt;1/1/1990,"",IF(Main[[#This Row],[Class]]="C",WORKDAY(Main[[#This Row],[Tech Start Date]],28),IF(Main[[#This Row],[Class]]="B", WORKDAY(Main[[#This Row],[Tech Start Date]],19),IF(Main[[#This Row],[Class]]="A",WORKDAY(Main[[#This Row],[Tech Start Date]],9),""))))</f>
        <v>40889</v>
      </c>
      <c r="Q1447" s="67">
        <v>40881</v>
      </c>
      <c r="R1447" s="67"/>
      <c r="S1447" s="65" t="s">
        <v>11</v>
      </c>
      <c r="T1447" s="70" t="s">
        <v>3847</v>
      </c>
      <c r="U1447" s="65" t="s">
        <v>534</v>
      </c>
      <c r="V1447" s="65" t="s">
        <v>1920</v>
      </c>
      <c r="W1447" s="65" t="s">
        <v>1925</v>
      </c>
      <c r="X1447" s="65" t="s">
        <v>2910</v>
      </c>
      <c r="Y1447" s="65" t="s">
        <v>3163</v>
      </c>
      <c r="Z1447" s="65" t="s">
        <v>530</v>
      </c>
      <c r="AA1447" s="65" t="s">
        <v>2910</v>
      </c>
    </row>
    <row r="1448" spans="1:27" ht="17.45" customHeight="1">
      <c r="A1448" s="131" t="str">
        <f>IF(priority(Main[[#This Row],[Comments]])&lt;&gt;0, priority(Main[[#This Row],[Comments]]),"")</f>
        <v/>
      </c>
      <c r="B1448" s="99" t="s">
        <v>2646</v>
      </c>
      <c r="C1448" s="65" t="s">
        <v>4</v>
      </c>
      <c r="D1448" s="66" t="s">
        <v>2647</v>
      </c>
      <c r="E1448" s="67">
        <v>40848.726550925923</v>
      </c>
      <c r="F1448" s="67"/>
      <c r="G1448" s="64" t="str">
        <f>IF(stdProdLT(Main[[#This Row],[Comments]])=0.1,"N/A",IF(stdProdLT(Main[[#This Row],[Comments]])=0,"",stdProdLT(Main[[#This Row],[Comments]])))</f>
        <v/>
      </c>
      <c r="H1448" s="68" t="str">
        <f>IF(AND(Main[[#This Row],[In Stock Date]]&lt;&gt;"",Main[[#This Row],[Revised Due Date]]&lt;&gt;""),Main[[#This Row],[In Stock Date]]-Main[[#This Row],[Revised Due Date]],"")</f>
        <v/>
      </c>
      <c r="I1448" s="65" t="s">
        <v>69</v>
      </c>
      <c r="J1448" s="65" t="s">
        <v>28</v>
      </c>
      <c r="K1448" s="65" t="s">
        <v>1926</v>
      </c>
      <c r="L1448" s="67">
        <v>40849</v>
      </c>
      <c r="M1448" s="69">
        <f>IF(Main[[#This Row],[Tech Start Date]]&lt;1/1/1990,"",IF(Main[[#This Row],[Class]]="C",WORKDAY(Main[[#This Row],[Tech Start Date]],9),IF(Main[[#This Row],[Class]]="B", WORKDAY(Main[[#This Row],[Tech Start Date]],6),IF(Main[[#This Row],[Class]]="A",WORKDAY(Main[[#This Row],[Tech Start Date]],2),""))))</f>
        <v>40851</v>
      </c>
      <c r="N1448" s="69">
        <f>IF(Main[[#This Row],[Tech Start Date]]&lt;1/1/1990,"",IF(Main[[#This Row],[Class]]="C",WORKDAY(Main[[#This Row],[Tech Start Date]],19),IF(Main[[#This Row],[Class]]="B", WORKDAY(Main[[#This Row],[Tech Start Date]],12),IF(Main[[#This Row],[Class]]="A",WORKDAY(Main[[#This Row],[Tech Start Date]],4),""))))</f>
        <v>40855</v>
      </c>
      <c r="O1448" s="69">
        <f>IF(Main[[#This Row],[Tech Start Date]]&lt;1/1/1990,"",IF(Main[[#This Row],[Class]]="C",WORKDAY(Main[[#This Row],[Tech Start Date]],23),IF(Main[[#This Row],[Class]]="B", WORKDAY(Main[[#This Row],[Tech Start Date]],15),IF(Main[[#This Row],[Class]]="A",WORKDAY(Main[[#This Row],[Tech Start Date]],5),""))))</f>
        <v>40856</v>
      </c>
      <c r="P1448" s="69">
        <f>IF(Main[[#This Row],[Tech Start Date]]&lt;1/1/1990,"",IF(Main[[#This Row],[Class]]="C",WORKDAY(Main[[#This Row],[Tech Start Date]],28),IF(Main[[#This Row],[Class]]="B", WORKDAY(Main[[#This Row],[Tech Start Date]],19),IF(Main[[#This Row],[Class]]="A",WORKDAY(Main[[#This Row],[Tech Start Date]],9),""))))</f>
        <v>40862</v>
      </c>
      <c r="Q1448" s="67"/>
      <c r="R1448" s="67">
        <v>40864</v>
      </c>
      <c r="S1448" s="65" t="s">
        <v>6</v>
      </c>
      <c r="T1448" s="70" t="s">
        <v>4</v>
      </c>
      <c r="U1448" s="65" t="s">
        <v>29</v>
      </c>
      <c r="V1448" s="65" t="s">
        <v>1927</v>
      </c>
      <c r="W1448" s="65" t="s">
        <v>1931</v>
      </c>
      <c r="X1448" s="65" t="s">
        <v>2847</v>
      </c>
      <c r="Y1448" s="65" t="s">
        <v>2977</v>
      </c>
      <c r="Z1448" s="65" t="s">
        <v>2871</v>
      </c>
      <c r="AA1448" s="65" t="s">
        <v>2847</v>
      </c>
    </row>
    <row r="1449" spans="1:27" ht="17.45" customHeight="1">
      <c r="A1449" s="131" t="str">
        <f>IF(priority(Main[[#This Row],[Comments]])&lt;&gt;0, priority(Main[[#This Row],[Comments]]),"")</f>
        <v/>
      </c>
      <c r="B1449" s="99" t="s">
        <v>2640</v>
      </c>
      <c r="C1449" s="65" t="s">
        <v>2573</v>
      </c>
      <c r="D1449" s="66" t="s">
        <v>2810</v>
      </c>
      <c r="E1449" s="67"/>
      <c r="F1449" s="67"/>
      <c r="G1449" s="64">
        <f>IF(stdProdLT(Main[[#This Row],[Comments]])=0.1,"N/A",IF(stdProdLT(Main[[#This Row],[Comments]])=0,"",stdProdLT(Main[[#This Row],[Comments]])))</f>
        <v>168</v>
      </c>
      <c r="H1449" s="68" t="str">
        <f>IF(AND(Main[[#This Row],[In Stock Date]]&lt;&gt;"",Main[[#This Row],[Revised Due Date]]&lt;&gt;""),Main[[#This Row],[In Stock Date]]-Main[[#This Row],[Revised Due Date]],"")</f>
        <v/>
      </c>
      <c r="I1449" s="65" t="s">
        <v>896</v>
      </c>
      <c r="J1449" s="65" t="s">
        <v>52</v>
      </c>
      <c r="K1449" s="71" t="s">
        <v>1930</v>
      </c>
      <c r="L1449" s="67">
        <v>40849</v>
      </c>
      <c r="M1449" s="69">
        <f>IF(Main[[#This Row],[Tech Start Date]]&lt;1/1/1990,"",IF(Main[[#This Row],[Class]]="C",WORKDAY(Main[[#This Row],[Tech Start Date]],9),IF(Main[[#This Row],[Class]]="B", WORKDAY(Main[[#This Row],[Tech Start Date]],6),IF(Main[[#This Row],[Class]]="A",WORKDAY(Main[[#This Row],[Tech Start Date]],2),""))))</f>
        <v>40862</v>
      </c>
      <c r="N1449" s="69">
        <f>IF(Main[[#This Row],[Tech Start Date]]&lt;1/1/1990,"",IF(Main[[#This Row],[Class]]="C",WORKDAY(Main[[#This Row],[Tech Start Date]],19),IF(Main[[#This Row],[Class]]="B", WORKDAY(Main[[#This Row],[Tech Start Date]],12),IF(Main[[#This Row],[Class]]="A",WORKDAY(Main[[#This Row],[Tech Start Date]],4),""))))</f>
        <v>40876</v>
      </c>
      <c r="O1449" s="69">
        <f>IF(Main[[#This Row],[Tech Start Date]]&lt;1/1/1990,"",IF(Main[[#This Row],[Class]]="C",WORKDAY(Main[[#This Row],[Tech Start Date]],23),IF(Main[[#This Row],[Class]]="B", WORKDAY(Main[[#This Row],[Tech Start Date]],15),IF(Main[[#This Row],[Class]]="A",WORKDAY(Main[[#This Row],[Tech Start Date]],5),""))))</f>
        <v>40882</v>
      </c>
      <c r="P1449" s="69">
        <f>IF(Main[[#This Row],[Tech Start Date]]&lt;1/1/1990,"",IF(Main[[#This Row],[Class]]="C",WORKDAY(Main[[#This Row],[Tech Start Date]],28),IF(Main[[#This Row],[Class]]="B", WORKDAY(Main[[#This Row],[Tech Start Date]],19),IF(Main[[#This Row],[Class]]="A",WORKDAY(Main[[#This Row],[Tech Start Date]],9),""))))</f>
        <v>40889</v>
      </c>
      <c r="Q1449" s="67">
        <v>40880</v>
      </c>
      <c r="R1449" s="67"/>
      <c r="S1449" s="65" t="s">
        <v>11</v>
      </c>
      <c r="T1449" s="70" t="s">
        <v>3846</v>
      </c>
      <c r="U1449" s="65" t="s">
        <v>14</v>
      </c>
      <c r="V1449" s="65" t="s">
        <v>1920</v>
      </c>
      <c r="W1449" s="65" t="s">
        <v>1925</v>
      </c>
      <c r="X1449" s="65" t="s">
        <v>2910</v>
      </c>
      <c r="Y1449" s="65" t="s">
        <v>3163</v>
      </c>
      <c r="Z1449" s="65" t="s">
        <v>530</v>
      </c>
      <c r="AA1449" s="65" t="s">
        <v>2910</v>
      </c>
    </row>
    <row r="1450" spans="1:27" ht="17.45" customHeight="1">
      <c r="A1450" s="131" t="str">
        <f>IF(priority(Main[[#This Row],[Comments]])&lt;&gt;0, priority(Main[[#This Row],[Comments]]),"")</f>
        <v/>
      </c>
      <c r="B1450" s="99" t="s">
        <v>2569</v>
      </c>
      <c r="C1450" s="65" t="s">
        <v>2570</v>
      </c>
      <c r="D1450" s="66" t="s">
        <v>3185</v>
      </c>
      <c r="E1450" s="67">
        <v>40821.398842592593</v>
      </c>
      <c r="F1450" s="67">
        <v>41182</v>
      </c>
      <c r="G1450" s="64">
        <f>IF(stdProdLT(Main[[#This Row],[Comments]])=0.1,"N/A",IF(stdProdLT(Main[[#This Row],[Comments]])=0,"",stdProdLT(Main[[#This Row],[Comments]])))</f>
        <v>210</v>
      </c>
      <c r="H1450" s="68" t="str">
        <f>IF(AND(Main[[#This Row],[In Stock Date]]&lt;&gt;"",Main[[#This Row],[Revised Due Date]]&lt;&gt;""),Main[[#This Row],[In Stock Date]]-Main[[#This Row],[Revised Due Date]],"")</f>
        <v/>
      </c>
      <c r="I1450" s="65" t="s">
        <v>4</v>
      </c>
      <c r="J1450" s="65" t="s">
        <v>4</v>
      </c>
      <c r="K1450" s="65" t="s">
        <v>1930</v>
      </c>
      <c r="L1450" s="67">
        <v>40850</v>
      </c>
      <c r="M1450" s="69">
        <f>IF(Main[[#This Row],[Tech Start Date]]&lt;1/1/1990,"",IF(Main[[#This Row],[Class]]="C",WORKDAY(Main[[#This Row],[Tech Start Date]],9),IF(Main[[#This Row],[Class]]="B", WORKDAY(Main[[#This Row],[Tech Start Date]],6),IF(Main[[#This Row],[Class]]="A",WORKDAY(Main[[#This Row],[Tech Start Date]],2),""))))</f>
        <v>40863</v>
      </c>
      <c r="N1450" s="69">
        <f>IF(Main[[#This Row],[Tech Start Date]]&lt;1/1/1990,"",IF(Main[[#This Row],[Class]]="C",WORKDAY(Main[[#This Row],[Tech Start Date]],19),IF(Main[[#This Row],[Class]]="B", WORKDAY(Main[[#This Row],[Tech Start Date]],12),IF(Main[[#This Row],[Class]]="A",WORKDAY(Main[[#This Row],[Tech Start Date]],4),""))))</f>
        <v>40877</v>
      </c>
      <c r="O1450" s="69">
        <f>IF(Main[[#This Row],[Tech Start Date]]&lt;1/1/1990,"",IF(Main[[#This Row],[Class]]="C",WORKDAY(Main[[#This Row],[Tech Start Date]],23),IF(Main[[#This Row],[Class]]="B", WORKDAY(Main[[#This Row],[Tech Start Date]],15),IF(Main[[#This Row],[Class]]="A",WORKDAY(Main[[#This Row],[Tech Start Date]],5),""))))</f>
        <v>40883</v>
      </c>
      <c r="P1450" s="69">
        <f>IF(Main[[#This Row],[Tech Start Date]]&lt;1/1/1990,"",IF(Main[[#This Row],[Class]]="C",WORKDAY(Main[[#This Row],[Tech Start Date]],28),IF(Main[[#This Row],[Class]]="B", WORKDAY(Main[[#This Row],[Tech Start Date]],19),IF(Main[[#This Row],[Class]]="A",WORKDAY(Main[[#This Row],[Tech Start Date]],9),""))))</f>
        <v>40890</v>
      </c>
      <c r="Q1450" s="67">
        <v>40872</v>
      </c>
      <c r="R1450" s="67"/>
      <c r="S1450" s="65" t="s">
        <v>11</v>
      </c>
      <c r="T1450" s="70" t="s">
        <v>3322</v>
      </c>
      <c r="U1450" s="65" t="s">
        <v>534</v>
      </c>
      <c r="V1450" s="65" t="s">
        <v>1920</v>
      </c>
      <c r="W1450" s="65" t="s">
        <v>1922</v>
      </c>
      <c r="X1450" s="65" t="s">
        <v>2835</v>
      </c>
      <c r="Y1450" s="65" t="s">
        <v>2957</v>
      </c>
      <c r="Z1450" s="65" t="s">
        <v>4</v>
      </c>
      <c r="AA1450" s="65" t="s">
        <v>2835</v>
      </c>
    </row>
    <row r="1451" spans="1:27" ht="17.45" customHeight="1">
      <c r="A1451" s="131" t="str">
        <f>IF(priority(Main[[#This Row],[Comments]])&lt;&gt;0, priority(Main[[#This Row],[Comments]]),"")</f>
        <v/>
      </c>
      <c r="B1451" s="99" t="s">
        <v>1678</v>
      </c>
      <c r="C1451" s="65" t="s">
        <v>4</v>
      </c>
      <c r="D1451" s="66" t="s">
        <v>2651</v>
      </c>
      <c r="E1451" s="67">
        <v>40647.529861111114</v>
      </c>
      <c r="F1451" s="67"/>
      <c r="G1451" s="64" t="str">
        <f>IF(stdProdLT(Main[[#This Row],[Comments]])=0.1,"N/A",IF(stdProdLT(Main[[#This Row],[Comments]])=0,"",stdProdLT(Main[[#This Row],[Comments]])))</f>
        <v/>
      </c>
      <c r="H1451" s="68" t="str">
        <f>IF(AND(Main[[#This Row],[In Stock Date]]&lt;&gt;"",Main[[#This Row],[Revised Due Date]]&lt;&gt;""),Main[[#This Row],[In Stock Date]]-Main[[#This Row],[Revised Due Date]],"")</f>
        <v/>
      </c>
      <c r="I1451" s="65" t="s">
        <v>879</v>
      </c>
      <c r="J1451" s="65" t="s">
        <v>4</v>
      </c>
      <c r="K1451" s="65" t="s">
        <v>1926</v>
      </c>
      <c r="L1451" s="67">
        <v>40856</v>
      </c>
      <c r="M1451" s="69">
        <f>IF(Main[[#This Row],[Tech Start Date]]&lt;1/1/1990,"",IF(Main[[#This Row],[Class]]="C",WORKDAY(Main[[#This Row],[Tech Start Date]],9),IF(Main[[#This Row],[Class]]="B", WORKDAY(Main[[#This Row],[Tech Start Date]],6),IF(Main[[#This Row],[Class]]="A",WORKDAY(Main[[#This Row],[Tech Start Date]],2),""))))</f>
        <v>40858</v>
      </c>
      <c r="N1451" s="69">
        <f>IF(Main[[#This Row],[Tech Start Date]]&lt;1/1/1990,"",IF(Main[[#This Row],[Class]]="C",WORKDAY(Main[[#This Row],[Tech Start Date]],19),IF(Main[[#This Row],[Class]]="B", WORKDAY(Main[[#This Row],[Tech Start Date]],12),IF(Main[[#This Row],[Class]]="A",WORKDAY(Main[[#This Row],[Tech Start Date]],4),""))))</f>
        <v>40862</v>
      </c>
      <c r="O1451" s="69">
        <f>IF(Main[[#This Row],[Tech Start Date]]&lt;1/1/1990,"",IF(Main[[#This Row],[Class]]="C",WORKDAY(Main[[#This Row],[Tech Start Date]],23),IF(Main[[#This Row],[Class]]="B", WORKDAY(Main[[#This Row],[Tech Start Date]],15),IF(Main[[#This Row],[Class]]="A",WORKDAY(Main[[#This Row],[Tech Start Date]],5),""))))</f>
        <v>40863</v>
      </c>
      <c r="P1451" s="69">
        <f>IF(Main[[#This Row],[Tech Start Date]]&lt;1/1/1990,"",IF(Main[[#This Row],[Class]]="C",WORKDAY(Main[[#This Row],[Tech Start Date]],28),IF(Main[[#This Row],[Class]]="B", WORKDAY(Main[[#This Row],[Tech Start Date]],19),IF(Main[[#This Row],[Class]]="A",WORKDAY(Main[[#This Row],[Tech Start Date]],9),""))))</f>
        <v>40869</v>
      </c>
      <c r="Q1451" s="67">
        <v>40877</v>
      </c>
      <c r="R1451" s="67">
        <v>40883</v>
      </c>
      <c r="S1451" s="65" t="s">
        <v>6</v>
      </c>
      <c r="T1451" s="70" t="s">
        <v>2652</v>
      </c>
      <c r="U1451" s="65" t="s">
        <v>29</v>
      </c>
      <c r="V1451" s="65" t="s">
        <v>1917</v>
      </c>
      <c r="W1451" s="65" t="s">
        <v>1919</v>
      </c>
      <c r="X1451" s="65" t="s">
        <v>924</v>
      </c>
      <c r="Y1451" s="65" t="s">
        <v>2988</v>
      </c>
      <c r="Z1451" s="65" t="s">
        <v>129</v>
      </c>
      <c r="AA1451" s="65" t="s">
        <v>924</v>
      </c>
    </row>
    <row r="1452" spans="1:27" ht="17.45" customHeight="1">
      <c r="A1452" s="131" t="str">
        <f>IF(priority(Main[[#This Row],[Comments]])&lt;&gt;0, priority(Main[[#This Row],[Comments]]),"")</f>
        <v/>
      </c>
      <c r="B1452" s="99" t="s">
        <v>2653</v>
      </c>
      <c r="C1452" s="65" t="s">
        <v>4</v>
      </c>
      <c r="D1452" s="66" t="s">
        <v>2654</v>
      </c>
      <c r="E1452" s="67">
        <v>40864.413506944446</v>
      </c>
      <c r="F1452" s="67"/>
      <c r="G1452" s="64" t="str">
        <f>IF(stdProdLT(Main[[#This Row],[Comments]])=0.1,"N/A",IF(stdProdLT(Main[[#This Row],[Comments]])=0,"",stdProdLT(Main[[#This Row],[Comments]])))</f>
        <v/>
      </c>
      <c r="H1452" s="68" t="str">
        <f>IF(AND(Main[[#This Row],[In Stock Date]]&lt;&gt;"",Main[[#This Row],[Revised Due Date]]&lt;&gt;""),Main[[#This Row],[In Stock Date]]-Main[[#This Row],[Revised Due Date]],"")</f>
        <v/>
      </c>
      <c r="I1452" s="65" t="s">
        <v>943</v>
      </c>
      <c r="J1452" s="65" t="s">
        <v>28</v>
      </c>
      <c r="K1452" s="65" t="s">
        <v>1926</v>
      </c>
      <c r="L1452" s="67">
        <v>40864</v>
      </c>
      <c r="M1452" s="69">
        <f>IF(Main[[#This Row],[Tech Start Date]]&lt;1/1/1990,"",IF(Main[[#This Row],[Class]]="C",WORKDAY(Main[[#This Row],[Tech Start Date]],9),IF(Main[[#This Row],[Class]]="B", WORKDAY(Main[[#This Row],[Tech Start Date]],6),IF(Main[[#This Row],[Class]]="A",WORKDAY(Main[[#This Row],[Tech Start Date]],2),""))))</f>
        <v>40868</v>
      </c>
      <c r="N1452" s="69">
        <f>IF(Main[[#This Row],[Tech Start Date]]&lt;1/1/1990,"",IF(Main[[#This Row],[Class]]="C",WORKDAY(Main[[#This Row],[Tech Start Date]],19),IF(Main[[#This Row],[Class]]="B", WORKDAY(Main[[#This Row],[Tech Start Date]],12),IF(Main[[#This Row],[Class]]="A",WORKDAY(Main[[#This Row],[Tech Start Date]],4),""))))</f>
        <v>40870</v>
      </c>
      <c r="O1452" s="69">
        <f>IF(Main[[#This Row],[Tech Start Date]]&lt;1/1/1990,"",IF(Main[[#This Row],[Class]]="C",WORKDAY(Main[[#This Row],[Tech Start Date]],23),IF(Main[[#This Row],[Class]]="B", WORKDAY(Main[[#This Row],[Tech Start Date]],15),IF(Main[[#This Row],[Class]]="A",WORKDAY(Main[[#This Row],[Tech Start Date]],5),""))))</f>
        <v>40871</v>
      </c>
      <c r="P1452" s="69">
        <f>IF(Main[[#This Row],[Tech Start Date]]&lt;1/1/1990,"",IF(Main[[#This Row],[Class]]="C",WORKDAY(Main[[#This Row],[Tech Start Date]],28),IF(Main[[#This Row],[Class]]="B", WORKDAY(Main[[#This Row],[Tech Start Date]],19),IF(Main[[#This Row],[Class]]="A",WORKDAY(Main[[#This Row],[Tech Start Date]],9),""))))</f>
        <v>40877</v>
      </c>
      <c r="Q1452" s="67"/>
      <c r="R1452" s="67">
        <v>40877</v>
      </c>
      <c r="S1452" s="65" t="s">
        <v>6</v>
      </c>
      <c r="T1452" s="70" t="s">
        <v>4</v>
      </c>
      <c r="U1452" s="65" t="s">
        <v>29</v>
      </c>
      <c r="V1452" s="65" t="s">
        <v>1918</v>
      </c>
      <c r="W1452" s="65" t="s">
        <v>1921</v>
      </c>
      <c r="X1452" s="65" t="s">
        <v>943</v>
      </c>
      <c r="Y1452" s="65" t="s">
        <v>3001</v>
      </c>
      <c r="Z1452" s="65" t="s">
        <v>2056</v>
      </c>
      <c r="AA1452" s="65" t="s">
        <v>943</v>
      </c>
    </row>
    <row r="1453" spans="1:27" ht="17.45" customHeight="1">
      <c r="A1453" s="131" t="str">
        <f>IF(priority(Main[[#This Row],[Comments]])&lt;&gt;0, priority(Main[[#This Row],[Comments]]),"")</f>
        <v/>
      </c>
      <c r="B1453" s="99" t="s">
        <v>2660</v>
      </c>
      <c r="C1453" s="65" t="s">
        <v>72</v>
      </c>
      <c r="D1453" s="66" t="s">
        <v>2673</v>
      </c>
      <c r="E1453" s="67"/>
      <c r="F1453" s="67"/>
      <c r="G1453" s="64" t="str">
        <f>IF(stdProdLT(Main[[#This Row],[Comments]])=0.1,"N/A",IF(stdProdLT(Main[[#This Row],[Comments]])=0,"",stdProdLT(Main[[#This Row],[Comments]])))</f>
        <v/>
      </c>
      <c r="H1453" s="68" t="str">
        <f>IF(AND(Main[[#This Row],[In Stock Date]]&lt;&gt;"",Main[[#This Row],[Revised Due Date]]&lt;&gt;""),Main[[#This Row],[In Stock Date]]-Main[[#This Row],[Revised Due Date]],"")</f>
        <v/>
      </c>
      <c r="I1453" s="65" t="s">
        <v>2254</v>
      </c>
      <c r="J1453" s="65" t="s">
        <v>28</v>
      </c>
      <c r="K1453" s="65" t="s">
        <v>1926</v>
      </c>
      <c r="L1453" s="67">
        <v>40869</v>
      </c>
      <c r="M1453" s="69">
        <f>IF(Main[[#This Row],[Tech Start Date]]&lt;1/1/1990,"",IF(Main[[#This Row],[Class]]="C",WORKDAY(Main[[#This Row],[Tech Start Date]],9),IF(Main[[#This Row],[Class]]="B", WORKDAY(Main[[#This Row],[Tech Start Date]],6),IF(Main[[#This Row],[Class]]="A",WORKDAY(Main[[#This Row],[Tech Start Date]],2),""))))</f>
        <v>40871</v>
      </c>
      <c r="N1453" s="69">
        <f>IF(Main[[#This Row],[Tech Start Date]]&lt;1/1/1990,"",IF(Main[[#This Row],[Class]]="C",WORKDAY(Main[[#This Row],[Tech Start Date]],19),IF(Main[[#This Row],[Class]]="B", WORKDAY(Main[[#This Row],[Tech Start Date]],12),IF(Main[[#This Row],[Class]]="A",WORKDAY(Main[[#This Row],[Tech Start Date]],4),""))))</f>
        <v>40875</v>
      </c>
      <c r="O1453" s="69">
        <f>IF(Main[[#This Row],[Tech Start Date]]&lt;1/1/1990,"",IF(Main[[#This Row],[Class]]="C",WORKDAY(Main[[#This Row],[Tech Start Date]],23),IF(Main[[#This Row],[Class]]="B", WORKDAY(Main[[#This Row],[Tech Start Date]],15),IF(Main[[#This Row],[Class]]="A",WORKDAY(Main[[#This Row],[Tech Start Date]],5),""))))</f>
        <v>40876</v>
      </c>
      <c r="P1453" s="69">
        <f>IF(Main[[#This Row],[Tech Start Date]]&lt;1/1/1990,"",IF(Main[[#This Row],[Class]]="C",WORKDAY(Main[[#This Row],[Tech Start Date]],28),IF(Main[[#This Row],[Class]]="B", WORKDAY(Main[[#This Row],[Tech Start Date]],19),IF(Main[[#This Row],[Class]]="A",WORKDAY(Main[[#This Row],[Tech Start Date]],9),""))))</f>
        <v>40882</v>
      </c>
      <c r="Q1453" s="67">
        <v>40882</v>
      </c>
      <c r="R1453" s="67"/>
      <c r="S1453" s="65" t="s">
        <v>11</v>
      </c>
      <c r="T1453" s="70" t="s">
        <v>4</v>
      </c>
      <c r="U1453" s="65" t="s">
        <v>14</v>
      </c>
      <c r="V1453" s="65" t="s">
        <v>1918</v>
      </c>
      <c r="W1453" s="65" t="s">
        <v>1919</v>
      </c>
      <c r="X1453" s="65" t="s">
        <v>2896</v>
      </c>
      <c r="Y1453" s="65" t="s">
        <v>3053</v>
      </c>
      <c r="Z1453" s="65" t="s">
        <v>2056</v>
      </c>
      <c r="AA1453" s="65" t="s">
        <v>2896</v>
      </c>
    </row>
    <row r="1454" spans="1:27" ht="17.45" customHeight="1">
      <c r="A1454" s="131" t="str">
        <f>IF(priority(Main[[#This Row],[Comments]])&lt;&gt;0, priority(Main[[#This Row],[Comments]]),"")</f>
        <v/>
      </c>
      <c r="B1454" s="99" t="s">
        <v>2658</v>
      </c>
      <c r="C1454" s="65" t="s">
        <v>72</v>
      </c>
      <c r="D1454" s="66" t="s">
        <v>2659</v>
      </c>
      <c r="E1454" s="67"/>
      <c r="F1454" s="67"/>
      <c r="G1454" s="64" t="str">
        <f>IF(stdProdLT(Main[[#This Row],[Comments]])=0.1,"N/A",IF(stdProdLT(Main[[#This Row],[Comments]])=0,"",stdProdLT(Main[[#This Row],[Comments]])))</f>
        <v/>
      </c>
      <c r="H1454" s="68" t="str">
        <f>IF(AND(Main[[#This Row],[In Stock Date]]&lt;&gt;"",Main[[#This Row],[Revised Due Date]]&lt;&gt;""),Main[[#This Row],[In Stock Date]]-Main[[#This Row],[Revised Due Date]],"")</f>
        <v/>
      </c>
      <c r="I1454" s="65" t="s">
        <v>2630</v>
      </c>
      <c r="J1454" s="65" t="s">
        <v>28</v>
      </c>
      <c r="K1454" s="65" t="s">
        <v>1926</v>
      </c>
      <c r="L1454" s="67">
        <v>40869</v>
      </c>
      <c r="M1454" s="69">
        <f>IF(Main[[#This Row],[Tech Start Date]]&lt;1/1/1990,"",IF(Main[[#This Row],[Class]]="C",WORKDAY(Main[[#This Row],[Tech Start Date]],9),IF(Main[[#This Row],[Class]]="B", WORKDAY(Main[[#This Row],[Tech Start Date]],6),IF(Main[[#This Row],[Class]]="A",WORKDAY(Main[[#This Row],[Tech Start Date]],2),""))))</f>
        <v>40871</v>
      </c>
      <c r="N1454" s="69">
        <f>IF(Main[[#This Row],[Tech Start Date]]&lt;1/1/1990,"",IF(Main[[#This Row],[Class]]="C",WORKDAY(Main[[#This Row],[Tech Start Date]],19),IF(Main[[#This Row],[Class]]="B", WORKDAY(Main[[#This Row],[Tech Start Date]],12),IF(Main[[#This Row],[Class]]="A",WORKDAY(Main[[#This Row],[Tech Start Date]],4),""))))</f>
        <v>40875</v>
      </c>
      <c r="O1454" s="69">
        <f>IF(Main[[#This Row],[Tech Start Date]]&lt;1/1/1990,"",IF(Main[[#This Row],[Class]]="C",WORKDAY(Main[[#This Row],[Tech Start Date]],23),IF(Main[[#This Row],[Class]]="B", WORKDAY(Main[[#This Row],[Tech Start Date]],15),IF(Main[[#This Row],[Class]]="A",WORKDAY(Main[[#This Row],[Tech Start Date]],5),""))))</f>
        <v>40876</v>
      </c>
      <c r="P1454" s="69">
        <f>IF(Main[[#This Row],[Tech Start Date]]&lt;1/1/1990,"",IF(Main[[#This Row],[Class]]="C",WORKDAY(Main[[#This Row],[Tech Start Date]],28),IF(Main[[#This Row],[Class]]="B", WORKDAY(Main[[#This Row],[Tech Start Date]],19),IF(Main[[#This Row],[Class]]="A",WORKDAY(Main[[#This Row],[Tech Start Date]],9),""))))</f>
        <v>40882</v>
      </c>
      <c r="Q1454" s="67">
        <v>40882</v>
      </c>
      <c r="R1454" s="67">
        <v>40882</v>
      </c>
      <c r="S1454" s="65" t="s">
        <v>11</v>
      </c>
      <c r="T1454" s="70" t="s">
        <v>4</v>
      </c>
      <c r="U1454" s="65" t="s">
        <v>14</v>
      </c>
      <c r="V1454" s="65" t="s">
        <v>1918</v>
      </c>
      <c r="W1454" s="65" t="s">
        <v>1919</v>
      </c>
      <c r="X1454" s="65" t="s">
        <v>2896</v>
      </c>
      <c r="Y1454" s="65" t="s">
        <v>3053</v>
      </c>
      <c r="Z1454" s="65" t="s">
        <v>2056</v>
      </c>
      <c r="AA1454" s="65" t="s">
        <v>2896</v>
      </c>
    </row>
    <row r="1455" spans="1:27" ht="17.45" customHeight="1">
      <c r="A1455" s="131" t="str">
        <f>IF(priority(Main[[#This Row],[Comments]])&lt;&gt;0, priority(Main[[#This Row],[Comments]]),"")</f>
        <v/>
      </c>
      <c r="B1455" s="99" t="s">
        <v>2655</v>
      </c>
      <c r="C1455" s="65" t="s">
        <v>72</v>
      </c>
      <c r="D1455" s="66" t="s">
        <v>2656</v>
      </c>
      <c r="E1455" s="67"/>
      <c r="F1455" s="67"/>
      <c r="G1455" s="64" t="str">
        <f>IF(stdProdLT(Main[[#This Row],[Comments]])=0.1,"N/A",IF(stdProdLT(Main[[#This Row],[Comments]])=0,"",stdProdLT(Main[[#This Row],[Comments]])))</f>
        <v/>
      </c>
      <c r="H1455" s="68" t="str">
        <f>IF(AND(Main[[#This Row],[In Stock Date]]&lt;&gt;"",Main[[#This Row],[Revised Due Date]]&lt;&gt;""),Main[[#This Row],[In Stock Date]]-Main[[#This Row],[Revised Due Date]],"")</f>
        <v/>
      </c>
      <c r="I1455" s="65" t="s">
        <v>2630</v>
      </c>
      <c r="J1455" s="65" t="s">
        <v>28</v>
      </c>
      <c r="K1455" s="65" t="s">
        <v>1926</v>
      </c>
      <c r="L1455" s="67">
        <v>40869</v>
      </c>
      <c r="M1455" s="69">
        <f>IF(Main[[#This Row],[Tech Start Date]]&lt;1/1/1990,"",IF(Main[[#This Row],[Class]]="C",WORKDAY(Main[[#This Row],[Tech Start Date]],9),IF(Main[[#This Row],[Class]]="B", WORKDAY(Main[[#This Row],[Tech Start Date]],6),IF(Main[[#This Row],[Class]]="A",WORKDAY(Main[[#This Row],[Tech Start Date]],2),""))))</f>
        <v>40871</v>
      </c>
      <c r="N1455" s="69">
        <f>IF(Main[[#This Row],[Tech Start Date]]&lt;1/1/1990,"",IF(Main[[#This Row],[Class]]="C",WORKDAY(Main[[#This Row],[Tech Start Date]],19),IF(Main[[#This Row],[Class]]="B", WORKDAY(Main[[#This Row],[Tech Start Date]],12),IF(Main[[#This Row],[Class]]="A",WORKDAY(Main[[#This Row],[Tech Start Date]],4),""))))</f>
        <v>40875</v>
      </c>
      <c r="O1455" s="69">
        <f>IF(Main[[#This Row],[Tech Start Date]]&lt;1/1/1990,"",IF(Main[[#This Row],[Class]]="C",WORKDAY(Main[[#This Row],[Tech Start Date]],23),IF(Main[[#This Row],[Class]]="B", WORKDAY(Main[[#This Row],[Tech Start Date]],15),IF(Main[[#This Row],[Class]]="A",WORKDAY(Main[[#This Row],[Tech Start Date]],5),""))))</f>
        <v>40876</v>
      </c>
      <c r="P1455" s="69">
        <f>IF(Main[[#This Row],[Tech Start Date]]&lt;1/1/1990,"",IF(Main[[#This Row],[Class]]="C",WORKDAY(Main[[#This Row],[Tech Start Date]],28),IF(Main[[#This Row],[Class]]="B", WORKDAY(Main[[#This Row],[Tech Start Date]],19),IF(Main[[#This Row],[Class]]="A",WORKDAY(Main[[#This Row],[Tech Start Date]],9),""))))</f>
        <v>40882</v>
      </c>
      <c r="Q1455" s="67">
        <v>40882</v>
      </c>
      <c r="R1455" s="67">
        <v>40882</v>
      </c>
      <c r="S1455" s="65" t="s">
        <v>17</v>
      </c>
      <c r="T1455" s="70" t="s">
        <v>4</v>
      </c>
      <c r="U1455" s="65" t="s">
        <v>14</v>
      </c>
      <c r="V1455" s="65" t="s">
        <v>1918</v>
      </c>
      <c r="W1455" s="65" t="s">
        <v>1919</v>
      </c>
      <c r="X1455" s="65" t="s">
        <v>2896</v>
      </c>
      <c r="Y1455" s="65" t="s">
        <v>3053</v>
      </c>
      <c r="Z1455" s="65" t="s">
        <v>2056</v>
      </c>
      <c r="AA1455" s="65" t="s">
        <v>2896</v>
      </c>
    </row>
    <row r="1456" spans="1:27" ht="17.45" customHeight="1">
      <c r="A1456" s="131" t="str">
        <f>IF(priority(Main[[#This Row],[Comments]])&lt;&gt;0, priority(Main[[#This Row],[Comments]]),"")</f>
        <v/>
      </c>
      <c r="B1456" s="99" t="s">
        <v>1229</v>
      </c>
      <c r="C1456" s="65" t="s">
        <v>33</v>
      </c>
      <c r="D1456" s="66" t="s">
        <v>3853</v>
      </c>
      <c r="E1456" s="67">
        <v>40603.336435185185</v>
      </c>
      <c r="F1456" s="67">
        <v>40632</v>
      </c>
      <c r="G1456" s="64" t="str">
        <f>IF(stdProdLT(Main[[#This Row],[Comments]])=0.1,"N/A",IF(stdProdLT(Main[[#This Row],[Comments]])=0,"",stdProdLT(Main[[#This Row],[Comments]])))</f>
        <v/>
      </c>
      <c r="H1456" s="68">
        <f>IF(AND(Main[[#This Row],[In Stock Date]]&lt;&gt;"",Main[[#This Row],[Revised Due Date]]&lt;&gt;""),Main[[#This Row],[In Stock Date]]-Main[[#This Row],[Revised Due Date]],"")</f>
        <v>-351</v>
      </c>
      <c r="I1456" s="65" t="s">
        <v>891</v>
      </c>
      <c r="J1456" s="65" t="s">
        <v>28</v>
      </c>
      <c r="K1456" s="65" t="s">
        <v>1929</v>
      </c>
      <c r="L1456" s="67">
        <v>40878</v>
      </c>
      <c r="M1456" s="69" t="str">
        <f>IF(Main[[#This Row],[Tech Start Date]]&lt;1/1/1990,"",IF(Main[[#This Row],[Class]]="C",WORKDAY(Main[[#This Row],[Tech Start Date]],9),IF(Main[[#This Row],[Class]]="B", WORKDAY(Main[[#This Row],[Tech Start Date]],6),IF(Main[[#This Row],[Class]]="A",WORKDAY(Main[[#This Row],[Tech Start Date]],2),""))))</f>
        <v/>
      </c>
      <c r="N1456" s="69" t="str">
        <f>IF(Main[[#This Row],[Tech Start Date]]&lt;1/1/1990,"",IF(Main[[#This Row],[Class]]="C",WORKDAY(Main[[#This Row],[Tech Start Date]],19),IF(Main[[#This Row],[Class]]="B", WORKDAY(Main[[#This Row],[Tech Start Date]],12),IF(Main[[#This Row],[Class]]="A",WORKDAY(Main[[#This Row],[Tech Start Date]],4),""))))</f>
        <v/>
      </c>
      <c r="O1456" s="69" t="str">
        <f>IF(Main[[#This Row],[Tech Start Date]]&lt;1/1/1990,"",IF(Main[[#This Row],[Class]]="C",WORKDAY(Main[[#This Row],[Tech Start Date]],23),IF(Main[[#This Row],[Class]]="B", WORKDAY(Main[[#This Row],[Tech Start Date]],15),IF(Main[[#This Row],[Class]]="A",WORKDAY(Main[[#This Row],[Tech Start Date]],5),""))))</f>
        <v/>
      </c>
      <c r="P1456" s="69" t="str">
        <f>IF(Main[[#This Row],[Tech Start Date]]&lt;1/1/1990,"",IF(Main[[#This Row],[Class]]="C",WORKDAY(Main[[#This Row],[Tech Start Date]],28),IF(Main[[#This Row],[Class]]="B", WORKDAY(Main[[#This Row],[Tech Start Date]],19),IF(Main[[#This Row],[Class]]="A",WORKDAY(Main[[#This Row],[Tech Start Date]],9),""))))</f>
        <v/>
      </c>
      <c r="Q1456" s="67">
        <v>40612</v>
      </c>
      <c r="R1456" s="67">
        <v>40983</v>
      </c>
      <c r="S1456" s="65" t="s">
        <v>17</v>
      </c>
      <c r="T1456" s="70" t="s">
        <v>4</v>
      </c>
      <c r="U1456" s="65" t="s">
        <v>29</v>
      </c>
      <c r="V1456" s="65" t="s">
        <v>1917</v>
      </c>
      <c r="W1456" s="65" t="s">
        <v>1922</v>
      </c>
      <c r="X1456" s="65" t="s">
        <v>2881</v>
      </c>
      <c r="Y1456" s="65" t="s">
        <v>3027</v>
      </c>
      <c r="Z1456" s="65" t="s">
        <v>879</v>
      </c>
      <c r="AA1456" s="65" t="s">
        <v>2881</v>
      </c>
    </row>
    <row r="1457" spans="1:27" ht="17.45" customHeight="1">
      <c r="A1457" s="131" t="str">
        <f>IF(priority(Main[[#This Row],[Comments]])&lt;&gt;0, priority(Main[[#This Row],[Comments]]),"")</f>
        <v/>
      </c>
      <c r="B1457" s="99" t="s">
        <v>2572</v>
      </c>
      <c r="C1457" s="65" t="s">
        <v>2573</v>
      </c>
      <c r="D1457" s="66" t="s">
        <v>2812</v>
      </c>
      <c r="E1457" s="67">
        <v>40857.997499999998</v>
      </c>
      <c r="F1457" s="67"/>
      <c r="G1457" s="64">
        <f>IF(stdProdLT(Main[[#This Row],[Comments]])=0.1,"N/A",IF(stdProdLT(Main[[#This Row],[Comments]])=0,"",stdProdLT(Main[[#This Row],[Comments]])))</f>
        <v>140</v>
      </c>
      <c r="H1457" s="68" t="str">
        <f>IF(AND(Main[[#This Row],[In Stock Date]]&lt;&gt;"",Main[[#This Row],[Revised Due Date]]&lt;&gt;""),Main[[#This Row],[In Stock Date]]-Main[[#This Row],[Revised Due Date]],"")</f>
        <v/>
      </c>
      <c r="I1457" s="65" t="s">
        <v>429</v>
      </c>
      <c r="J1457" s="65" t="s">
        <v>70</v>
      </c>
      <c r="K1457" s="65" t="s">
        <v>1926</v>
      </c>
      <c r="L1457" s="67">
        <v>40885</v>
      </c>
      <c r="M1457" s="69">
        <f>IF(Main[[#This Row],[Tech Start Date]]&lt;1/1/1990,"",IF(Main[[#This Row],[Class]]="C",WORKDAY(Main[[#This Row],[Tech Start Date]],9),IF(Main[[#This Row],[Class]]="B", WORKDAY(Main[[#This Row],[Tech Start Date]],6),IF(Main[[#This Row],[Class]]="A",WORKDAY(Main[[#This Row],[Tech Start Date]],2),""))))</f>
        <v>40889</v>
      </c>
      <c r="N1457" s="69">
        <f>IF(Main[[#This Row],[Tech Start Date]]&lt;1/1/1990,"",IF(Main[[#This Row],[Class]]="C",WORKDAY(Main[[#This Row],[Tech Start Date]],19),IF(Main[[#This Row],[Class]]="B", WORKDAY(Main[[#This Row],[Tech Start Date]],12),IF(Main[[#This Row],[Class]]="A",WORKDAY(Main[[#This Row],[Tech Start Date]],4),""))))</f>
        <v>40891</v>
      </c>
      <c r="O1457" s="69">
        <f>IF(Main[[#This Row],[Tech Start Date]]&lt;1/1/1990,"",IF(Main[[#This Row],[Class]]="C",WORKDAY(Main[[#This Row],[Tech Start Date]],23),IF(Main[[#This Row],[Class]]="B", WORKDAY(Main[[#This Row],[Tech Start Date]],15),IF(Main[[#This Row],[Class]]="A",WORKDAY(Main[[#This Row],[Tech Start Date]],5),""))))</f>
        <v>40892</v>
      </c>
      <c r="P1457" s="69">
        <f>IF(Main[[#This Row],[Tech Start Date]]&lt;1/1/1990,"",IF(Main[[#This Row],[Class]]="C",WORKDAY(Main[[#This Row],[Tech Start Date]],28),IF(Main[[#This Row],[Class]]="B", WORKDAY(Main[[#This Row],[Tech Start Date]],19),IF(Main[[#This Row],[Class]]="A",WORKDAY(Main[[#This Row],[Tech Start Date]],9),""))))</f>
        <v>40898</v>
      </c>
      <c r="Q1457" s="67">
        <v>40879</v>
      </c>
      <c r="R1457" s="67"/>
      <c r="S1457" s="65" t="s">
        <v>11</v>
      </c>
      <c r="T1457" s="70" t="s">
        <v>3854</v>
      </c>
      <c r="U1457" s="65" t="s">
        <v>29</v>
      </c>
      <c r="V1457" s="65" t="s">
        <v>1927</v>
      </c>
      <c r="W1457" s="65" t="s">
        <v>1925</v>
      </c>
      <c r="X1457" s="65" t="s">
        <v>2910</v>
      </c>
      <c r="Y1457" s="65" t="s">
        <v>4</v>
      </c>
      <c r="Z1457" s="65" t="s">
        <v>530</v>
      </c>
      <c r="AA1457" s="65" t="s">
        <v>2910</v>
      </c>
    </row>
    <row r="1458" spans="1:27" ht="17.45" customHeight="1">
      <c r="A1458" s="131" t="str">
        <f>IF(priority(Main[[#This Row],[Comments]])&lt;&gt;0, priority(Main[[#This Row],[Comments]]),"")</f>
        <v/>
      </c>
      <c r="B1458" s="99" t="s">
        <v>2813</v>
      </c>
      <c r="C1458" s="65" t="s">
        <v>2814</v>
      </c>
      <c r="D1458" s="66" t="s">
        <v>3186</v>
      </c>
      <c r="E1458" s="67">
        <v>40889.938506944447</v>
      </c>
      <c r="F1458" s="67">
        <v>41029</v>
      </c>
      <c r="G1458" s="64">
        <f>IF(stdProdLT(Main[[#This Row],[Comments]])=0.1,"N/A",IF(stdProdLT(Main[[#This Row],[Comments]])=0,"",stdProdLT(Main[[#This Row],[Comments]])))</f>
        <v>154</v>
      </c>
      <c r="H1458" s="68" t="str">
        <f>IF(AND(Main[[#This Row],[In Stock Date]]&lt;&gt;"",Main[[#This Row],[Revised Due Date]]&lt;&gt;""),Main[[#This Row],[In Stock Date]]-Main[[#This Row],[Revised Due Date]],"")</f>
        <v/>
      </c>
      <c r="I1458" s="65" t="s">
        <v>767</v>
      </c>
      <c r="J1458" s="65" t="s">
        <v>28</v>
      </c>
      <c r="K1458" s="65" t="s">
        <v>1924</v>
      </c>
      <c r="L1458" s="67">
        <v>40904</v>
      </c>
      <c r="M1458" s="69">
        <f>IF(Main[[#This Row],[Tech Start Date]]&lt;1/1/1990,"",IF(Main[[#This Row],[Class]]="C",WORKDAY(Main[[#This Row],[Tech Start Date]],9),IF(Main[[#This Row],[Class]]="B", WORKDAY(Main[[#This Row],[Tech Start Date]],6),IF(Main[[#This Row],[Class]]="A",WORKDAY(Main[[#This Row],[Tech Start Date]],2),""))))</f>
        <v>40912</v>
      </c>
      <c r="N1458" s="69">
        <f>IF(Main[[#This Row],[Tech Start Date]]&lt;1/1/1990,"",IF(Main[[#This Row],[Class]]="C",WORKDAY(Main[[#This Row],[Tech Start Date]],19),IF(Main[[#This Row],[Class]]="B", WORKDAY(Main[[#This Row],[Tech Start Date]],12),IF(Main[[#This Row],[Class]]="A",WORKDAY(Main[[#This Row],[Tech Start Date]],4),""))))</f>
        <v>40920</v>
      </c>
      <c r="O1458" s="69">
        <f>IF(Main[[#This Row],[Tech Start Date]]&lt;1/1/1990,"",IF(Main[[#This Row],[Class]]="C",WORKDAY(Main[[#This Row],[Tech Start Date]],23),IF(Main[[#This Row],[Class]]="B", WORKDAY(Main[[#This Row],[Tech Start Date]],15),IF(Main[[#This Row],[Class]]="A",WORKDAY(Main[[#This Row],[Tech Start Date]],5),""))))</f>
        <v>40925</v>
      </c>
      <c r="P1458" s="69">
        <f>IF(Main[[#This Row],[Tech Start Date]]&lt;1/1/1990,"",IF(Main[[#This Row],[Class]]="C",WORKDAY(Main[[#This Row],[Tech Start Date]],28),IF(Main[[#This Row],[Class]]="B", WORKDAY(Main[[#This Row],[Tech Start Date]],19),IF(Main[[#This Row],[Class]]="A",WORKDAY(Main[[#This Row],[Tech Start Date]],9),""))))</f>
        <v>40931</v>
      </c>
      <c r="Q1458" s="67">
        <v>40918</v>
      </c>
      <c r="R1458" s="67"/>
      <c r="S1458" s="65" t="s">
        <v>11</v>
      </c>
      <c r="T1458" s="70" t="s">
        <v>3323</v>
      </c>
      <c r="U1458" s="65" t="s">
        <v>534</v>
      </c>
      <c r="V1458" s="65" t="s">
        <v>1920</v>
      </c>
      <c r="W1458" s="65" t="s">
        <v>1922</v>
      </c>
      <c r="X1458" s="65" t="s">
        <v>2930</v>
      </c>
      <c r="Y1458" s="65" t="s">
        <v>4</v>
      </c>
      <c r="Z1458" s="65" t="s">
        <v>530</v>
      </c>
      <c r="AA1458" s="65" t="s">
        <v>2930</v>
      </c>
    </row>
    <row r="1459" spans="1:27" ht="17.45" customHeight="1">
      <c r="A1459" s="131" t="str">
        <f>IF(priority(Main[[#This Row],[Comments]])&lt;&gt;0, priority(Main[[#This Row],[Comments]]),"")</f>
        <v/>
      </c>
      <c r="B1459" s="99" t="s">
        <v>3179</v>
      </c>
      <c r="C1459" s="65" t="s">
        <v>3254</v>
      </c>
      <c r="D1459" s="66" t="s">
        <v>3324</v>
      </c>
      <c r="E1459" s="67"/>
      <c r="F1459" s="67">
        <v>41105</v>
      </c>
      <c r="G1459" s="64">
        <f>IF(stdProdLT(Main[[#This Row],[Comments]])=0.1,"N/A",IF(stdProdLT(Main[[#This Row],[Comments]])=0,"",stdProdLT(Main[[#This Row],[Comments]])))</f>
        <v>126</v>
      </c>
      <c r="H1459" s="68" t="str">
        <f>IF(AND(Main[[#This Row],[In Stock Date]]&lt;&gt;"",Main[[#This Row],[Revised Due Date]]&lt;&gt;""),Main[[#This Row],[In Stock Date]]-Main[[#This Row],[Revised Due Date]],"")</f>
        <v/>
      </c>
      <c r="I1459" s="65" t="s">
        <v>939</v>
      </c>
      <c r="J1459" s="65" t="s">
        <v>28</v>
      </c>
      <c r="K1459" s="65" t="s">
        <v>1924</v>
      </c>
      <c r="L1459" s="67">
        <v>40921</v>
      </c>
      <c r="M1459" s="69">
        <f>IF(Main[[#This Row],[Tech Start Date]]&lt;1/1/1990,"",IF(Main[[#This Row],[Class]]="C",WORKDAY(Main[[#This Row],[Tech Start Date]],9),IF(Main[[#This Row],[Class]]="B", WORKDAY(Main[[#This Row],[Tech Start Date]],6),IF(Main[[#This Row],[Class]]="A",WORKDAY(Main[[#This Row],[Tech Start Date]],2),""))))</f>
        <v>40931</v>
      </c>
      <c r="N1459" s="69">
        <f>IF(Main[[#This Row],[Tech Start Date]]&lt;1/1/1990,"",IF(Main[[#This Row],[Class]]="C",WORKDAY(Main[[#This Row],[Tech Start Date]],19),IF(Main[[#This Row],[Class]]="B", WORKDAY(Main[[#This Row],[Tech Start Date]],12),IF(Main[[#This Row],[Class]]="A",WORKDAY(Main[[#This Row],[Tech Start Date]],4),""))))</f>
        <v>40939</v>
      </c>
      <c r="O1459" s="69">
        <f>IF(Main[[#This Row],[Tech Start Date]]&lt;1/1/1990,"",IF(Main[[#This Row],[Class]]="C",WORKDAY(Main[[#This Row],[Tech Start Date]],23),IF(Main[[#This Row],[Class]]="B", WORKDAY(Main[[#This Row],[Tech Start Date]],15),IF(Main[[#This Row],[Class]]="A",WORKDAY(Main[[#This Row],[Tech Start Date]],5),""))))</f>
        <v>40942</v>
      </c>
      <c r="P1459" s="69">
        <f>IF(Main[[#This Row],[Tech Start Date]]&lt;1/1/1990,"",IF(Main[[#This Row],[Class]]="C",WORKDAY(Main[[#This Row],[Tech Start Date]],28),IF(Main[[#This Row],[Class]]="B", WORKDAY(Main[[#This Row],[Tech Start Date]],19),IF(Main[[#This Row],[Class]]="A",WORKDAY(Main[[#This Row],[Tech Start Date]],9),""))))</f>
        <v>40948</v>
      </c>
      <c r="Q1459" s="67">
        <v>41105</v>
      </c>
      <c r="R1459" s="67"/>
      <c r="S1459" s="65" t="s">
        <v>11</v>
      </c>
      <c r="T1459" s="70" t="s">
        <v>3325</v>
      </c>
      <c r="U1459" s="65" t="s">
        <v>14</v>
      </c>
      <c r="V1459" s="65" t="s">
        <v>1917</v>
      </c>
      <c r="W1459" s="65" t="s">
        <v>1928</v>
      </c>
      <c r="X1459" s="65" t="s">
        <v>2858</v>
      </c>
      <c r="Y1459" s="65" t="s">
        <v>2996</v>
      </c>
      <c r="Z1459" s="65" t="s">
        <v>129</v>
      </c>
      <c r="AA1459" s="65" t="s">
        <v>2858</v>
      </c>
    </row>
    <row r="1460" spans="1:27" ht="17.45" customHeight="1">
      <c r="A1460" s="131" t="str">
        <f>IF(priority(Main[[#This Row],[Comments]])&lt;&gt;0, priority(Main[[#This Row],[Comments]]),"")</f>
        <v/>
      </c>
      <c r="B1460" s="99" t="s">
        <v>3505</v>
      </c>
      <c r="C1460" s="65" t="s">
        <v>3506</v>
      </c>
      <c r="D1460" s="66" t="s">
        <v>3507</v>
      </c>
      <c r="E1460" s="67">
        <v>40899.057951388888</v>
      </c>
      <c r="F1460" s="67"/>
      <c r="G1460" s="64" t="str">
        <f>IF(stdProdLT(Main[[#This Row],[Comments]])=0.1,"N/A",IF(stdProdLT(Main[[#This Row],[Comments]])=0,"",stdProdLT(Main[[#This Row],[Comments]])))</f>
        <v>N/A</v>
      </c>
      <c r="H1460" s="68" t="str">
        <f>IF(AND(Main[[#This Row],[In Stock Date]]&lt;&gt;"",Main[[#This Row],[Revised Due Date]]&lt;&gt;""),Main[[#This Row],[In Stock Date]]-Main[[#This Row],[Revised Due Date]],"")</f>
        <v/>
      </c>
      <c r="I1460" s="65" t="s">
        <v>948</v>
      </c>
      <c r="J1460" s="65" t="s">
        <v>28</v>
      </c>
      <c r="K1460" s="71" t="s">
        <v>1930</v>
      </c>
      <c r="L1460" s="67">
        <v>40932</v>
      </c>
      <c r="M1460" s="69">
        <f>IF(Main[[#This Row],[Tech Start Date]]&lt;1/1/1990,"",IF(Main[[#This Row],[Class]]="C",WORKDAY(Main[[#This Row],[Tech Start Date]],9),IF(Main[[#This Row],[Class]]="B", WORKDAY(Main[[#This Row],[Tech Start Date]],6),IF(Main[[#This Row],[Class]]="A",WORKDAY(Main[[#This Row],[Tech Start Date]],2),""))))</f>
        <v>40945</v>
      </c>
      <c r="N1460" s="69">
        <f>IF(Main[[#This Row],[Tech Start Date]]&lt;1/1/1990,"",IF(Main[[#This Row],[Class]]="C",WORKDAY(Main[[#This Row],[Tech Start Date]],19),IF(Main[[#This Row],[Class]]="B", WORKDAY(Main[[#This Row],[Tech Start Date]],12),IF(Main[[#This Row],[Class]]="A",WORKDAY(Main[[#This Row],[Tech Start Date]],4),""))))</f>
        <v>40959</v>
      </c>
      <c r="O1460" s="69">
        <f>IF(Main[[#This Row],[Tech Start Date]]&lt;1/1/1990,"",IF(Main[[#This Row],[Class]]="C",WORKDAY(Main[[#This Row],[Tech Start Date]],23),IF(Main[[#This Row],[Class]]="B", WORKDAY(Main[[#This Row],[Tech Start Date]],15),IF(Main[[#This Row],[Class]]="A",WORKDAY(Main[[#This Row],[Tech Start Date]],5),""))))</f>
        <v>40963</v>
      </c>
      <c r="P1460" s="69">
        <f>IF(Main[[#This Row],[Tech Start Date]]&lt;1/1/1990,"",IF(Main[[#This Row],[Class]]="C",WORKDAY(Main[[#This Row],[Tech Start Date]],28),IF(Main[[#This Row],[Class]]="B", WORKDAY(Main[[#This Row],[Tech Start Date]],19),IF(Main[[#This Row],[Class]]="A",WORKDAY(Main[[#This Row],[Tech Start Date]],9),""))))</f>
        <v>40970</v>
      </c>
      <c r="Q1460" s="67">
        <v>40921</v>
      </c>
      <c r="R1460" s="67">
        <v>40968</v>
      </c>
      <c r="S1460" s="65" t="s">
        <v>17</v>
      </c>
      <c r="T1460" s="70" t="s">
        <v>3508</v>
      </c>
      <c r="U1460" s="65" t="s">
        <v>29</v>
      </c>
      <c r="V1460" s="65" t="s">
        <v>1918</v>
      </c>
      <c r="W1460" s="65" t="s">
        <v>1919</v>
      </c>
      <c r="X1460" s="65" t="s">
        <v>2841</v>
      </c>
      <c r="Y1460" s="65" t="s">
        <v>4</v>
      </c>
      <c r="Z1460" s="65" t="s">
        <v>2056</v>
      </c>
      <c r="AA1460" s="65" t="s">
        <v>2841</v>
      </c>
    </row>
    <row r="1461" spans="1:27" ht="17.45" customHeight="1">
      <c r="A1461" s="131" t="str">
        <f>IF(priority(Main[[#This Row],[Comments]])&lt;&gt;0, priority(Main[[#This Row],[Comments]]),"")</f>
        <v/>
      </c>
      <c r="B1461" s="99" t="s">
        <v>3509</v>
      </c>
      <c r="C1461" s="65" t="s">
        <v>2213</v>
      </c>
      <c r="D1461" s="66" t="s">
        <v>3574</v>
      </c>
      <c r="E1461" s="67"/>
      <c r="F1461" s="67">
        <v>40978</v>
      </c>
      <c r="G1461" s="64" t="str">
        <f>IF(stdProdLT(Main[[#This Row],[Comments]])=0.1,"N/A",IF(stdProdLT(Main[[#This Row],[Comments]])=0,"",stdProdLT(Main[[#This Row],[Comments]])))</f>
        <v/>
      </c>
      <c r="H1461" s="68">
        <f>IF(AND(Main[[#This Row],[In Stock Date]]&lt;&gt;"",Main[[#This Row],[Revised Due Date]]&lt;&gt;""),Main[[#This Row],[In Stock Date]]-Main[[#This Row],[Revised Due Date]],"")</f>
        <v>24</v>
      </c>
      <c r="I1461" s="65" t="s">
        <v>943</v>
      </c>
      <c r="J1461" s="65" t="s">
        <v>28</v>
      </c>
      <c r="K1461" s="65" t="s">
        <v>1926</v>
      </c>
      <c r="L1461" s="67">
        <v>40945</v>
      </c>
      <c r="M1461" s="69">
        <f>IF(Main[[#This Row],[Tech Start Date]]&lt;1/1/1990,"",IF(Main[[#This Row],[Class]]="C",WORKDAY(Main[[#This Row],[Tech Start Date]],9),IF(Main[[#This Row],[Class]]="B", WORKDAY(Main[[#This Row],[Tech Start Date]],6),IF(Main[[#This Row],[Class]]="A",WORKDAY(Main[[#This Row],[Tech Start Date]],2),""))))</f>
        <v>40947</v>
      </c>
      <c r="N1461" s="69">
        <f>IF(Main[[#This Row],[Tech Start Date]]&lt;1/1/1990,"",IF(Main[[#This Row],[Class]]="C",WORKDAY(Main[[#This Row],[Tech Start Date]],19),IF(Main[[#This Row],[Class]]="B", WORKDAY(Main[[#This Row],[Tech Start Date]],12),IF(Main[[#This Row],[Class]]="A",WORKDAY(Main[[#This Row],[Tech Start Date]],4),""))))</f>
        <v>40949</v>
      </c>
      <c r="O1461" s="69">
        <f>IF(Main[[#This Row],[Tech Start Date]]&lt;1/1/1990,"",IF(Main[[#This Row],[Class]]="C",WORKDAY(Main[[#This Row],[Tech Start Date]],23),IF(Main[[#This Row],[Class]]="B", WORKDAY(Main[[#This Row],[Tech Start Date]],15),IF(Main[[#This Row],[Class]]="A",WORKDAY(Main[[#This Row],[Tech Start Date]],5),""))))</f>
        <v>40952</v>
      </c>
      <c r="P1461" s="69">
        <f>IF(Main[[#This Row],[Tech Start Date]]&lt;1/1/1990,"",IF(Main[[#This Row],[Class]]="C",WORKDAY(Main[[#This Row],[Tech Start Date]],28),IF(Main[[#This Row],[Class]]="B", WORKDAY(Main[[#This Row],[Tech Start Date]],19),IF(Main[[#This Row],[Class]]="A",WORKDAY(Main[[#This Row],[Tech Start Date]],9),""))))</f>
        <v>40956</v>
      </c>
      <c r="Q1461" s="67">
        <v>40978</v>
      </c>
      <c r="R1461" s="67">
        <v>40954</v>
      </c>
      <c r="S1461" s="65" t="s">
        <v>11</v>
      </c>
      <c r="T1461" s="70" t="s">
        <v>3575</v>
      </c>
      <c r="U1461" s="65" t="s">
        <v>14</v>
      </c>
      <c r="V1461" s="65" t="s">
        <v>1918</v>
      </c>
      <c r="W1461" s="65" t="s">
        <v>1922</v>
      </c>
      <c r="X1461" s="65" t="s">
        <v>2822</v>
      </c>
      <c r="Y1461" s="65" t="s">
        <v>4</v>
      </c>
      <c r="Z1461" s="65" t="s">
        <v>2056</v>
      </c>
      <c r="AA1461" s="65" t="s">
        <v>2822</v>
      </c>
    </row>
    <row r="1462" spans="1:27" ht="17.45" customHeight="1">
      <c r="A1462" s="131" t="str">
        <f>IF(priority(Main[[#This Row],[Comments]])&lt;&gt;0, priority(Main[[#This Row],[Comments]]),"")</f>
        <v/>
      </c>
      <c r="B1462" s="99" t="s">
        <v>3579</v>
      </c>
      <c r="C1462" s="65" t="s">
        <v>4</v>
      </c>
      <c r="D1462" s="66" t="s">
        <v>3580</v>
      </c>
      <c r="E1462" s="67">
        <v>40947.374143518522</v>
      </c>
      <c r="F1462" s="67"/>
      <c r="G1462" s="64" t="str">
        <f>IF(stdProdLT(Main[[#This Row],[Comments]])=0.1,"N/A",IF(stdProdLT(Main[[#This Row],[Comments]])=0,"",stdProdLT(Main[[#This Row],[Comments]])))</f>
        <v/>
      </c>
      <c r="H1462" s="68" t="str">
        <f>IF(AND(Main[[#This Row],[In Stock Date]]&lt;&gt;"",Main[[#This Row],[Revised Due Date]]&lt;&gt;""),Main[[#This Row],[In Stock Date]]-Main[[#This Row],[Revised Due Date]],"")</f>
        <v/>
      </c>
      <c r="I1462" s="65" t="s">
        <v>944</v>
      </c>
      <c r="J1462" s="65" t="s">
        <v>28</v>
      </c>
      <c r="K1462" s="65" t="s">
        <v>1924</v>
      </c>
      <c r="L1462" s="67">
        <v>40947</v>
      </c>
      <c r="M1462" s="69">
        <f>IF(Main[[#This Row],[Tech Start Date]]&lt;1/1/1990,"",IF(Main[[#This Row],[Class]]="C",WORKDAY(Main[[#This Row],[Tech Start Date]],9),IF(Main[[#This Row],[Class]]="B", WORKDAY(Main[[#This Row],[Tech Start Date]],6),IF(Main[[#This Row],[Class]]="A",WORKDAY(Main[[#This Row],[Tech Start Date]],2),""))))</f>
        <v>40955</v>
      </c>
      <c r="N1462" s="69">
        <f>IF(Main[[#This Row],[Tech Start Date]]&lt;1/1/1990,"",IF(Main[[#This Row],[Class]]="C",WORKDAY(Main[[#This Row],[Tech Start Date]],19),IF(Main[[#This Row],[Class]]="B", WORKDAY(Main[[#This Row],[Tech Start Date]],12),IF(Main[[#This Row],[Class]]="A",WORKDAY(Main[[#This Row],[Tech Start Date]],4),""))))</f>
        <v>40963</v>
      </c>
      <c r="O1462" s="69">
        <f>IF(Main[[#This Row],[Tech Start Date]]&lt;1/1/1990,"",IF(Main[[#This Row],[Class]]="C",WORKDAY(Main[[#This Row],[Tech Start Date]],23),IF(Main[[#This Row],[Class]]="B", WORKDAY(Main[[#This Row],[Tech Start Date]],15),IF(Main[[#This Row],[Class]]="A",WORKDAY(Main[[#This Row],[Tech Start Date]],5),""))))</f>
        <v>40968</v>
      </c>
      <c r="P1462" s="69">
        <f>IF(Main[[#This Row],[Tech Start Date]]&lt;1/1/1990,"",IF(Main[[#This Row],[Class]]="C",WORKDAY(Main[[#This Row],[Tech Start Date]],28),IF(Main[[#This Row],[Class]]="B", WORKDAY(Main[[#This Row],[Tech Start Date]],19),IF(Main[[#This Row],[Class]]="A",WORKDAY(Main[[#This Row],[Tech Start Date]],9),""))))</f>
        <v>40974</v>
      </c>
      <c r="Q1462" s="67"/>
      <c r="R1462" s="67">
        <v>40956</v>
      </c>
      <c r="S1462" s="65" t="s">
        <v>6</v>
      </c>
      <c r="T1462" s="70" t="s">
        <v>4</v>
      </c>
      <c r="U1462" s="65" t="s">
        <v>29</v>
      </c>
      <c r="V1462" s="65" t="s">
        <v>1918</v>
      </c>
      <c r="W1462" s="65" t="s">
        <v>1922</v>
      </c>
      <c r="X1462" s="65" t="s">
        <v>2056</v>
      </c>
      <c r="Y1462" s="65" t="s">
        <v>3159</v>
      </c>
      <c r="Z1462" s="65" t="s">
        <v>2056</v>
      </c>
      <c r="AA1462" s="65" t="s">
        <v>2056</v>
      </c>
    </row>
    <row r="1463" spans="1:27" ht="17.45" customHeight="1">
      <c r="A1463" s="131" t="str">
        <f>IF(priority(Main[[#This Row],[Comments]])&lt;&gt;0, priority(Main[[#This Row],[Comments]]),"")</f>
        <v/>
      </c>
      <c r="B1463" s="99" t="s">
        <v>3278</v>
      </c>
      <c r="C1463" s="65" t="s">
        <v>3216</v>
      </c>
      <c r="D1463" s="66" t="s">
        <v>3279</v>
      </c>
      <c r="E1463" s="67">
        <v>40935.321921296294</v>
      </c>
      <c r="F1463" s="67">
        <v>41153</v>
      </c>
      <c r="G1463" s="64">
        <f>IF(stdProdLT(Main[[#This Row],[Comments]])=0.1,"N/A",IF(stdProdLT(Main[[#This Row],[Comments]])=0,"",stdProdLT(Main[[#This Row],[Comments]])))</f>
        <v>168</v>
      </c>
      <c r="H1463" s="68" t="str">
        <f>IF(AND(Main[[#This Row],[In Stock Date]]&lt;&gt;"",Main[[#This Row],[Revised Due Date]]&lt;&gt;""),Main[[#This Row],[In Stock Date]]-Main[[#This Row],[Revised Due Date]],"")</f>
        <v/>
      </c>
      <c r="I1463" s="65" t="s">
        <v>767</v>
      </c>
      <c r="J1463" s="65" t="s">
        <v>28</v>
      </c>
      <c r="K1463" s="65" t="s">
        <v>1924</v>
      </c>
      <c r="L1463" s="67">
        <v>40948</v>
      </c>
      <c r="M1463" s="69">
        <f>IF(Main[[#This Row],[Tech Start Date]]&lt;1/1/1990,"",IF(Main[[#This Row],[Class]]="C",WORKDAY(Main[[#This Row],[Tech Start Date]],9),IF(Main[[#This Row],[Class]]="B", WORKDAY(Main[[#This Row],[Tech Start Date]],6),IF(Main[[#This Row],[Class]]="A",WORKDAY(Main[[#This Row],[Tech Start Date]],2),""))))</f>
        <v>40956</v>
      </c>
      <c r="N1463" s="69">
        <f>IF(Main[[#This Row],[Tech Start Date]]&lt;1/1/1990,"",IF(Main[[#This Row],[Class]]="C",WORKDAY(Main[[#This Row],[Tech Start Date]],19),IF(Main[[#This Row],[Class]]="B", WORKDAY(Main[[#This Row],[Tech Start Date]],12),IF(Main[[#This Row],[Class]]="A",WORKDAY(Main[[#This Row],[Tech Start Date]],4),""))))</f>
        <v>40966</v>
      </c>
      <c r="O1463" s="69">
        <f>IF(Main[[#This Row],[Tech Start Date]]&lt;1/1/1990,"",IF(Main[[#This Row],[Class]]="C",WORKDAY(Main[[#This Row],[Tech Start Date]],23),IF(Main[[#This Row],[Class]]="B", WORKDAY(Main[[#This Row],[Tech Start Date]],15),IF(Main[[#This Row],[Class]]="A",WORKDAY(Main[[#This Row],[Tech Start Date]],5),""))))</f>
        <v>40969</v>
      </c>
      <c r="P1463" s="69">
        <f>IF(Main[[#This Row],[Tech Start Date]]&lt;1/1/1990,"",IF(Main[[#This Row],[Class]]="C",WORKDAY(Main[[#This Row],[Tech Start Date]],28),IF(Main[[#This Row],[Class]]="B", WORKDAY(Main[[#This Row],[Tech Start Date]],19),IF(Main[[#This Row],[Class]]="A",WORKDAY(Main[[#This Row],[Tech Start Date]],9),""))))</f>
        <v>40975</v>
      </c>
      <c r="Q1463" s="67">
        <v>40983</v>
      </c>
      <c r="R1463" s="67"/>
      <c r="S1463" s="65" t="s">
        <v>11</v>
      </c>
      <c r="T1463" s="70" t="s">
        <v>3899</v>
      </c>
      <c r="U1463" s="65" t="s">
        <v>534</v>
      </c>
      <c r="V1463" s="65" t="s">
        <v>1920</v>
      </c>
      <c r="W1463" s="65" t="s">
        <v>1923</v>
      </c>
      <c r="X1463" s="65" t="s">
        <v>2854</v>
      </c>
      <c r="Y1463" s="65" t="s">
        <v>2985</v>
      </c>
      <c r="Z1463" s="65" t="s">
        <v>530</v>
      </c>
      <c r="AA1463" s="65" t="s">
        <v>2854</v>
      </c>
    </row>
    <row r="1464" spans="1:27" ht="17.45" customHeight="1">
      <c r="A1464" s="131" t="str">
        <f>IF(priority(Main[[#This Row],[Comments]])&lt;&gt;0, priority(Main[[#This Row],[Comments]]),"")</f>
        <v/>
      </c>
      <c r="B1464" s="99" t="s">
        <v>3582</v>
      </c>
      <c r="C1464" s="65" t="s">
        <v>122</v>
      </c>
      <c r="D1464" s="66" t="s">
        <v>3583</v>
      </c>
      <c r="E1464" s="67">
        <v>40946.693032407406</v>
      </c>
      <c r="F1464" s="67"/>
      <c r="G1464" s="64" t="str">
        <f>IF(stdProdLT(Main[[#This Row],[Comments]])=0.1,"N/A",IF(stdProdLT(Main[[#This Row],[Comments]])=0,"",stdProdLT(Main[[#This Row],[Comments]])))</f>
        <v/>
      </c>
      <c r="H1464" s="68" t="str">
        <f>IF(AND(Main[[#This Row],[In Stock Date]]&lt;&gt;"",Main[[#This Row],[Revised Due Date]]&lt;&gt;""),Main[[#This Row],[In Stock Date]]-Main[[#This Row],[Revised Due Date]],"")</f>
        <v/>
      </c>
      <c r="I1464" s="65" t="s">
        <v>562</v>
      </c>
      <c r="J1464" s="65" t="s">
        <v>21</v>
      </c>
      <c r="K1464" s="65" t="s">
        <v>1926</v>
      </c>
      <c r="L1464" s="67">
        <v>40948</v>
      </c>
      <c r="M1464" s="69">
        <f>IF(Main[[#This Row],[Tech Start Date]]&lt;1/1/1990,"",IF(Main[[#This Row],[Class]]="C",WORKDAY(Main[[#This Row],[Tech Start Date]],9),IF(Main[[#This Row],[Class]]="B", WORKDAY(Main[[#This Row],[Tech Start Date]],6),IF(Main[[#This Row],[Class]]="A",WORKDAY(Main[[#This Row],[Tech Start Date]],2),""))))</f>
        <v>40952</v>
      </c>
      <c r="N1464" s="69">
        <f>IF(Main[[#This Row],[Tech Start Date]]&lt;1/1/1990,"",IF(Main[[#This Row],[Class]]="C",WORKDAY(Main[[#This Row],[Tech Start Date]],19),IF(Main[[#This Row],[Class]]="B", WORKDAY(Main[[#This Row],[Tech Start Date]],12),IF(Main[[#This Row],[Class]]="A",WORKDAY(Main[[#This Row],[Tech Start Date]],4),""))))</f>
        <v>40954</v>
      </c>
      <c r="O1464" s="69">
        <f>IF(Main[[#This Row],[Tech Start Date]]&lt;1/1/1990,"",IF(Main[[#This Row],[Class]]="C",WORKDAY(Main[[#This Row],[Tech Start Date]],23),IF(Main[[#This Row],[Class]]="B", WORKDAY(Main[[#This Row],[Tech Start Date]],15),IF(Main[[#This Row],[Class]]="A",WORKDAY(Main[[#This Row],[Tech Start Date]],5),""))))</f>
        <v>40955</v>
      </c>
      <c r="P1464" s="69">
        <f>IF(Main[[#This Row],[Tech Start Date]]&lt;1/1/1990,"",IF(Main[[#This Row],[Class]]="C",WORKDAY(Main[[#This Row],[Tech Start Date]],28),IF(Main[[#This Row],[Class]]="B", WORKDAY(Main[[#This Row],[Tech Start Date]],19),IF(Main[[#This Row],[Class]]="A",WORKDAY(Main[[#This Row],[Tech Start Date]],9),""))))</f>
        <v>40961</v>
      </c>
      <c r="Q1464" s="67"/>
      <c r="R1464" s="67">
        <v>40959</v>
      </c>
      <c r="S1464" s="65" t="s">
        <v>17</v>
      </c>
      <c r="T1464" s="70" t="s">
        <v>4</v>
      </c>
      <c r="U1464" s="65" t="s">
        <v>29</v>
      </c>
      <c r="V1464" s="65" t="s">
        <v>1917</v>
      </c>
      <c r="W1464" s="65" t="s">
        <v>1919</v>
      </c>
      <c r="X1464" s="65" t="s">
        <v>2845</v>
      </c>
      <c r="Y1464" s="65" t="s">
        <v>2976</v>
      </c>
      <c r="Z1464" s="65" t="s">
        <v>129</v>
      </c>
      <c r="AA1464" s="65" t="s">
        <v>2845</v>
      </c>
    </row>
    <row r="1465" spans="1:27" ht="17.45" customHeight="1">
      <c r="A1465" s="131" t="str">
        <f>IF(priority(Main[[#This Row],[Comments]])&lt;&gt;0, priority(Main[[#This Row],[Comments]]),"")</f>
        <v/>
      </c>
      <c r="B1465" s="99" t="s">
        <v>3914</v>
      </c>
      <c r="C1465" s="65" t="s">
        <v>4</v>
      </c>
      <c r="D1465" s="66" t="s">
        <v>3915</v>
      </c>
      <c r="E1465" s="67">
        <v>40955.366423611114</v>
      </c>
      <c r="F1465" s="67">
        <v>40959</v>
      </c>
      <c r="G1465" s="64" t="str">
        <f>IF(stdProdLT(Main[[#This Row],[Comments]])=0.1,"N/A",IF(stdProdLT(Main[[#This Row],[Comments]])=0,"",stdProdLT(Main[[#This Row],[Comments]])))</f>
        <v/>
      </c>
      <c r="H1465" s="68" t="str">
        <f>IF(AND(Main[[#This Row],[In Stock Date]]&lt;&gt;"",Main[[#This Row],[Revised Due Date]]&lt;&gt;""),Main[[#This Row],[In Stock Date]]-Main[[#This Row],[Revised Due Date]],"")</f>
        <v/>
      </c>
      <c r="I1465" s="65" t="s">
        <v>2047</v>
      </c>
      <c r="J1465" s="65" t="s">
        <v>28</v>
      </c>
      <c r="K1465" s="65" t="s">
        <v>1926</v>
      </c>
      <c r="L1465" s="67">
        <v>40955</v>
      </c>
      <c r="M1465" s="69">
        <f>IF(Main[[#This Row],[Tech Start Date]]&lt;1/1/1990,"",IF(Main[[#This Row],[Class]]="C",WORKDAY(Main[[#This Row],[Tech Start Date]],9),IF(Main[[#This Row],[Class]]="B", WORKDAY(Main[[#This Row],[Tech Start Date]],6),IF(Main[[#This Row],[Class]]="A",WORKDAY(Main[[#This Row],[Tech Start Date]],2),""))))</f>
        <v>40959</v>
      </c>
      <c r="N1465" s="69">
        <f>IF(Main[[#This Row],[Tech Start Date]]&lt;1/1/1990,"",IF(Main[[#This Row],[Class]]="C",WORKDAY(Main[[#This Row],[Tech Start Date]],19),IF(Main[[#This Row],[Class]]="B", WORKDAY(Main[[#This Row],[Tech Start Date]],12),IF(Main[[#This Row],[Class]]="A",WORKDAY(Main[[#This Row],[Tech Start Date]],4),""))))</f>
        <v>40961</v>
      </c>
      <c r="O1465" s="69">
        <f>IF(Main[[#This Row],[Tech Start Date]]&lt;1/1/1990,"",IF(Main[[#This Row],[Class]]="C",WORKDAY(Main[[#This Row],[Tech Start Date]],23),IF(Main[[#This Row],[Class]]="B", WORKDAY(Main[[#This Row],[Tech Start Date]],15),IF(Main[[#This Row],[Class]]="A",WORKDAY(Main[[#This Row],[Tech Start Date]],5),""))))</f>
        <v>40962</v>
      </c>
      <c r="P1465" s="69">
        <f>IF(Main[[#This Row],[Tech Start Date]]&lt;1/1/1990,"",IF(Main[[#This Row],[Class]]="C",WORKDAY(Main[[#This Row],[Tech Start Date]],28),IF(Main[[#This Row],[Class]]="B", WORKDAY(Main[[#This Row],[Tech Start Date]],19),IF(Main[[#This Row],[Class]]="A",WORKDAY(Main[[#This Row],[Tech Start Date]],9),""))))</f>
        <v>40968</v>
      </c>
      <c r="Q1465" s="67"/>
      <c r="R1465" s="67"/>
      <c r="S1465" s="65" t="s">
        <v>11</v>
      </c>
      <c r="T1465" s="70" t="s">
        <v>3916</v>
      </c>
      <c r="U1465" s="65" t="s">
        <v>534</v>
      </c>
      <c r="V1465" s="65" t="s">
        <v>1920</v>
      </c>
      <c r="W1465" s="65" t="s">
        <v>1925</v>
      </c>
      <c r="X1465" s="65" t="s">
        <v>50</v>
      </c>
      <c r="Y1465" s="65" t="s">
        <v>3918</v>
      </c>
      <c r="Z1465" s="65" t="s">
        <v>530</v>
      </c>
      <c r="AA1465" s="65" t="s">
        <v>3917</v>
      </c>
    </row>
    <row r="1466" spans="1:27" ht="17.45" customHeight="1">
      <c r="A1466" s="131" t="str">
        <f>IF(priority(Main[[#This Row],[Comments]])&lt;&gt;0, priority(Main[[#This Row],[Comments]]),"")</f>
        <v/>
      </c>
      <c r="B1466" s="99" t="s">
        <v>3959</v>
      </c>
      <c r="C1466" s="65" t="s">
        <v>33</v>
      </c>
      <c r="D1466" s="66" t="s">
        <v>3960</v>
      </c>
      <c r="E1466" s="67">
        <v>40961.412997685184</v>
      </c>
      <c r="F1466" s="67">
        <v>40969</v>
      </c>
      <c r="G1466" s="64" t="str">
        <f>IF(stdProdLT(Main[[#This Row],[Comments]])=0.1,"N/A",IF(stdProdLT(Main[[#This Row],[Comments]])=0,"",stdProdLT(Main[[#This Row],[Comments]])))</f>
        <v>N/A</v>
      </c>
      <c r="H1466" s="68">
        <f>IF(AND(Main[[#This Row],[In Stock Date]]&lt;&gt;"",Main[[#This Row],[Revised Due Date]]&lt;&gt;""),Main[[#This Row],[In Stock Date]]-Main[[#This Row],[Revised Due Date]],"")</f>
        <v>-4</v>
      </c>
      <c r="I1466" s="65" t="s">
        <v>2047</v>
      </c>
      <c r="J1466" s="65" t="s">
        <v>52</v>
      </c>
      <c r="K1466" s="71" t="s">
        <v>1926</v>
      </c>
      <c r="L1466" s="67">
        <v>40966</v>
      </c>
      <c r="M1466" s="69">
        <f>IF(Main[[#This Row],[Tech Start Date]]&lt;1/1/1990,"",IF(Main[[#This Row],[Class]]="C",WORKDAY(Main[[#This Row],[Tech Start Date]],9),IF(Main[[#This Row],[Class]]="B", WORKDAY(Main[[#This Row],[Tech Start Date]],6),IF(Main[[#This Row],[Class]]="A",WORKDAY(Main[[#This Row],[Tech Start Date]],2),""))))</f>
        <v>40968</v>
      </c>
      <c r="N1466" s="69">
        <f>IF(Main[[#This Row],[Tech Start Date]]&lt;1/1/1990,"",IF(Main[[#This Row],[Class]]="C",WORKDAY(Main[[#This Row],[Tech Start Date]],19),IF(Main[[#This Row],[Class]]="B", WORKDAY(Main[[#This Row],[Tech Start Date]],12),IF(Main[[#This Row],[Class]]="A",WORKDAY(Main[[#This Row],[Tech Start Date]],4),""))))</f>
        <v>40970</v>
      </c>
      <c r="O1466" s="69">
        <f>IF(Main[[#This Row],[Tech Start Date]]&lt;1/1/1990,"",IF(Main[[#This Row],[Class]]="C",WORKDAY(Main[[#This Row],[Tech Start Date]],23),IF(Main[[#This Row],[Class]]="B", WORKDAY(Main[[#This Row],[Tech Start Date]],15),IF(Main[[#This Row],[Class]]="A",WORKDAY(Main[[#This Row],[Tech Start Date]],5),""))))</f>
        <v>40973</v>
      </c>
      <c r="P1466" s="69">
        <f>IF(Main[[#This Row],[Tech Start Date]]&lt;1/1/1990,"",IF(Main[[#This Row],[Class]]="C",WORKDAY(Main[[#This Row],[Tech Start Date]],28),IF(Main[[#This Row],[Class]]="B", WORKDAY(Main[[#This Row],[Tech Start Date]],19),IF(Main[[#This Row],[Class]]="A",WORKDAY(Main[[#This Row],[Tech Start Date]],9),""))))</f>
        <v>40977</v>
      </c>
      <c r="Q1466" s="67">
        <v>40960</v>
      </c>
      <c r="R1466" s="67">
        <v>40973</v>
      </c>
      <c r="S1466" s="65" t="s">
        <v>11</v>
      </c>
      <c r="T1466" s="70" t="s">
        <v>3961</v>
      </c>
      <c r="U1466" s="65" t="s">
        <v>29</v>
      </c>
      <c r="V1466" s="65" t="s">
        <v>1927</v>
      </c>
      <c r="W1466" s="65" t="s">
        <v>1922</v>
      </c>
      <c r="X1466" s="65" t="s">
        <v>2881</v>
      </c>
      <c r="Y1466" s="65" t="s">
        <v>3027</v>
      </c>
      <c r="Z1466" s="65" t="s">
        <v>530</v>
      </c>
      <c r="AA1466" s="65" t="s">
        <v>2881</v>
      </c>
    </row>
    <row r="1467" spans="1:27" ht="17.45" customHeight="1">
      <c r="A1467" s="131" t="str">
        <f>IF(priority(Main[[#This Row],[Comments]])&lt;&gt;0, priority(Main[[#This Row],[Comments]]),"")</f>
        <v/>
      </c>
      <c r="B1467" s="99" t="s">
        <v>3969</v>
      </c>
      <c r="C1467" s="65" t="s">
        <v>2755</v>
      </c>
      <c r="D1467" s="66" t="s">
        <v>3970</v>
      </c>
      <c r="E1467" s="67">
        <v>40967.578032407408</v>
      </c>
      <c r="F1467" s="67">
        <v>40977</v>
      </c>
      <c r="G1467" s="64" t="str">
        <f>IF(stdProdLT(Main[[#This Row],[Comments]])=0.1,"N/A",IF(stdProdLT(Main[[#This Row],[Comments]])=0,"",stdProdLT(Main[[#This Row],[Comments]])))</f>
        <v>N/A</v>
      </c>
      <c r="H1467" s="68">
        <f>IF(AND(Main[[#This Row],[In Stock Date]]&lt;&gt;"",Main[[#This Row],[Revised Due Date]]&lt;&gt;""),Main[[#This Row],[In Stock Date]]-Main[[#This Row],[Revised Due Date]],"")</f>
        <v>3</v>
      </c>
      <c r="I1467" s="65" t="s">
        <v>3949</v>
      </c>
      <c r="J1467" s="65" t="s">
        <v>4</v>
      </c>
      <c r="K1467" s="65" t="s">
        <v>1926</v>
      </c>
      <c r="L1467" s="67">
        <v>40967</v>
      </c>
      <c r="M1467" s="69">
        <f>IF(Main[[#This Row],[Tech Start Date]]&lt;1/1/1990,"",IF(Main[[#This Row],[Class]]="C",WORKDAY(Main[[#This Row],[Tech Start Date]],9),IF(Main[[#This Row],[Class]]="B", WORKDAY(Main[[#This Row],[Tech Start Date]],6),IF(Main[[#This Row],[Class]]="A",WORKDAY(Main[[#This Row],[Tech Start Date]],2),""))))</f>
        <v>40969</v>
      </c>
      <c r="N1467" s="69">
        <f>IF(Main[[#This Row],[Tech Start Date]]&lt;1/1/1990,"",IF(Main[[#This Row],[Class]]="C",WORKDAY(Main[[#This Row],[Tech Start Date]],19),IF(Main[[#This Row],[Class]]="B", WORKDAY(Main[[#This Row],[Tech Start Date]],12),IF(Main[[#This Row],[Class]]="A",WORKDAY(Main[[#This Row],[Tech Start Date]],4),""))))</f>
        <v>40973</v>
      </c>
      <c r="O1467" s="69">
        <f>IF(Main[[#This Row],[Tech Start Date]]&lt;1/1/1990,"",IF(Main[[#This Row],[Class]]="C",WORKDAY(Main[[#This Row],[Tech Start Date]],23),IF(Main[[#This Row],[Class]]="B", WORKDAY(Main[[#This Row],[Tech Start Date]],15),IF(Main[[#This Row],[Class]]="A",WORKDAY(Main[[#This Row],[Tech Start Date]],5),""))))</f>
        <v>40974</v>
      </c>
      <c r="P1467" s="69">
        <f>IF(Main[[#This Row],[Tech Start Date]]&lt;1/1/1990,"",IF(Main[[#This Row],[Class]]="C",WORKDAY(Main[[#This Row],[Tech Start Date]],28),IF(Main[[#This Row],[Class]]="B", WORKDAY(Main[[#This Row],[Tech Start Date]],19),IF(Main[[#This Row],[Class]]="A",WORKDAY(Main[[#This Row],[Tech Start Date]],9),""))))</f>
        <v>40980</v>
      </c>
      <c r="Q1467" s="67"/>
      <c r="R1467" s="67">
        <v>40974</v>
      </c>
      <c r="S1467" s="65" t="s">
        <v>11</v>
      </c>
      <c r="T1467" s="70" t="s">
        <v>3244</v>
      </c>
      <c r="U1467" s="65" t="s">
        <v>29</v>
      </c>
      <c r="V1467" s="65" t="s">
        <v>1927</v>
      </c>
      <c r="W1467" s="65" t="s">
        <v>1925</v>
      </c>
      <c r="X1467" s="65" t="s">
        <v>50</v>
      </c>
      <c r="Y1467" s="65" t="s">
        <v>3624</v>
      </c>
      <c r="Z1467" s="65" t="s">
        <v>530</v>
      </c>
      <c r="AA1467" s="65" t="s">
        <v>3461</v>
      </c>
    </row>
    <row r="1468" spans="1:27" ht="17.45" customHeight="1">
      <c r="A1468" s="131" t="str">
        <f>IF(priority(Main[[#This Row],[Comments]])&lt;&gt;0, priority(Main[[#This Row],[Comments]]),"")</f>
        <v/>
      </c>
      <c r="B1468" s="99" t="s">
        <v>3228</v>
      </c>
      <c r="C1468" s="65" t="s">
        <v>137</v>
      </c>
      <c r="D1468" s="66" t="s">
        <v>3229</v>
      </c>
      <c r="E1468" s="67">
        <v>40967.513715277775</v>
      </c>
      <c r="F1468" s="67">
        <v>41008</v>
      </c>
      <c r="G1468" s="64">
        <f>IF(stdProdLT(Main[[#This Row],[Comments]])=0.1,"N/A",IF(stdProdLT(Main[[#This Row],[Comments]])=0,"",stdProdLT(Main[[#This Row],[Comments]])))</f>
        <v>84</v>
      </c>
      <c r="H1468" s="68">
        <f>IF(AND(Main[[#This Row],[In Stock Date]]&lt;&gt;"",Main[[#This Row],[Revised Due Date]]&lt;&gt;""),Main[[#This Row],[In Stock Date]]-Main[[#This Row],[Revised Due Date]],"")</f>
        <v>34</v>
      </c>
      <c r="I1468" s="65" t="s">
        <v>3949</v>
      </c>
      <c r="J1468" s="65" t="s">
        <v>28</v>
      </c>
      <c r="K1468" s="65" t="s">
        <v>1926</v>
      </c>
      <c r="L1468" s="67">
        <v>40967</v>
      </c>
      <c r="M1468" s="69">
        <f>IF(Main[[#This Row],[Tech Start Date]]&lt;1/1/1990,"",IF(Main[[#This Row],[Class]]="C",WORKDAY(Main[[#This Row],[Tech Start Date]],9),IF(Main[[#This Row],[Class]]="B", WORKDAY(Main[[#This Row],[Tech Start Date]],6),IF(Main[[#This Row],[Class]]="A",WORKDAY(Main[[#This Row],[Tech Start Date]],2),""))))</f>
        <v>40969</v>
      </c>
      <c r="N1468" s="69">
        <f>IF(Main[[#This Row],[Tech Start Date]]&lt;1/1/1990,"",IF(Main[[#This Row],[Class]]="C",WORKDAY(Main[[#This Row],[Tech Start Date]],19),IF(Main[[#This Row],[Class]]="B", WORKDAY(Main[[#This Row],[Tech Start Date]],12),IF(Main[[#This Row],[Class]]="A",WORKDAY(Main[[#This Row],[Tech Start Date]],4),""))))</f>
        <v>40973</v>
      </c>
      <c r="O1468" s="69">
        <f>IF(Main[[#This Row],[Tech Start Date]]&lt;1/1/1990,"",IF(Main[[#This Row],[Class]]="C",WORKDAY(Main[[#This Row],[Tech Start Date]],23),IF(Main[[#This Row],[Class]]="B", WORKDAY(Main[[#This Row],[Tech Start Date]],15),IF(Main[[#This Row],[Class]]="A",WORKDAY(Main[[#This Row],[Tech Start Date]],5),""))))</f>
        <v>40974</v>
      </c>
      <c r="P1468" s="69">
        <f>IF(Main[[#This Row],[Tech Start Date]]&lt;1/1/1990,"",IF(Main[[#This Row],[Class]]="C",WORKDAY(Main[[#This Row],[Tech Start Date]],28),IF(Main[[#This Row],[Class]]="B", WORKDAY(Main[[#This Row],[Tech Start Date]],19),IF(Main[[#This Row],[Class]]="A",WORKDAY(Main[[#This Row],[Tech Start Date]],9),""))))</f>
        <v>40980</v>
      </c>
      <c r="Q1468" s="67">
        <v>40945</v>
      </c>
      <c r="R1468" s="67">
        <v>40974</v>
      </c>
      <c r="S1468" s="65" t="s">
        <v>11</v>
      </c>
      <c r="T1468" s="70" t="s">
        <v>3962</v>
      </c>
      <c r="U1468" s="65" t="s">
        <v>29</v>
      </c>
      <c r="V1468" s="65" t="s">
        <v>1927</v>
      </c>
      <c r="W1468" s="65" t="s">
        <v>1925</v>
      </c>
      <c r="X1468" s="65" t="s">
        <v>2912</v>
      </c>
      <c r="Y1468" s="65" t="s">
        <v>3102</v>
      </c>
      <c r="Z1468" s="65" t="s">
        <v>530</v>
      </c>
      <c r="AA1468" s="65" t="s">
        <v>2912</v>
      </c>
    </row>
    <row r="1469" spans="1:27" ht="17.45" customHeight="1">
      <c r="A1469" s="131" t="str">
        <f>IF(priority(Main[[#This Row],[Comments]])&lt;&gt;0, priority(Main[[#This Row],[Comments]]),"")</f>
        <v/>
      </c>
      <c r="B1469" s="99" t="s">
        <v>3514</v>
      </c>
      <c r="C1469" s="65" t="s">
        <v>79</v>
      </c>
      <c r="D1469" s="66" t="s">
        <v>3515</v>
      </c>
      <c r="E1469" s="67">
        <v>40967.732847222222</v>
      </c>
      <c r="F1469" s="67">
        <v>40967</v>
      </c>
      <c r="G1469" s="64" t="str">
        <f>IF(stdProdLT(Main[[#This Row],[Comments]])=0.1,"N/A",IF(stdProdLT(Main[[#This Row],[Comments]])=0,"",stdProdLT(Main[[#This Row],[Comments]])))</f>
        <v>N/A</v>
      </c>
      <c r="H1469" s="68">
        <f>IF(AND(Main[[#This Row],[In Stock Date]]&lt;&gt;"",Main[[#This Row],[Revised Due Date]]&lt;&gt;""),Main[[#This Row],[In Stock Date]]-Main[[#This Row],[Revised Due Date]],"")</f>
        <v>-7</v>
      </c>
      <c r="I1469" s="65" t="s">
        <v>3949</v>
      </c>
      <c r="J1469" s="65" t="s">
        <v>28</v>
      </c>
      <c r="K1469" s="65" t="s">
        <v>1926</v>
      </c>
      <c r="L1469" s="67">
        <v>40967</v>
      </c>
      <c r="M1469" s="69">
        <f>IF(Main[[#This Row],[Tech Start Date]]&lt;1/1/1990,"",IF(Main[[#This Row],[Class]]="C",WORKDAY(Main[[#This Row],[Tech Start Date]],9),IF(Main[[#This Row],[Class]]="B", WORKDAY(Main[[#This Row],[Tech Start Date]],6),IF(Main[[#This Row],[Class]]="A",WORKDAY(Main[[#This Row],[Tech Start Date]],2),""))))</f>
        <v>40969</v>
      </c>
      <c r="N1469" s="69">
        <f>IF(Main[[#This Row],[Tech Start Date]]&lt;1/1/1990,"",IF(Main[[#This Row],[Class]]="C",WORKDAY(Main[[#This Row],[Tech Start Date]],19),IF(Main[[#This Row],[Class]]="B", WORKDAY(Main[[#This Row],[Tech Start Date]],12),IF(Main[[#This Row],[Class]]="A",WORKDAY(Main[[#This Row],[Tech Start Date]],4),""))))</f>
        <v>40973</v>
      </c>
      <c r="O1469" s="69">
        <f>IF(Main[[#This Row],[Tech Start Date]]&lt;1/1/1990,"",IF(Main[[#This Row],[Class]]="C",WORKDAY(Main[[#This Row],[Tech Start Date]],23),IF(Main[[#This Row],[Class]]="B", WORKDAY(Main[[#This Row],[Tech Start Date]],15),IF(Main[[#This Row],[Class]]="A",WORKDAY(Main[[#This Row],[Tech Start Date]],5),""))))</f>
        <v>40974</v>
      </c>
      <c r="P1469" s="69">
        <f>IF(Main[[#This Row],[Tech Start Date]]&lt;1/1/1990,"",IF(Main[[#This Row],[Class]]="C",WORKDAY(Main[[#This Row],[Tech Start Date]],28),IF(Main[[#This Row],[Class]]="B", WORKDAY(Main[[#This Row],[Tech Start Date]],19),IF(Main[[#This Row],[Class]]="A",WORKDAY(Main[[#This Row],[Tech Start Date]],9),""))))</f>
        <v>40980</v>
      </c>
      <c r="Q1469" s="67">
        <v>40949</v>
      </c>
      <c r="R1469" s="67">
        <v>40974</v>
      </c>
      <c r="S1469" s="65" t="s">
        <v>11</v>
      </c>
      <c r="T1469" s="70" t="s">
        <v>3963</v>
      </c>
      <c r="U1469" s="65" t="s">
        <v>29</v>
      </c>
      <c r="V1469" s="65" t="s">
        <v>1927</v>
      </c>
      <c r="W1469" s="65" t="s">
        <v>1922</v>
      </c>
      <c r="X1469" s="65" t="s">
        <v>3516</v>
      </c>
      <c r="Y1469" s="65" t="s">
        <v>3517</v>
      </c>
      <c r="Z1469" s="65" t="s">
        <v>530</v>
      </c>
      <c r="AA1469" s="65" t="s">
        <v>3516</v>
      </c>
    </row>
    <row r="1470" spans="1:27" ht="17.45" customHeight="1">
      <c r="A1470" s="131" t="str">
        <f>IF(priority(Main[[#This Row],[Comments]])&lt;&gt;0, priority(Main[[#This Row],[Comments]]),"")</f>
        <v/>
      </c>
      <c r="B1470" s="99" t="s">
        <v>3974</v>
      </c>
      <c r="C1470" s="65" t="s">
        <v>53</v>
      </c>
      <c r="D1470" s="66" t="s">
        <v>3975</v>
      </c>
      <c r="E1470" s="67">
        <v>40967.607476851852</v>
      </c>
      <c r="F1470" s="67"/>
      <c r="G1470" s="64" t="str">
        <f>IF(stdProdLT(Main[[#This Row],[Comments]])=0.1,"N/A",IF(stdProdLT(Main[[#This Row],[Comments]])=0,"",stdProdLT(Main[[#This Row],[Comments]])))</f>
        <v>N/A</v>
      </c>
      <c r="H1470" s="68" t="str">
        <f>IF(AND(Main[[#This Row],[In Stock Date]]&lt;&gt;"",Main[[#This Row],[Revised Due Date]]&lt;&gt;""),Main[[#This Row],[In Stock Date]]-Main[[#This Row],[Revised Due Date]],"")</f>
        <v/>
      </c>
      <c r="I1470" s="65" t="s">
        <v>943</v>
      </c>
      <c r="J1470" s="65" t="s">
        <v>28</v>
      </c>
      <c r="K1470" s="65" t="s">
        <v>1926</v>
      </c>
      <c r="L1470" s="67">
        <v>40967</v>
      </c>
      <c r="M1470" s="69">
        <f>IF(Main[[#This Row],[Tech Start Date]]&lt;1/1/1990,"",IF(Main[[#This Row],[Class]]="C",WORKDAY(Main[[#This Row],[Tech Start Date]],9),IF(Main[[#This Row],[Class]]="B", WORKDAY(Main[[#This Row],[Tech Start Date]],6),IF(Main[[#This Row],[Class]]="A",WORKDAY(Main[[#This Row],[Tech Start Date]],2),""))))</f>
        <v>40969</v>
      </c>
      <c r="N1470" s="69">
        <f>IF(Main[[#This Row],[Tech Start Date]]&lt;1/1/1990,"",IF(Main[[#This Row],[Class]]="C",WORKDAY(Main[[#This Row],[Tech Start Date]],19),IF(Main[[#This Row],[Class]]="B", WORKDAY(Main[[#This Row],[Tech Start Date]],12),IF(Main[[#This Row],[Class]]="A",WORKDAY(Main[[#This Row],[Tech Start Date]],4),""))))</f>
        <v>40973</v>
      </c>
      <c r="O1470" s="69">
        <f>IF(Main[[#This Row],[Tech Start Date]]&lt;1/1/1990,"",IF(Main[[#This Row],[Class]]="C",WORKDAY(Main[[#This Row],[Tech Start Date]],23),IF(Main[[#This Row],[Class]]="B", WORKDAY(Main[[#This Row],[Tech Start Date]],15),IF(Main[[#This Row],[Class]]="A",WORKDAY(Main[[#This Row],[Tech Start Date]],5),""))))</f>
        <v>40974</v>
      </c>
      <c r="P1470" s="69">
        <f>IF(Main[[#This Row],[Tech Start Date]]&lt;1/1/1990,"",IF(Main[[#This Row],[Class]]="C",WORKDAY(Main[[#This Row],[Tech Start Date]],28),IF(Main[[#This Row],[Class]]="B", WORKDAY(Main[[#This Row],[Tech Start Date]],19),IF(Main[[#This Row],[Class]]="A",WORKDAY(Main[[#This Row],[Tech Start Date]],9),""))))</f>
        <v>40980</v>
      </c>
      <c r="Q1470" s="67">
        <v>40974</v>
      </c>
      <c r="R1470" s="67">
        <v>40982</v>
      </c>
      <c r="S1470" s="65" t="s">
        <v>11</v>
      </c>
      <c r="T1470" s="70" t="s">
        <v>3244</v>
      </c>
      <c r="U1470" s="65" t="s">
        <v>29</v>
      </c>
      <c r="V1470" s="65" t="s">
        <v>1918</v>
      </c>
      <c r="W1470" s="65" t="s">
        <v>1919</v>
      </c>
      <c r="X1470" s="65" t="s">
        <v>2822</v>
      </c>
      <c r="Y1470" s="65" t="s">
        <v>4</v>
      </c>
      <c r="Z1470" s="65" t="s">
        <v>2056</v>
      </c>
      <c r="AA1470" s="65" t="s">
        <v>2822</v>
      </c>
    </row>
    <row r="1471" spans="1:27" ht="17.45" customHeight="1">
      <c r="A1471" s="131" t="str">
        <f>IF(priority(Main[[#This Row],[Comments]])&lt;&gt;0, priority(Main[[#This Row],[Comments]]),"")</f>
        <v/>
      </c>
      <c r="B1471" s="99" t="s">
        <v>3976</v>
      </c>
      <c r="C1471" s="65" t="s">
        <v>3977</v>
      </c>
      <c r="D1471" s="66" t="s">
        <v>3978</v>
      </c>
      <c r="E1471" s="67">
        <v>40961.04891203704</v>
      </c>
      <c r="F1471" s="67">
        <v>41105</v>
      </c>
      <c r="G1471" s="64" t="str">
        <f>IF(stdProdLT(Main[[#This Row],[Comments]])=0.1,"N/A",IF(stdProdLT(Main[[#This Row],[Comments]])=0,"",stdProdLT(Main[[#This Row],[Comments]])))</f>
        <v/>
      </c>
      <c r="H1471" s="68">
        <f>IF(AND(Main[[#This Row],[In Stock Date]]&lt;&gt;"",Main[[#This Row],[Revised Due Date]]&lt;&gt;""),Main[[#This Row],[In Stock Date]]-Main[[#This Row],[Revised Due Date]],"")</f>
        <v>117</v>
      </c>
      <c r="I1471" s="65" t="s">
        <v>44</v>
      </c>
      <c r="J1471" s="65" t="s">
        <v>28</v>
      </c>
      <c r="K1471" s="65" t="s">
        <v>1926</v>
      </c>
      <c r="L1471" s="67">
        <v>40967</v>
      </c>
      <c r="M1471" s="69">
        <f>IF(Main[[#This Row],[Tech Start Date]]&lt;1/1/1990,"",IF(Main[[#This Row],[Class]]="C",WORKDAY(Main[[#This Row],[Tech Start Date]],9),IF(Main[[#This Row],[Class]]="B", WORKDAY(Main[[#This Row],[Tech Start Date]],6),IF(Main[[#This Row],[Class]]="A",WORKDAY(Main[[#This Row],[Tech Start Date]],2),""))))</f>
        <v>40969</v>
      </c>
      <c r="N1471" s="69">
        <f>IF(Main[[#This Row],[Tech Start Date]]&lt;1/1/1990,"",IF(Main[[#This Row],[Class]]="C",WORKDAY(Main[[#This Row],[Tech Start Date]],19),IF(Main[[#This Row],[Class]]="B", WORKDAY(Main[[#This Row],[Tech Start Date]],12),IF(Main[[#This Row],[Class]]="A",WORKDAY(Main[[#This Row],[Tech Start Date]],4),""))))</f>
        <v>40973</v>
      </c>
      <c r="O1471" s="69">
        <f>IF(Main[[#This Row],[Tech Start Date]]&lt;1/1/1990,"",IF(Main[[#This Row],[Class]]="C",WORKDAY(Main[[#This Row],[Tech Start Date]],23),IF(Main[[#This Row],[Class]]="B", WORKDAY(Main[[#This Row],[Tech Start Date]],15),IF(Main[[#This Row],[Class]]="A",WORKDAY(Main[[#This Row],[Tech Start Date]],5),""))))</f>
        <v>40974</v>
      </c>
      <c r="P1471" s="69">
        <f>IF(Main[[#This Row],[Tech Start Date]]&lt;1/1/1990,"",IF(Main[[#This Row],[Class]]="C",WORKDAY(Main[[#This Row],[Tech Start Date]],28),IF(Main[[#This Row],[Class]]="B", WORKDAY(Main[[#This Row],[Tech Start Date]],19),IF(Main[[#This Row],[Class]]="A",WORKDAY(Main[[#This Row],[Tech Start Date]],9),""))))</f>
        <v>40980</v>
      </c>
      <c r="Q1471" s="67">
        <v>40969</v>
      </c>
      <c r="R1471" s="67">
        <v>40988</v>
      </c>
      <c r="S1471" s="65" t="s">
        <v>11</v>
      </c>
      <c r="T1471" s="70" t="s">
        <v>3979</v>
      </c>
      <c r="U1471" s="65" t="s">
        <v>29</v>
      </c>
      <c r="V1471" s="65" t="s">
        <v>1927</v>
      </c>
      <c r="W1471" s="65" t="s">
        <v>1923</v>
      </c>
      <c r="X1471" s="65" t="s">
        <v>2851</v>
      </c>
      <c r="Y1471" s="65" t="s">
        <v>3956</v>
      </c>
      <c r="Z1471" s="65" t="s">
        <v>530</v>
      </c>
      <c r="AA1471" s="65" t="s">
        <v>2851</v>
      </c>
    </row>
    <row r="1472" spans="1:27" ht="17.45" customHeight="1">
      <c r="A1472" s="131" t="str">
        <f>IF(priority(Main[[#This Row],[Comments]])&lt;&gt;0, priority(Main[[#This Row],[Comments]]),"")</f>
        <v/>
      </c>
      <c r="B1472" s="99" t="s">
        <v>3980</v>
      </c>
      <c r="C1472" s="65" t="s">
        <v>3977</v>
      </c>
      <c r="D1472" s="66" t="s">
        <v>3981</v>
      </c>
      <c r="E1472" s="67">
        <v>40961.047662037039</v>
      </c>
      <c r="F1472" s="67">
        <v>41091</v>
      </c>
      <c r="G1472" s="64" t="str">
        <f>IF(stdProdLT(Main[[#This Row],[Comments]])=0.1,"N/A",IF(stdProdLT(Main[[#This Row],[Comments]])=0,"",stdProdLT(Main[[#This Row],[Comments]])))</f>
        <v/>
      </c>
      <c r="H1472" s="68">
        <f>IF(AND(Main[[#This Row],[In Stock Date]]&lt;&gt;"",Main[[#This Row],[Revised Due Date]]&lt;&gt;""),Main[[#This Row],[In Stock Date]]-Main[[#This Row],[Revised Due Date]],"")</f>
        <v>103</v>
      </c>
      <c r="I1472" s="65" t="s">
        <v>44</v>
      </c>
      <c r="J1472" s="65" t="s">
        <v>28</v>
      </c>
      <c r="K1472" s="65" t="s">
        <v>1926</v>
      </c>
      <c r="L1472" s="67">
        <v>40967</v>
      </c>
      <c r="M1472" s="69">
        <f>IF(Main[[#This Row],[Tech Start Date]]&lt;1/1/1990,"",IF(Main[[#This Row],[Class]]="C",WORKDAY(Main[[#This Row],[Tech Start Date]],9),IF(Main[[#This Row],[Class]]="B", WORKDAY(Main[[#This Row],[Tech Start Date]],6),IF(Main[[#This Row],[Class]]="A",WORKDAY(Main[[#This Row],[Tech Start Date]],2),""))))</f>
        <v>40969</v>
      </c>
      <c r="N1472" s="69">
        <f>IF(Main[[#This Row],[Tech Start Date]]&lt;1/1/1990,"",IF(Main[[#This Row],[Class]]="C",WORKDAY(Main[[#This Row],[Tech Start Date]],19),IF(Main[[#This Row],[Class]]="B", WORKDAY(Main[[#This Row],[Tech Start Date]],12),IF(Main[[#This Row],[Class]]="A",WORKDAY(Main[[#This Row],[Tech Start Date]],4),""))))</f>
        <v>40973</v>
      </c>
      <c r="O1472" s="69">
        <f>IF(Main[[#This Row],[Tech Start Date]]&lt;1/1/1990,"",IF(Main[[#This Row],[Class]]="C",WORKDAY(Main[[#This Row],[Tech Start Date]],23),IF(Main[[#This Row],[Class]]="B", WORKDAY(Main[[#This Row],[Tech Start Date]],15),IF(Main[[#This Row],[Class]]="A",WORKDAY(Main[[#This Row],[Tech Start Date]],5),""))))</f>
        <v>40974</v>
      </c>
      <c r="P1472" s="69">
        <f>IF(Main[[#This Row],[Tech Start Date]]&lt;1/1/1990,"",IF(Main[[#This Row],[Class]]="C",WORKDAY(Main[[#This Row],[Tech Start Date]],28),IF(Main[[#This Row],[Class]]="B", WORKDAY(Main[[#This Row],[Tech Start Date]],19),IF(Main[[#This Row],[Class]]="A",WORKDAY(Main[[#This Row],[Tech Start Date]],9),""))))</f>
        <v>40980</v>
      </c>
      <c r="Q1472" s="67">
        <v>40969</v>
      </c>
      <c r="R1472" s="67">
        <v>40988</v>
      </c>
      <c r="S1472" s="65" t="s">
        <v>11</v>
      </c>
      <c r="T1472" s="70" t="s">
        <v>3982</v>
      </c>
      <c r="U1472" s="65" t="s">
        <v>29</v>
      </c>
      <c r="V1472" s="65" t="s">
        <v>1927</v>
      </c>
      <c r="W1472" s="65" t="s">
        <v>1923</v>
      </c>
      <c r="X1472" s="65" t="s">
        <v>2851</v>
      </c>
      <c r="Y1472" s="65" t="s">
        <v>3956</v>
      </c>
      <c r="Z1472" s="65" t="s">
        <v>530</v>
      </c>
      <c r="AA1472" s="65" t="s">
        <v>2851</v>
      </c>
    </row>
    <row r="1473" spans="1:27" ht="17.45" customHeight="1">
      <c r="A1473" s="131" t="str">
        <f>IF(priority(Main[[#This Row],[Comments]])&lt;&gt;0, priority(Main[[#This Row],[Comments]]),"")</f>
        <v/>
      </c>
      <c r="B1473" s="99" t="s">
        <v>3983</v>
      </c>
      <c r="C1473" s="65" t="s">
        <v>72</v>
      </c>
      <c r="D1473" s="66" t="s">
        <v>3984</v>
      </c>
      <c r="E1473" s="67">
        <v>40961.058425925927</v>
      </c>
      <c r="F1473" s="67">
        <v>40996</v>
      </c>
      <c r="G1473" s="64" t="str">
        <f>IF(stdProdLT(Main[[#This Row],[Comments]])=0.1,"N/A",IF(stdProdLT(Main[[#This Row],[Comments]])=0,"",stdProdLT(Main[[#This Row],[Comments]])))</f>
        <v>N/A</v>
      </c>
      <c r="H1473" s="68">
        <f>IF(AND(Main[[#This Row],[In Stock Date]]&lt;&gt;"",Main[[#This Row],[Revised Due Date]]&lt;&gt;""),Main[[#This Row],[In Stock Date]]-Main[[#This Row],[Revised Due Date]],"")</f>
        <v>14</v>
      </c>
      <c r="I1473" s="65" t="s">
        <v>2047</v>
      </c>
      <c r="J1473" s="65" t="s">
        <v>28</v>
      </c>
      <c r="K1473" s="65" t="s">
        <v>1926</v>
      </c>
      <c r="L1473" s="67">
        <v>40967</v>
      </c>
      <c r="M1473" s="69">
        <f>IF(Main[[#This Row],[Tech Start Date]]&lt;1/1/1990,"",IF(Main[[#This Row],[Class]]="C",WORKDAY(Main[[#This Row],[Tech Start Date]],9),IF(Main[[#This Row],[Class]]="B", WORKDAY(Main[[#This Row],[Tech Start Date]],6),IF(Main[[#This Row],[Class]]="A",WORKDAY(Main[[#This Row],[Tech Start Date]],2),""))))</f>
        <v>40969</v>
      </c>
      <c r="N1473" s="69">
        <f>IF(Main[[#This Row],[Tech Start Date]]&lt;1/1/1990,"",IF(Main[[#This Row],[Class]]="C",WORKDAY(Main[[#This Row],[Tech Start Date]],19),IF(Main[[#This Row],[Class]]="B", WORKDAY(Main[[#This Row],[Tech Start Date]],12),IF(Main[[#This Row],[Class]]="A",WORKDAY(Main[[#This Row],[Tech Start Date]],4),""))))</f>
        <v>40973</v>
      </c>
      <c r="O1473" s="69">
        <f>IF(Main[[#This Row],[Tech Start Date]]&lt;1/1/1990,"",IF(Main[[#This Row],[Class]]="C",WORKDAY(Main[[#This Row],[Tech Start Date]],23),IF(Main[[#This Row],[Class]]="B", WORKDAY(Main[[#This Row],[Tech Start Date]],15),IF(Main[[#This Row],[Class]]="A",WORKDAY(Main[[#This Row],[Tech Start Date]],5),""))))</f>
        <v>40974</v>
      </c>
      <c r="P1473" s="69">
        <f>IF(Main[[#This Row],[Tech Start Date]]&lt;1/1/1990,"",IF(Main[[#This Row],[Class]]="C",WORKDAY(Main[[#This Row],[Tech Start Date]],28),IF(Main[[#This Row],[Class]]="B", WORKDAY(Main[[#This Row],[Tech Start Date]],19),IF(Main[[#This Row],[Class]]="A",WORKDAY(Main[[#This Row],[Tech Start Date]],9),""))))</f>
        <v>40980</v>
      </c>
      <c r="Q1473" s="67">
        <v>40814</v>
      </c>
      <c r="R1473" s="67">
        <v>40982</v>
      </c>
      <c r="S1473" s="65" t="s">
        <v>11</v>
      </c>
      <c r="T1473" s="70" t="s">
        <v>3985</v>
      </c>
      <c r="U1473" s="65" t="s">
        <v>29</v>
      </c>
      <c r="V1473" s="65" t="s">
        <v>1920</v>
      </c>
      <c r="W1473" s="65" t="s">
        <v>1925</v>
      </c>
      <c r="X1473" s="65" t="s">
        <v>2870</v>
      </c>
      <c r="Y1473" s="65" t="s">
        <v>4</v>
      </c>
      <c r="Z1473" s="65" t="s">
        <v>530</v>
      </c>
      <c r="AA1473" s="65" t="s">
        <v>2870</v>
      </c>
    </row>
    <row r="1474" spans="1:27" ht="17.45" customHeight="1">
      <c r="A1474" s="131" t="str">
        <f>IF(priority(Main[[#This Row],[Comments]])&lt;&gt;0, priority(Main[[#This Row],[Comments]]),"")</f>
        <v/>
      </c>
      <c r="B1474" s="99" t="s">
        <v>3986</v>
      </c>
      <c r="C1474" s="65" t="s">
        <v>3987</v>
      </c>
      <c r="D1474" s="66" t="s">
        <v>3988</v>
      </c>
      <c r="E1474" s="67">
        <v>40961.049814814818</v>
      </c>
      <c r="F1474" s="67">
        <v>41153</v>
      </c>
      <c r="G1474" s="64">
        <f>IF(stdProdLT(Main[[#This Row],[Comments]])=0.1,"N/A",IF(stdProdLT(Main[[#This Row],[Comments]])=0,"",stdProdLT(Main[[#This Row],[Comments]])))</f>
        <v>126</v>
      </c>
      <c r="H1474" s="68">
        <f>IF(AND(Main[[#This Row],[In Stock Date]]&lt;&gt;"",Main[[#This Row],[Revised Due Date]]&lt;&gt;""),Main[[#This Row],[In Stock Date]]-Main[[#This Row],[Revised Due Date]],"")</f>
        <v>143</v>
      </c>
      <c r="I1474" s="65" t="s">
        <v>767</v>
      </c>
      <c r="J1474" s="65" t="s">
        <v>28</v>
      </c>
      <c r="K1474" s="65" t="s">
        <v>1930</v>
      </c>
      <c r="L1474" s="67">
        <v>40967</v>
      </c>
      <c r="M1474" s="69">
        <f>IF(Main[[#This Row],[Tech Start Date]]&lt;1/1/1990,"",IF(Main[[#This Row],[Class]]="C",WORKDAY(Main[[#This Row],[Tech Start Date]],9),IF(Main[[#This Row],[Class]]="B", WORKDAY(Main[[#This Row],[Tech Start Date]],6),IF(Main[[#This Row],[Class]]="A",WORKDAY(Main[[#This Row],[Tech Start Date]],2),""))))</f>
        <v>40980</v>
      </c>
      <c r="N1474" s="69">
        <f>IF(Main[[#This Row],[Tech Start Date]]&lt;1/1/1990,"",IF(Main[[#This Row],[Class]]="C",WORKDAY(Main[[#This Row],[Tech Start Date]],19),IF(Main[[#This Row],[Class]]="B", WORKDAY(Main[[#This Row],[Tech Start Date]],12),IF(Main[[#This Row],[Class]]="A",WORKDAY(Main[[#This Row],[Tech Start Date]],4),""))))</f>
        <v>40994</v>
      </c>
      <c r="O1474" s="69">
        <f>IF(Main[[#This Row],[Tech Start Date]]&lt;1/1/1990,"",IF(Main[[#This Row],[Class]]="C",WORKDAY(Main[[#This Row],[Tech Start Date]],23),IF(Main[[#This Row],[Class]]="B", WORKDAY(Main[[#This Row],[Tech Start Date]],15),IF(Main[[#This Row],[Class]]="A",WORKDAY(Main[[#This Row],[Tech Start Date]],5),""))))</f>
        <v>40998</v>
      </c>
      <c r="P1474" s="69">
        <f>IF(Main[[#This Row],[Tech Start Date]]&lt;1/1/1990,"",IF(Main[[#This Row],[Class]]="C",WORKDAY(Main[[#This Row],[Tech Start Date]],28),IF(Main[[#This Row],[Class]]="B", WORKDAY(Main[[#This Row],[Tech Start Date]],19),IF(Main[[#This Row],[Class]]="A",WORKDAY(Main[[#This Row],[Tech Start Date]],9),""))))</f>
        <v>41005</v>
      </c>
      <c r="Q1474" s="67">
        <v>40909</v>
      </c>
      <c r="R1474" s="67">
        <v>41010</v>
      </c>
      <c r="S1474" s="65" t="s">
        <v>11</v>
      </c>
      <c r="T1474" s="70" t="s">
        <v>3989</v>
      </c>
      <c r="U1474" s="65" t="s">
        <v>29</v>
      </c>
      <c r="V1474" s="65" t="s">
        <v>1920</v>
      </c>
      <c r="W1474" s="65" t="s">
        <v>1922</v>
      </c>
      <c r="X1474" s="65" t="s">
        <v>2849</v>
      </c>
      <c r="Y1474" s="65" t="s">
        <v>4</v>
      </c>
      <c r="Z1474" s="65" t="s">
        <v>530</v>
      </c>
      <c r="AA1474" s="65" t="s">
        <v>2849</v>
      </c>
    </row>
    <row r="1475" spans="1:27" ht="17.45" customHeight="1">
      <c r="A1475" s="131" t="str">
        <f>IF(priority(Main[[#This Row],[Comments]])&lt;&gt;0, priority(Main[[#This Row],[Comments]]),"")</f>
        <v/>
      </c>
      <c r="B1475" s="99" t="s">
        <v>3361</v>
      </c>
      <c r="C1475" s="65" t="s">
        <v>148</v>
      </c>
      <c r="D1475" s="66" t="s">
        <v>3990</v>
      </c>
      <c r="E1475" s="67">
        <v>40967.72111111111</v>
      </c>
      <c r="F1475" s="67">
        <v>41045</v>
      </c>
      <c r="G1475" s="64" t="str">
        <f>IF(stdProdLT(Main[[#This Row],[Comments]])=0.1,"N/A",IF(stdProdLT(Main[[#This Row],[Comments]])=0,"",stdProdLT(Main[[#This Row],[Comments]])))</f>
        <v>N/A</v>
      </c>
      <c r="H1475" s="68">
        <f>IF(AND(Main[[#This Row],[In Stock Date]]&lt;&gt;"",Main[[#This Row],[Revised Due Date]]&lt;&gt;""),Main[[#This Row],[In Stock Date]]-Main[[#This Row],[Revised Due Date]],"")</f>
        <v>71</v>
      </c>
      <c r="I1475" s="65" t="s">
        <v>3949</v>
      </c>
      <c r="J1475" s="65" t="s">
        <v>28</v>
      </c>
      <c r="K1475" s="65" t="s">
        <v>1926</v>
      </c>
      <c r="L1475" s="67">
        <v>40967</v>
      </c>
      <c r="M1475" s="69">
        <f>IF(Main[[#This Row],[Tech Start Date]]&lt;1/1/1990,"",IF(Main[[#This Row],[Class]]="C",WORKDAY(Main[[#This Row],[Tech Start Date]],9),IF(Main[[#This Row],[Class]]="B", WORKDAY(Main[[#This Row],[Tech Start Date]],6),IF(Main[[#This Row],[Class]]="A",WORKDAY(Main[[#This Row],[Tech Start Date]],2),""))))</f>
        <v>40969</v>
      </c>
      <c r="N1475" s="69">
        <f>IF(Main[[#This Row],[Tech Start Date]]&lt;1/1/1990,"",IF(Main[[#This Row],[Class]]="C",WORKDAY(Main[[#This Row],[Tech Start Date]],19),IF(Main[[#This Row],[Class]]="B", WORKDAY(Main[[#This Row],[Tech Start Date]],12),IF(Main[[#This Row],[Class]]="A",WORKDAY(Main[[#This Row],[Tech Start Date]],4),""))))</f>
        <v>40973</v>
      </c>
      <c r="O1475" s="69">
        <f>IF(Main[[#This Row],[Tech Start Date]]&lt;1/1/1990,"",IF(Main[[#This Row],[Class]]="C",WORKDAY(Main[[#This Row],[Tech Start Date]],23),IF(Main[[#This Row],[Class]]="B", WORKDAY(Main[[#This Row],[Tech Start Date]],15),IF(Main[[#This Row],[Class]]="A",WORKDAY(Main[[#This Row],[Tech Start Date]],5),""))))</f>
        <v>40974</v>
      </c>
      <c r="P1475" s="69">
        <f>IF(Main[[#This Row],[Tech Start Date]]&lt;1/1/1990,"",IF(Main[[#This Row],[Class]]="C",WORKDAY(Main[[#This Row],[Tech Start Date]],28),IF(Main[[#This Row],[Class]]="B", WORKDAY(Main[[#This Row],[Tech Start Date]],19),IF(Main[[#This Row],[Class]]="A",WORKDAY(Main[[#This Row],[Tech Start Date]],9),""))))</f>
        <v>40980</v>
      </c>
      <c r="Q1475" s="67">
        <v>40939</v>
      </c>
      <c r="R1475" s="67">
        <v>40974</v>
      </c>
      <c r="S1475" s="65" t="s">
        <v>11</v>
      </c>
      <c r="T1475" s="70" t="s">
        <v>3991</v>
      </c>
      <c r="U1475" s="65" t="s">
        <v>29</v>
      </c>
      <c r="V1475" s="65" t="s">
        <v>1927</v>
      </c>
      <c r="W1475" s="65" t="s">
        <v>1925</v>
      </c>
      <c r="X1475" s="65" t="s">
        <v>3362</v>
      </c>
      <c r="Y1475" s="65" t="s">
        <v>3363</v>
      </c>
      <c r="Z1475" s="65" t="s">
        <v>530</v>
      </c>
      <c r="AA1475" s="65" t="s">
        <v>3362</v>
      </c>
    </row>
    <row r="1476" spans="1:27" ht="17.45" customHeight="1">
      <c r="A1476" s="131" t="str">
        <f>IF(priority(Main[[#This Row],[Comments]])&lt;&gt;0, priority(Main[[#This Row],[Comments]]),"")</f>
        <v/>
      </c>
      <c r="B1476" s="99" t="s">
        <v>3226</v>
      </c>
      <c r="C1476" s="65" t="s">
        <v>137</v>
      </c>
      <c r="D1476" s="66" t="s">
        <v>3992</v>
      </c>
      <c r="E1476" s="67">
        <v>40960.923657407409</v>
      </c>
      <c r="F1476" s="67">
        <v>41008</v>
      </c>
      <c r="G1476" s="64">
        <f>IF(stdProdLT(Main[[#This Row],[Comments]])=0.1,"N/A",IF(stdProdLT(Main[[#This Row],[Comments]])=0,"",stdProdLT(Main[[#This Row],[Comments]])))</f>
        <v>84</v>
      </c>
      <c r="H1476" s="68">
        <f>IF(AND(Main[[#This Row],[In Stock Date]]&lt;&gt;"",Main[[#This Row],[Revised Due Date]]&lt;&gt;""),Main[[#This Row],[In Stock Date]]-Main[[#This Row],[Revised Due Date]],"")</f>
        <v>34</v>
      </c>
      <c r="I1476" s="65" t="s">
        <v>69</v>
      </c>
      <c r="J1476" s="65" t="s">
        <v>70</v>
      </c>
      <c r="K1476" s="65" t="s">
        <v>1926</v>
      </c>
      <c r="L1476" s="67">
        <v>40967</v>
      </c>
      <c r="M1476" s="69">
        <f>IF(Main[[#This Row],[Tech Start Date]]&lt;1/1/1990,"",IF(Main[[#This Row],[Class]]="C",WORKDAY(Main[[#This Row],[Tech Start Date]],9),IF(Main[[#This Row],[Class]]="B", WORKDAY(Main[[#This Row],[Tech Start Date]],6),IF(Main[[#This Row],[Class]]="A",WORKDAY(Main[[#This Row],[Tech Start Date]],2),""))))</f>
        <v>40969</v>
      </c>
      <c r="N1476" s="69">
        <f>IF(Main[[#This Row],[Tech Start Date]]&lt;1/1/1990,"",IF(Main[[#This Row],[Class]]="C",WORKDAY(Main[[#This Row],[Tech Start Date]],19),IF(Main[[#This Row],[Class]]="B", WORKDAY(Main[[#This Row],[Tech Start Date]],12),IF(Main[[#This Row],[Class]]="A",WORKDAY(Main[[#This Row],[Tech Start Date]],4),""))))</f>
        <v>40973</v>
      </c>
      <c r="O1476" s="69">
        <f>IF(Main[[#This Row],[Tech Start Date]]&lt;1/1/1990,"",IF(Main[[#This Row],[Class]]="C",WORKDAY(Main[[#This Row],[Tech Start Date]],23),IF(Main[[#This Row],[Class]]="B", WORKDAY(Main[[#This Row],[Tech Start Date]],15),IF(Main[[#This Row],[Class]]="A",WORKDAY(Main[[#This Row],[Tech Start Date]],5),""))))</f>
        <v>40974</v>
      </c>
      <c r="P1476" s="69">
        <f>IF(Main[[#This Row],[Tech Start Date]]&lt;1/1/1990,"",IF(Main[[#This Row],[Class]]="C",WORKDAY(Main[[#This Row],[Tech Start Date]],28),IF(Main[[#This Row],[Class]]="B", WORKDAY(Main[[#This Row],[Tech Start Date]],19),IF(Main[[#This Row],[Class]]="A",WORKDAY(Main[[#This Row],[Tech Start Date]],9),""))))</f>
        <v>40980</v>
      </c>
      <c r="Q1476" s="67">
        <v>40935</v>
      </c>
      <c r="R1476" s="67">
        <v>40974</v>
      </c>
      <c r="S1476" s="65" t="s">
        <v>11</v>
      </c>
      <c r="T1476" s="70" t="s">
        <v>3993</v>
      </c>
      <c r="U1476" s="65" t="s">
        <v>29</v>
      </c>
      <c r="V1476" s="65" t="s">
        <v>1927</v>
      </c>
      <c r="W1476" s="65" t="s">
        <v>1925</v>
      </c>
      <c r="X1476" s="65" t="s">
        <v>2912</v>
      </c>
      <c r="Y1476" s="65" t="s">
        <v>3102</v>
      </c>
      <c r="Z1476" s="65" t="s">
        <v>530</v>
      </c>
      <c r="AA1476" s="65" t="s">
        <v>2912</v>
      </c>
    </row>
    <row r="1477" spans="1:27" ht="17.45" customHeight="1">
      <c r="A1477" s="131" t="str">
        <f>IF(priority(Main[[#This Row],[Comments]])&lt;&gt;0, priority(Main[[#This Row],[Comments]]),"")</f>
        <v/>
      </c>
      <c r="B1477" s="99" t="s">
        <v>3994</v>
      </c>
      <c r="C1477" s="65" t="s">
        <v>2755</v>
      </c>
      <c r="D1477" s="66" t="s">
        <v>3995</v>
      </c>
      <c r="E1477" s="67">
        <v>40962.642118055555</v>
      </c>
      <c r="F1477" s="67">
        <v>41090</v>
      </c>
      <c r="G1477" s="64">
        <f>IF(stdProdLT(Main[[#This Row],[Comments]])=0.1,"N/A",IF(stdProdLT(Main[[#This Row],[Comments]])=0,"",stdProdLT(Main[[#This Row],[Comments]])))</f>
        <v>98</v>
      </c>
      <c r="H1477" s="68">
        <f>IF(AND(Main[[#This Row],[In Stock Date]]&lt;&gt;"",Main[[#This Row],[Revised Due Date]]&lt;&gt;""),Main[[#This Row],[In Stock Date]]-Main[[#This Row],[Revised Due Date]],"")</f>
        <v>94</v>
      </c>
      <c r="I1477" s="65" t="s">
        <v>2047</v>
      </c>
      <c r="J1477" s="65" t="s">
        <v>28</v>
      </c>
      <c r="K1477" s="65" t="s">
        <v>1924</v>
      </c>
      <c r="L1477" s="67">
        <v>40967</v>
      </c>
      <c r="M1477" s="69">
        <f>IF(Main[[#This Row],[Tech Start Date]]&lt;1/1/1990,"",IF(Main[[#This Row],[Class]]="C",WORKDAY(Main[[#This Row],[Tech Start Date]],9),IF(Main[[#This Row],[Class]]="B", WORKDAY(Main[[#This Row],[Tech Start Date]],6),IF(Main[[#This Row],[Class]]="A",WORKDAY(Main[[#This Row],[Tech Start Date]],2),""))))</f>
        <v>40975</v>
      </c>
      <c r="N1477" s="69">
        <f>IF(Main[[#This Row],[Tech Start Date]]&lt;1/1/1990,"",IF(Main[[#This Row],[Class]]="C",WORKDAY(Main[[#This Row],[Tech Start Date]],19),IF(Main[[#This Row],[Class]]="B", WORKDAY(Main[[#This Row],[Tech Start Date]],12),IF(Main[[#This Row],[Class]]="A",WORKDAY(Main[[#This Row],[Tech Start Date]],4),""))))</f>
        <v>40983</v>
      </c>
      <c r="O1477" s="69">
        <f>IF(Main[[#This Row],[Tech Start Date]]&lt;1/1/1990,"",IF(Main[[#This Row],[Class]]="C",WORKDAY(Main[[#This Row],[Tech Start Date]],23),IF(Main[[#This Row],[Class]]="B", WORKDAY(Main[[#This Row],[Tech Start Date]],15),IF(Main[[#This Row],[Class]]="A",WORKDAY(Main[[#This Row],[Tech Start Date]],5),""))))</f>
        <v>40988</v>
      </c>
      <c r="P1477" s="69">
        <f>IF(Main[[#This Row],[Tech Start Date]]&lt;1/1/1990,"",IF(Main[[#This Row],[Class]]="C",WORKDAY(Main[[#This Row],[Tech Start Date]],28),IF(Main[[#This Row],[Class]]="B", WORKDAY(Main[[#This Row],[Tech Start Date]],19),IF(Main[[#This Row],[Class]]="A",WORKDAY(Main[[#This Row],[Tech Start Date]],9),""))))</f>
        <v>40994</v>
      </c>
      <c r="Q1477" s="67"/>
      <c r="R1477" s="67">
        <v>40996</v>
      </c>
      <c r="S1477" s="65" t="s">
        <v>11</v>
      </c>
      <c r="T1477" s="70" t="s">
        <v>3996</v>
      </c>
      <c r="U1477" s="65" t="s">
        <v>29</v>
      </c>
      <c r="V1477" s="65" t="s">
        <v>1920</v>
      </c>
      <c r="W1477" s="65" t="s">
        <v>1922</v>
      </c>
      <c r="X1477" s="65" t="s">
        <v>654</v>
      </c>
      <c r="Y1477" s="65" t="s">
        <v>3132</v>
      </c>
      <c r="Z1477" s="65" t="s">
        <v>530</v>
      </c>
      <c r="AA1477" s="65" t="s">
        <v>654</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C2:C4"/>
    <mergeCell ref="A2:B4"/>
  </mergeCells>
  <conditionalFormatting sqref="B6:B1477">
    <cfRule type="expression" dxfId="71" priority="21">
      <formula>atat($T6)=1</formula>
    </cfRule>
  </conditionalFormatting>
  <conditionalFormatting sqref="M6:P1477">
    <cfRule type="colorScale" priority="15">
      <colorScale>
        <cfvo type="num" val="TODAY()"/>
        <cfvo type="num" val="TODAY()+2"/>
        <cfvo type="num" val="TODAY()+4"/>
        <color rgb="FFD36767"/>
        <color rgb="FFFFFFD1"/>
        <color rgb="FFC0E391"/>
      </colorScale>
    </cfRule>
  </conditionalFormatting>
  <conditionalFormatting sqref="C6:R1048576">
    <cfRule type="expression" dxfId="70" priority="1453">
      <formula>OR($J6="Document Control", $J6="Quality")</formula>
    </cfRule>
  </conditionalFormatting>
  <conditionalFormatting sqref="C6:U1048576">
    <cfRule type="expression" dxfId="69" priority="1638">
      <formula>OR($U6="Design Hold", $U6="Define Requirements")</formula>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209550</xdr:colOff>
                <xdr:row>2</xdr:row>
                <xdr:rowOff>581025</xdr:rowOff>
              </from>
              <to>
                <xdr:col>3</xdr:col>
                <xdr:colOff>2400300</xdr:colOff>
                <xdr:row>3</xdr:row>
                <xdr:rowOff>28575</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209550</xdr:colOff>
                <xdr:row>2</xdr:row>
                <xdr:rowOff>190500</xdr:rowOff>
              </from>
              <to>
                <xdr:col>3</xdr:col>
                <xdr:colOff>2400300</xdr:colOff>
                <xdr:row>2</xdr:row>
                <xdr:rowOff>514350</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209550</xdr:colOff>
                <xdr:row>1</xdr:row>
                <xdr:rowOff>628650</xdr:rowOff>
              </from>
              <to>
                <xdr:col>3</xdr:col>
                <xdr:colOff>2400300</xdr:colOff>
                <xdr:row>2</xdr:row>
                <xdr:rowOff>133350</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209550</xdr:colOff>
                <xdr:row>1</xdr:row>
                <xdr:rowOff>247650</xdr:rowOff>
              </from>
              <to>
                <xdr:col>3</xdr:col>
                <xdr:colOff>2400300</xdr:colOff>
                <xdr:row>1</xdr:row>
                <xdr:rowOff>571500</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88"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autoPict="0" r:id="rId20">
            <anchor moveWithCells="1">
              <from>
                <xdr:col>2</xdr:col>
                <xdr:colOff>76200</xdr:colOff>
                <xdr:row>1</xdr:row>
                <xdr:rowOff>266700</xdr:rowOff>
              </from>
              <to>
                <xdr:col>2</xdr:col>
                <xdr:colOff>1790700</xdr:colOff>
                <xdr:row>1</xdr:row>
                <xdr:rowOff>647700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autoPict="0" r:id="rId22">
            <anchor moveWithCells="1">
              <from>
                <xdr:col>2</xdr:col>
                <xdr:colOff>76200</xdr:colOff>
                <xdr:row>1</xdr:row>
                <xdr:rowOff>695325</xdr:rowOff>
              </from>
              <to>
                <xdr:col>2</xdr:col>
                <xdr:colOff>1790700</xdr:colOff>
                <xdr:row>2</xdr:row>
                <xdr:rowOff>257175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autoPict="0" r:id="rId24">
            <anchor moveWithCells="1">
              <from>
                <xdr:col>2</xdr:col>
                <xdr:colOff>76200</xdr:colOff>
                <xdr:row>2</xdr:row>
                <xdr:rowOff>304800</xdr:rowOff>
              </from>
              <to>
                <xdr:col>2</xdr:col>
                <xdr:colOff>1790700</xdr:colOff>
                <xdr:row>2</xdr:row>
                <xdr:rowOff>685800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161925</xdr:colOff>
                <xdr:row>1</xdr:row>
                <xdr:rowOff>514350</xdr:rowOff>
              </from>
              <to>
                <xdr:col>1</xdr:col>
                <xdr:colOff>581025</xdr:colOff>
                <xdr:row>2</xdr:row>
                <xdr:rowOff>200025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moveWithCells="1">
              <from>
                <xdr:col>0</xdr:col>
                <xdr:colOff>114300</xdr:colOff>
                <xdr:row>2</xdr:row>
                <xdr:rowOff>352425</xdr:rowOff>
              </from>
              <to>
                <xdr:col>1</xdr:col>
                <xdr:colOff>657225</xdr:colOff>
                <xdr:row>2</xdr:row>
                <xdr:rowOff>666750</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moveWithCells="1">
              <from>
                <xdr:col>0</xdr:col>
                <xdr:colOff>114300</xdr:colOff>
                <xdr:row>2</xdr:row>
                <xdr:rowOff>704850</xdr:rowOff>
              </from>
              <to>
                <xdr:col>1</xdr:col>
                <xdr:colOff>657225</xdr:colOff>
                <xdr:row>3</xdr:row>
                <xdr:rowOff>142875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1</xdr:row>
                <xdr:rowOff>0</xdr:rowOff>
              </from>
              <to>
                <xdr:col>2</xdr:col>
                <xdr:colOff>1543050</xdr:colOff>
                <xdr:row>1</xdr:row>
                <xdr:rowOff>276225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2476500</xdr:colOff>
                <xdr:row>1</xdr:row>
                <xdr:rowOff>247650</xdr:rowOff>
              </from>
              <to>
                <xdr:col>3</xdr:col>
                <xdr:colOff>2790825</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2476500</xdr:colOff>
                <xdr:row>1</xdr:row>
                <xdr:rowOff>628650</xdr:rowOff>
              </from>
              <to>
                <xdr:col>3</xdr:col>
                <xdr:colOff>2790825</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2476500</xdr:colOff>
                <xdr:row>2</xdr:row>
                <xdr:rowOff>190500</xdr:rowOff>
              </from>
              <to>
                <xdr:col>3</xdr:col>
                <xdr:colOff>2790825</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2476500</xdr:colOff>
                <xdr:row>2</xdr:row>
                <xdr:rowOff>581025</xdr:rowOff>
              </from>
              <to>
                <xdr:col>3</xdr:col>
                <xdr:colOff>2790825</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1928" id="{A1FC3F13-76EB-4633-85C9-6092B91F0CE3}">
            <x14:iconSet iconSet="3Symbols2" custom="1">
              <x14:cfvo type="percent">
                <xm:f>0</xm:f>
              </x14:cfvo>
              <x14:cfvo type="num">
                <xm:f>TODAY()</xm:f>
              </x14:cfvo>
              <x14:cfvo type="num">
                <xm:f>TODAY()+2</xm:f>
              </x14:cfvo>
              <x14:cfIcon iconSet="3Signs" iconId="0"/>
              <x14:cfIcon iconSet="3Signs" iconId="1"/>
              <x14:cfIcon iconSet="NoIcons" iconId="0"/>
            </x14:iconSet>
          </x14:cfRule>
          <xm:sqref>R6:R1477</xm:sqref>
        </x14:conditionalFormatting>
        <x14:conditionalFormatting xmlns:xm="http://schemas.microsoft.com/office/excel/2006/main">
          <x14:cfRule type="iconSet" priority="1930" id="{2117E296-A918-4CFC-A156-CEDDE2B84118}">
            <x14:iconSet iconSet="3Symbols" custom="1">
              <x14:cfvo type="percent">
                <xm:f>0</xm:f>
              </x14:cfvo>
              <x14:cfvo type="num" gte="0">
                <xm:f>TODAY()</xm:f>
              </x14:cfvo>
              <x14:cfvo type="num" gte="0">
                <xm:f>TODAY()+4</xm:f>
              </x14:cfvo>
              <x14:cfIcon iconSet="3Signs" iconId="0"/>
              <x14:cfIcon iconSet="3Symbols2" iconId="1"/>
              <x14:cfIcon iconSet="3Symbols2" iconId="2"/>
            </x14:iconSet>
          </x14:cfRule>
          <xm:sqref>Q6:Q1477</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3" sqref="O3:P7"/>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86" t="s">
        <v>1000</v>
      </c>
      <c r="C2" s="87"/>
      <c r="D2" s="87"/>
      <c r="E2" s="87"/>
      <c r="F2" s="87"/>
      <c r="G2" s="87"/>
      <c r="H2" s="87"/>
      <c r="I2" s="87"/>
      <c r="J2" s="87"/>
      <c r="K2" s="87"/>
      <c r="L2" s="87"/>
      <c r="M2" s="88"/>
      <c r="O2" s="92" t="s">
        <v>3588</v>
      </c>
      <c r="P2" s="93"/>
      <c r="Q2" s="92" t="s">
        <v>1947</v>
      </c>
      <c r="R2" s="93"/>
    </row>
    <row r="3" spans="2:18" s="7" customFormat="1" ht="19.5" customHeight="1" thickTop="1">
      <c r="B3" s="89" t="s">
        <v>984</v>
      </c>
      <c r="C3" s="23" t="s">
        <v>988</v>
      </c>
      <c r="D3" s="17" t="s">
        <v>11</v>
      </c>
      <c r="E3" s="18"/>
      <c r="F3" s="18"/>
      <c r="G3" s="18"/>
      <c r="H3" s="18"/>
      <c r="I3" s="18"/>
      <c r="J3" s="18"/>
      <c r="K3" s="18"/>
      <c r="L3" s="18"/>
      <c r="M3" s="19"/>
      <c r="N3" s="9"/>
      <c r="O3" s="94" t="s">
        <v>3998</v>
      </c>
      <c r="P3" s="94"/>
      <c r="Q3" s="94" t="s">
        <v>2664</v>
      </c>
      <c r="R3" s="94"/>
    </row>
    <row r="4" spans="2:18" s="7" customFormat="1" ht="19.5" customHeight="1">
      <c r="B4" s="90"/>
      <c r="C4" s="24" t="s">
        <v>1939</v>
      </c>
      <c r="D4" s="29" t="s">
        <v>1917</v>
      </c>
      <c r="E4" s="30"/>
      <c r="F4" s="30"/>
      <c r="G4" s="30"/>
      <c r="H4" s="30"/>
      <c r="I4" s="30"/>
      <c r="J4" s="30"/>
      <c r="K4" s="30"/>
      <c r="L4" s="30"/>
      <c r="M4" s="31"/>
      <c r="N4" s="9"/>
      <c r="O4" s="95"/>
      <c r="P4" s="95"/>
      <c r="Q4" s="95"/>
      <c r="R4" s="95"/>
    </row>
    <row r="5" spans="2:18" s="8" customFormat="1" ht="19.5" customHeight="1">
      <c r="B5" s="90"/>
      <c r="C5" s="24" t="s">
        <v>989</v>
      </c>
      <c r="D5" s="20">
        <v>1</v>
      </c>
      <c r="E5" s="21">
        <v>2</v>
      </c>
      <c r="F5" s="21">
        <v>3</v>
      </c>
      <c r="G5" s="21">
        <v>4</v>
      </c>
      <c r="H5" s="21">
        <v>5</v>
      </c>
      <c r="I5" s="21">
        <v>6</v>
      </c>
      <c r="J5" s="21">
        <v>7</v>
      </c>
      <c r="K5" s="21">
        <v>0</v>
      </c>
      <c r="L5" s="21">
        <v>0</v>
      </c>
      <c r="M5" s="22">
        <v>0</v>
      </c>
      <c r="N5" s="9"/>
      <c r="O5" s="95"/>
      <c r="P5" s="95"/>
      <c r="Q5" s="95"/>
      <c r="R5" s="95"/>
    </row>
    <row r="6" spans="2:18" ht="19.5" customHeight="1">
      <c r="B6" s="90"/>
      <c r="C6" s="24" t="s">
        <v>990</v>
      </c>
      <c r="D6" s="20" t="s">
        <v>7</v>
      </c>
      <c r="E6" s="21" t="s">
        <v>29</v>
      </c>
      <c r="F6" s="21" t="s">
        <v>534</v>
      </c>
      <c r="G6" s="21" t="s">
        <v>696</v>
      </c>
      <c r="H6" s="21"/>
      <c r="I6" s="21"/>
      <c r="J6" s="21"/>
      <c r="K6" s="21"/>
      <c r="L6" s="21"/>
      <c r="M6" s="22"/>
      <c r="O6" s="95"/>
      <c r="P6" s="95"/>
      <c r="Q6" s="95"/>
      <c r="R6" s="95"/>
    </row>
    <row r="7" spans="2:18" ht="19.5" customHeight="1" thickBot="1">
      <c r="B7" s="90"/>
      <c r="C7" s="24" t="s">
        <v>3169</v>
      </c>
      <c r="D7" s="27" t="s">
        <v>7</v>
      </c>
      <c r="E7" s="27" t="s">
        <v>29</v>
      </c>
      <c r="F7" s="27" t="s">
        <v>534</v>
      </c>
      <c r="G7" s="27" t="s">
        <v>696</v>
      </c>
      <c r="H7" s="27"/>
      <c r="I7" s="27"/>
      <c r="J7" s="27"/>
      <c r="K7" s="27"/>
      <c r="L7" s="27"/>
      <c r="M7" s="27"/>
      <c r="O7" s="95"/>
      <c r="P7" s="95"/>
      <c r="Q7" s="95"/>
      <c r="R7" s="95"/>
    </row>
    <row r="8" spans="2:18" ht="19.5" customHeight="1" thickTop="1" thickBot="1">
      <c r="B8" s="91"/>
      <c r="C8" s="25" t="s">
        <v>3170</v>
      </c>
      <c r="D8" s="28" t="s">
        <v>3224</v>
      </c>
      <c r="E8" s="28"/>
      <c r="F8" s="28"/>
      <c r="G8" s="28"/>
      <c r="H8" s="28"/>
      <c r="I8" s="28"/>
      <c r="J8" s="28"/>
      <c r="K8" s="28"/>
      <c r="L8" s="28"/>
      <c r="M8" s="28"/>
      <c r="O8" s="97" t="s">
        <v>2158</v>
      </c>
      <c r="P8" s="97"/>
      <c r="Q8" s="97" t="s">
        <v>3188</v>
      </c>
      <c r="R8" s="97"/>
    </row>
    <row r="9" spans="2:18" ht="19.5" customHeight="1" thickTop="1" thickBot="1">
      <c r="B9" s="89" t="s">
        <v>985</v>
      </c>
      <c r="C9" s="23" t="s">
        <v>991</v>
      </c>
      <c r="D9" s="17" t="s">
        <v>11</v>
      </c>
      <c r="E9" s="18"/>
      <c r="F9" s="18"/>
      <c r="G9" s="18"/>
      <c r="H9" s="18"/>
      <c r="I9" s="18"/>
      <c r="J9" s="18"/>
      <c r="K9" s="18"/>
      <c r="L9" s="18"/>
      <c r="M9" s="19"/>
      <c r="O9" s="96">
        <v>0</v>
      </c>
      <c r="P9" s="96"/>
      <c r="Q9" s="96" t="b">
        <v>1</v>
      </c>
      <c r="R9" s="96"/>
    </row>
    <row r="10" spans="2:18" s="7" customFormat="1" ht="19.5" customHeight="1" thickTop="1" thickBot="1">
      <c r="B10" s="90"/>
      <c r="C10" s="24" t="s">
        <v>1942</v>
      </c>
      <c r="D10" s="29" t="s">
        <v>1920</v>
      </c>
      <c r="E10" s="30" t="s">
        <v>1927</v>
      </c>
      <c r="F10" s="30"/>
      <c r="G10" s="30"/>
      <c r="H10" s="30"/>
      <c r="I10" s="30"/>
      <c r="J10" s="30"/>
      <c r="K10" s="30"/>
      <c r="L10" s="30"/>
      <c r="M10" s="31"/>
      <c r="N10" s="9"/>
      <c r="O10" s="97" t="s">
        <v>2269</v>
      </c>
      <c r="P10" s="97"/>
      <c r="Q10" s="97" t="s">
        <v>2270</v>
      </c>
      <c r="R10" s="97"/>
    </row>
    <row r="11" spans="2:18" ht="19.5" customHeight="1" thickTop="1" thickBot="1">
      <c r="B11" s="90"/>
      <c r="C11" s="24" t="s">
        <v>992</v>
      </c>
      <c r="D11" s="20">
        <v>1</v>
      </c>
      <c r="E11" s="21">
        <v>2</v>
      </c>
      <c r="F11" s="21">
        <v>3</v>
      </c>
      <c r="G11" s="21">
        <v>4</v>
      </c>
      <c r="H11" s="21">
        <v>5</v>
      </c>
      <c r="I11" s="21">
        <v>6</v>
      </c>
      <c r="J11" s="21">
        <v>7</v>
      </c>
      <c r="K11" s="21">
        <v>0</v>
      </c>
      <c r="L11" s="21">
        <v>0</v>
      </c>
      <c r="M11" s="22">
        <v>0</v>
      </c>
      <c r="O11" s="96" t="s">
        <v>86</v>
      </c>
      <c r="P11" s="96"/>
      <c r="Q11" s="96" t="s">
        <v>1926</v>
      </c>
      <c r="R11" s="96"/>
    </row>
    <row r="12" spans="2:18" ht="19.5" customHeight="1" thickTop="1" thickBot="1">
      <c r="B12" s="90"/>
      <c r="C12" s="24" t="s">
        <v>993</v>
      </c>
      <c r="D12" s="20" t="s">
        <v>7</v>
      </c>
      <c r="E12" s="21" t="s">
        <v>29</v>
      </c>
      <c r="F12" s="21" t="s">
        <v>534</v>
      </c>
      <c r="G12" s="21" t="s">
        <v>696</v>
      </c>
      <c r="H12" s="21"/>
      <c r="I12" s="21"/>
      <c r="J12" s="21"/>
      <c r="K12" s="21"/>
      <c r="L12" s="21"/>
      <c r="M12" s="22"/>
      <c r="O12" s="97" t="s">
        <v>3168</v>
      </c>
      <c r="P12" s="97"/>
      <c r="Q12" s="97" t="s">
        <v>3589</v>
      </c>
      <c r="R12" s="97"/>
    </row>
    <row r="13" spans="2:18" ht="19.5" customHeight="1" thickTop="1" thickBot="1">
      <c r="B13" s="90"/>
      <c r="C13" s="24" t="s">
        <v>3171</v>
      </c>
      <c r="D13" s="27"/>
      <c r="E13" s="27"/>
      <c r="F13" s="27"/>
      <c r="G13" s="27"/>
      <c r="H13" s="27"/>
      <c r="I13" s="27"/>
      <c r="J13" s="27"/>
      <c r="K13" s="27"/>
      <c r="L13" s="27"/>
      <c r="M13" s="27"/>
      <c r="O13" s="96"/>
      <c r="P13" s="96"/>
      <c r="Q13" s="96" t="s">
        <v>3590</v>
      </c>
      <c r="R13" s="96"/>
    </row>
    <row r="14" spans="2:18" ht="19.5" customHeight="1" thickTop="1" thickBot="1">
      <c r="B14" s="91"/>
      <c r="C14" s="25" t="s">
        <v>3172</v>
      </c>
      <c r="D14" s="28"/>
      <c r="E14" s="28"/>
      <c r="F14" s="28"/>
      <c r="G14" s="28"/>
      <c r="H14" s="28"/>
      <c r="I14" s="28"/>
      <c r="J14" s="28"/>
      <c r="K14" s="28"/>
      <c r="L14" s="28"/>
      <c r="M14" s="28"/>
      <c r="O14" s="7"/>
      <c r="P14" s="7"/>
      <c r="Q14" s="7"/>
      <c r="R14" s="7"/>
    </row>
    <row r="15" spans="2:18" ht="19.5" customHeight="1" thickTop="1">
      <c r="B15" s="89" t="s">
        <v>986</v>
      </c>
      <c r="C15" s="23" t="s">
        <v>994</v>
      </c>
      <c r="D15" s="17" t="s">
        <v>11</v>
      </c>
      <c r="E15" s="18"/>
      <c r="F15" s="18"/>
      <c r="G15" s="18"/>
      <c r="H15" s="18"/>
      <c r="I15" s="18"/>
      <c r="J15" s="18"/>
      <c r="K15" s="18"/>
      <c r="L15" s="18"/>
      <c r="M15" s="19"/>
      <c r="O15" s="7"/>
      <c r="P15" s="7"/>
      <c r="Q15" s="7"/>
      <c r="R15" s="7"/>
    </row>
    <row r="16" spans="2:18" ht="19.5" customHeight="1">
      <c r="B16" s="90"/>
      <c r="C16" s="24" t="s">
        <v>1941</v>
      </c>
      <c r="D16" s="29" t="s">
        <v>1918</v>
      </c>
      <c r="E16" s="30"/>
      <c r="F16" s="30"/>
      <c r="G16" s="30"/>
      <c r="H16" s="30"/>
      <c r="I16" s="30"/>
      <c r="J16" s="30"/>
      <c r="K16" s="30"/>
      <c r="L16" s="30"/>
      <c r="M16" s="31"/>
      <c r="O16" s="7"/>
      <c r="P16" s="7"/>
      <c r="Q16" s="7"/>
      <c r="R16" s="7"/>
    </row>
    <row r="17" spans="1:24" ht="19.5" customHeight="1">
      <c r="B17" s="90"/>
      <c r="C17" s="24" t="s">
        <v>995</v>
      </c>
      <c r="D17" s="20">
        <v>1</v>
      </c>
      <c r="E17" s="21">
        <v>2</v>
      </c>
      <c r="F17" s="21">
        <v>3</v>
      </c>
      <c r="G17" s="21">
        <v>4</v>
      </c>
      <c r="H17" s="21">
        <v>5</v>
      </c>
      <c r="I17" s="21">
        <v>6</v>
      </c>
      <c r="J17" s="21">
        <v>7</v>
      </c>
      <c r="K17" s="21">
        <v>0</v>
      </c>
      <c r="L17" s="21">
        <v>0</v>
      </c>
      <c r="M17" s="22">
        <v>0</v>
      </c>
      <c r="O17" s="7"/>
      <c r="P17" s="7"/>
      <c r="Q17" s="7"/>
      <c r="R17" s="7"/>
    </row>
    <row r="18" spans="1:24" ht="19.5" customHeight="1">
      <c r="B18" s="90"/>
      <c r="C18" s="24" t="s">
        <v>996</v>
      </c>
      <c r="D18" s="20" t="s">
        <v>7</v>
      </c>
      <c r="E18" s="21" t="s">
        <v>29</v>
      </c>
      <c r="F18" s="21" t="s">
        <v>534</v>
      </c>
      <c r="G18" s="21" t="s">
        <v>696</v>
      </c>
      <c r="H18" s="21"/>
      <c r="I18" s="21"/>
      <c r="J18" s="21"/>
      <c r="K18" s="21"/>
      <c r="L18" s="21"/>
      <c r="M18" s="22"/>
    </row>
    <row r="19" spans="1:24" ht="19.5" customHeight="1">
      <c r="B19" s="90"/>
      <c r="C19" s="24" t="s">
        <v>3173</v>
      </c>
      <c r="D19" s="27" t="s">
        <v>7</v>
      </c>
      <c r="E19" s="27" t="s">
        <v>29</v>
      </c>
      <c r="F19" s="27" t="s">
        <v>534</v>
      </c>
      <c r="G19" s="27" t="s">
        <v>696</v>
      </c>
      <c r="H19" s="27"/>
      <c r="I19" s="27"/>
      <c r="J19" s="27"/>
      <c r="K19" s="27"/>
      <c r="L19" s="27"/>
      <c r="M19" s="27"/>
    </row>
    <row r="20" spans="1:24" ht="19.5" customHeight="1" thickBot="1">
      <c r="B20" s="91"/>
      <c r="C20" s="25" t="s">
        <v>3174</v>
      </c>
      <c r="D20" s="28"/>
      <c r="E20" s="28"/>
      <c r="F20" s="28"/>
      <c r="G20" s="28"/>
      <c r="H20" s="28"/>
      <c r="I20" s="28"/>
      <c r="J20" s="28"/>
      <c r="K20" s="28"/>
      <c r="L20" s="28"/>
      <c r="M20" s="28"/>
    </row>
    <row r="21" spans="1:24" ht="19.5" customHeight="1" thickTop="1">
      <c r="B21" s="89" t="s">
        <v>987</v>
      </c>
      <c r="C21" s="23" t="s">
        <v>997</v>
      </c>
      <c r="D21" s="17" t="s">
        <v>11</v>
      </c>
      <c r="E21" s="18"/>
      <c r="F21" s="18"/>
      <c r="G21" s="18"/>
      <c r="H21" s="18"/>
      <c r="I21" s="18"/>
      <c r="J21" s="18"/>
      <c r="K21" s="18"/>
      <c r="L21" s="18"/>
      <c r="M21" s="19"/>
    </row>
    <row r="22" spans="1:24" ht="19.5" customHeight="1">
      <c r="B22" s="90"/>
      <c r="C22" s="24" t="s">
        <v>1940</v>
      </c>
      <c r="D22" s="29" t="s">
        <v>1932</v>
      </c>
      <c r="E22" s="30"/>
      <c r="F22" s="30"/>
      <c r="G22" s="30"/>
      <c r="H22" s="30"/>
      <c r="I22" s="30"/>
      <c r="J22" s="30"/>
      <c r="K22" s="30"/>
      <c r="L22" s="30"/>
      <c r="M22" s="31"/>
    </row>
    <row r="23" spans="1:24" ht="19.5" customHeight="1">
      <c r="B23" s="90"/>
      <c r="C23" s="24" t="s">
        <v>998</v>
      </c>
      <c r="D23" s="20">
        <v>1</v>
      </c>
      <c r="E23" s="21">
        <v>2</v>
      </c>
      <c r="F23" s="21">
        <v>3</v>
      </c>
      <c r="G23" s="21">
        <v>4</v>
      </c>
      <c r="H23" s="21">
        <v>5</v>
      </c>
      <c r="I23" s="21">
        <v>6</v>
      </c>
      <c r="J23" s="21">
        <v>7</v>
      </c>
      <c r="K23" s="21">
        <v>0</v>
      </c>
      <c r="L23" s="21">
        <v>0</v>
      </c>
      <c r="M23" s="22">
        <v>0</v>
      </c>
    </row>
    <row r="24" spans="1:24" ht="19.5" customHeight="1">
      <c r="B24" s="90"/>
      <c r="C24" s="24" t="s">
        <v>999</v>
      </c>
      <c r="D24" s="20" t="s">
        <v>7</v>
      </c>
      <c r="E24" s="21" t="s">
        <v>29</v>
      </c>
      <c r="F24" s="21" t="s">
        <v>534</v>
      </c>
      <c r="G24" s="21" t="s">
        <v>696</v>
      </c>
      <c r="H24" s="21"/>
      <c r="I24" s="21"/>
      <c r="J24" s="21"/>
      <c r="K24" s="21"/>
      <c r="L24" s="21"/>
      <c r="M24" s="22"/>
    </row>
    <row r="25" spans="1:24" ht="19.5" customHeight="1">
      <c r="B25" s="90"/>
      <c r="C25" s="24" t="s">
        <v>3175</v>
      </c>
      <c r="D25" s="27"/>
      <c r="E25" s="27"/>
      <c r="F25" s="27"/>
      <c r="G25" s="27"/>
      <c r="H25" s="27"/>
      <c r="I25" s="27"/>
      <c r="J25" s="27"/>
      <c r="K25" s="27"/>
      <c r="L25" s="27"/>
      <c r="M25" s="27"/>
    </row>
    <row r="26" spans="1:24" ht="19.5" customHeight="1" thickBot="1">
      <c r="B26" s="91"/>
      <c r="C26" s="25" t="s">
        <v>3176</v>
      </c>
      <c r="D26" s="28"/>
      <c r="E26" s="28"/>
      <c r="F26" s="28"/>
      <c r="G26" s="28"/>
      <c r="H26" s="28"/>
      <c r="I26" s="28"/>
      <c r="J26" s="28"/>
      <c r="K26" s="28"/>
      <c r="L26" s="28"/>
      <c r="M26" s="28"/>
    </row>
    <row r="27" spans="1:24" ht="35.25" customHeight="1" thickTop="1" thickBot="1">
      <c r="C27" s="80" t="s">
        <v>978</v>
      </c>
      <c r="D27" s="81"/>
      <c r="E27" s="81"/>
      <c r="F27" s="82"/>
      <c r="G27" s="80" t="s">
        <v>983</v>
      </c>
      <c r="H27" s="81"/>
      <c r="I27" s="81"/>
      <c r="J27" s="81"/>
      <c r="K27" s="83" t="s">
        <v>1933</v>
      </c>
      <c r="L27" s="84"/>
      <c r="M27" s="84"/>
      <c r="N27" s="84"/>
      <c r="O27" s="85"/>
    </row>
    <row r="28" spans="1:24" s="11" customFormat="1" ht="21" thickTop="1">
      <c r="A28" s="10"/>
      <c r="B28" s="10"/>
      <c r="C28" s="13" t="s">
        <v>984</v>
      </c>
      <c r="D28" s="13" t="s">
        <v>985</v>
      </c>
      <c r="E28" s="13" t="s">
        <v>986</v>
      </c>
      <c r="F28" s="13" t="s">
        <v>1001</v>
      </c>
      <c r="G28" s="16" t="s">
        <v>1003</v>
      </c>
      <c r="H28" s="14" t="s">
        <v>969</v>
      </c>
      <c r="I28" s="14" t="s">
        <v>3</v>
      </c>
      <c r="J28" s="15" t="s">
        <v>1009</v>
      </c>
      <c r="K28" s="26" t="s">
        <v>968</v>
      </c>
      <c r="L28" s="12" t="s">
        <v>966</v>
      </c>
      <c r="M28" s="12" t="s">
        <v>967</v>
      </c>
      <c r="N28" s="12" t="s">
        <v>979</v>
      </c>
      <c r="O28" s="12" t="s">
        <v>980</v>
      </c>
      <c r="X28" s="4"/>
    </row>
    <row r="29" spans="1:24" ht="17.25" customHeight="1">
      <c r="C29" s="2" t="s">
        <v>879</v>
      </c>
      <c r="D29" s="2" t="s">
        <v>1979</v>
      </c>
      <c r="E29" s="2" t="s">
        <v>958</v>
      </c>
      <c r="F29" s="12" t="s">
        <v>2214</v>
      </c>
      <c r="G29" t="s">
        <v>3281</v>
      </c>
      <c r="H29" s="2" t="s">
        <v>11</v>
      </c>
      <c r="I29" s="2" t="s">
        <v>14</v>
      </c>
      <c r="J29" s="12" t="s">
        <v>1925</v>
      </c>
      <c r="K29" s="12" t="s">
        <v>1926</v>
      </c>
      <c r="L29" s="12">
        <v>2</v>
      </c>
      <c r="M29" s="12">
        <v>4</v>
      </c>
      <c r="N29" s="12">
        <v>5</v>
      </c>
      <c r="O29" s="12">
        <v>9</v>
      </c>
      <c r="X29" s="11"/>
    </row>
    <row r="30" spans="1:24" ht="17.25" customHeight="1">
      <c r="C30" s="2" t="s">
        <v>50</v>
      </c>
      <c r="D30" s="2" t="s">
        <v>973</v>
      </c>
      <c r="E30" s="2" t="s">
        <v>50</v>
      </c>
      <c r="F30" s="12" t="s">
        <v>2016</v>
      </c>
      <c r="G30" t="s">
        <v>2611</v>
      </c>
      <c r="H30" s="2" t="s">
        <v>17</v>
      </c>
      <c r="I30" s="2" t="s">
        <v>981</v>
      </c>
      <c r="J30" s="12" t="s">
        <v>1923</v>
      </c>
      <c r="K30" s="12" t="s">
        <v>1924</v>
      </c>
      <c r="L30" s="12">
        <v>6</v>
      </c>
      <c r="M30" s="12">
        <v>12</v>
      </c>
      <c r="N30" s="12">
        <v>15</v>
      </c>
      <c r="O30" s="12">
        <v>19</v>
      </c>
    </row>
    <row r="31" spans="1:24" ht="17.25" customHeight="1">
      <c r="C31" s="2" t="s">
        <v>970</v>
      </c>
      <c r="D31" s="2" t="s">
        <v>2054</v>
      </c>
      <c r="E31" s="2" t="s">
        <v>2630</v>
      </c>
      <c r="F31" s="12" t="s">
        <v>306</v>
      </c>
      <c r="G31" t="s">
        <v>2029</v>
      </c>
      <c r="H31" s="2" t="s">
        <v>411</v>
      </c>
      <c r="I31" s="3" t="s">
        <v>12</v>
      </c>
      <c r="J31" s="12" t="s">
        <v>1931</v>
      </c>
      <c r="K31" s="12" t="s">
        <v>1930</v>
      </c>
      <c r="L31" s="12">
        <v>9</v>
      </c>
      <c r="M31" s="12">
        <v>19</v>
      </c>
      <c r="N31" s="12">
        <v>23</v>
      </c>
      <c r="O31" s="12">
        <v>28</v>
      </c>
    </row>
    <row r="32" spans="1:24" ht="17.25" customHeight="1">
      <c r="C32" s="2" t="s">
        <v>306</v>
      </c>
      <c r="D32" s="2" t="s">
        <v>239</v>
      </c>
      <c r="E32" s="2" t="s">
        <v>306</v>
      </c>
      <c r="F32" s="12" t="s">
        <v>2209</v>
      </c>
      <c r="G32" t="s">
        <v>75</v>
      </c>
      <c r="H32" s="2" t="s">
        <v>6</v>
      </c>
      <c r="I32" s="2" t="s">
        <v>696</v>
      </c>
      <c r="J32" s="12" t="s">
        <v>1919</v>
      </c>
      <c r="K32" s="12" t="s">
        <v>1929</v>
      </c>
      <c r="L32" s="12">
        <v>15</v>
      </c>
      <c r="M32" s="12">
        <v>19</v>
      </c>
      <c r="N32" s="12">
        <v>35</v>
      </c>
      <c r="O32" s="12">
        <v>60</v>
      </c>
    </row>
    <row r="33" spans="3:14" ht="17.25" customHeight="1">
      <c r="C33" s="2" t="s">
        <v>44</v>
      </c>
      <c r="D33" s="2" t="s">
        <v>2047</v>
      </c>
      <c r="E33" s="2" t="s">
        <v>399</v>
      </c>
      <c r="F33" s="12" t="s">
        <v>399</v>
      </c>
      <c r="G33" t="s">
        <v>1981</v>
      </c>
      <c r="H33" s="3" t="s">
        <v>296</v>
      </c>
      <c r="I33" s="2" t="s">
        <v>534</v>
      </c>
      <c r="J33" s="12" t="s">
        <v>1921</v>
      </c>
      <c r="K33" s="9"/>
      <c r="L33" s="4"/>
      <c r="M33" s="4"/>
      <c r="N33" s="4"/>
    </row>
    <row r="34" spans="3:14" ht="17.25" customHeight="1">
      <c r="C34" s="2" t="s">
        <v>399</v>
      </c>
      <c r="D34" s="2" t="s">
        <v>3949</v>
      </c>
      <c r="E34" s="2" t="s">
        <v>417</v>
      </c>
      <c r="F34" s="39" t="s">
        <v>948</v>
      </c>
      <c r="G34" t="s">
        <v>70</v>
      </c>
      <c r="H34" s="2" t="s">
        <v>318</v>
      </c>
      <c r="I34" s="2" t="s">
        <v>103</v>
      </c>
      <c r="J34" s="12" t="s">
        <v>1922</v>
      </c>
      <c r="K34" s="9"/>
      <c r="L34" s="4"/>
      <c r="M34" s="4"/>
      <c r="N34" s="4"/>
    </row>
    <row r="35" spans="3:14" ht="17.25" customHeight="1">
      <c r="C35" s="2" t="s">
        <v>417</v>
      </c>
      <c r="D35" s="2" t="s">
        <v>81</v>
      </c>
      <c r="E35" s="2" t="s">
        <v>2254</v>
      </c>
      <c r="F35" s="39" t="s">
        <v>102</v>
      </c>
      <c r="G35" t="s">
        <v>2215</v>
      </c>
      <c r="H35" s="2" t="s">
        <v>23</v>
      </c>
      <c r="I35" s="2" t="s">
        <v>7</v>
      </c>
      <c r="J35" s="12" t="s">
        <v>1928</v>
      </c>
      <c r="K35" s="9"/>
      <c r="L35" s="4"/>
      <c r="M35" s="4"/>
      <c r="N35" s="4"/>
    </row>
    <row r="36" spans="3:14" ht="17.25" customHeight="1">
      <c r="C36" s="2" t="s">
        <v>909</v>
      </c>
      <c r="D36" s="2" t="s">
        <v>50</v>
      </c>
      <c r="E36" s="2" t="s">
        <v>948</v>
      </c>
      <c r="F36" s="40" t="s">
        <v>2211</v>
      </c>
      <c r="G36" t="s">
        <v>51</v>
      </c>
      <c r="H36" s="2" t="s">
        <v>49</v>
      </c>
      <c r="I36" s="2" t="s">
        <v>29</v>
      </c>
      <c r="K36" s="9"/>
      <c r="L36" s="4"/>
      <c r="M36" s="4"/>
      <c r="N36" s="4"/>
    </row>
    <row r="37" spans="3:14" ht="17.25" customHeight="1">
      <c r="C37" s="2" t="s">
        <v>562</v>
      </c>
      <c r="D37" s="2" t="s">
        <v>747</v>
      </c>
      <c r="E37" s="2" t="s">
        <v>944</v>
      </c>
      <c r="F37" s="40" t="s">
        <v>924</v>
      </c>
      <c r="G37" t="s">
        <v>982</v>
      </c>
      <c r="K37" s="9"/>
      <c r="L37" s="4"/>
      <c r="M37" s="4"/>
      <c r="N37" s="4"/>
    </row>
    <row r="38" spans="3:14" ht="17.25" customHeight="1">
      <c r="C38" s="2" t="s">
        <v>102</v>
      </c>
      <c r="D38" s="2" t="s">
        <v>970</v>
      </c>
      <c r="E38" s="2" t="s">
        <v>102</v>
      </c>
      <c r="F38" s="40" t="s">
        <v>2017</v>
      </c>
      <c r="G38" t="s">
        <v>52</v>
      </c>
      <c r="H38" s="5"/>
      <c r="K38" s="9"/>
      <c r="L38" s="4"/>
      <c r="M38" s="4"/>
      <c r="N38" s="4"/>
    </row>
    <row r="39" spans="3:14" ht="17.25" customHeight="1">
      <c r="C39" s="2" t="s">
        <v>710</v>
      </c>
      <c r="D39" s="2" t="s">
        <v>885</v>
      </c>
      <c r="E39" s="2" t="s">
        <v>942</v>
      </c>
      <c r="F39" s="61" t="s">
        <v>2021</v>
      </c>
      <c r="G39" t="s">
        <v>21</v>
      </c>
      <c r="K39" s="9"/>
      <c r="L39" s="4"/>
      <c r="M39" s="4"/>
      <c r="N39" s="4"/>
    </row>
    <row r="40" spans="3:14" ht="17.25" customHeight="1">
      <c r="C40" s="2" t="s">
        <v>2211</v>
      </c>
      <c r="D40" s="2" t="s">
        <v>306</v>
      </c>
      <c r="E40" s="2" t="s">
        <v>2211</v>
      </c>
      <c r="F40" s="4"/>
      <c r="G40" t="s">
        <v>28</v>
      </c>
      <c r="K40" s="9"/>
      <c r="L40" s="4"/>
      <c r="M40" s="4"/>
      <c r="N40" s="4"/>
    </row>
    <row r="41" spans="3:14" ht="17.25" customHeight="1">
      <c r="C41" s="2" t="s">
        <v>891</v>
      </c>
      <c r="D41" s="2" t="s">
        <v>44</v>
      </c>
      <c r="E41" s="2" t="s">
        <v>891</v>
      </c>
      <c r="K41" s="9"/>
      <c r="L41" s="4"/>
      <c r="M41" s="4"/>
      <c r="N41" s="4"/>
    </row>
    <row r="42" spans="3:14" ht="17.25" customHeight="1">
      <c r="C42" s="2" t="s">
        <v>2055</v>
      </c>
      <c r="D42" s="2" t="s">
        <v>2028</v>
      </c>
      <c r="E42" s="2" t="s">
        <v>108</v>
      </c>
      <c r="K42" s="9"/>
      <c r="L42" s="4"/>
      <c r="M42" s="4"/>
      <c r="N42" s="4"/>
    </row>
    <row r="43" spans="3:14" ht="17.25" customHeight="1">
      <c r="C43" s="2" t="s">
        <v>126</v>
      </c>
      <c r="D43" s="2" t="s">
        <v>399</v>
      </c>
      <c r="E43" s="34" t="s">
        <v>977</v>
      </c>
      <c r="K43" s="9"/>
    </row>
    <row r="44" spans="3:14" ht="17.25" customHeight="1">
      <c r="C44" s="2" t="s">
        <v>129</v>
      </c>
      <c r="D44" s="2" t="s">
        <v>415</v>
      </c>
      <c r="E44" s="34" t="s">
        <v>943</v>
      </c>
      <c r="K44" s="9"/>
    </row>
    <row r="45" spans="3:14" ht="17.25" customHeight="1">
      <c r="C45" s="2" t="s">
        <v>924</v>
      </c>
      <c r="D45" s="2" t="s">
        <v>417</v>
      </c>
      <c r="E45" s="34" t="s">
        <v>2056</v>
      </c>
      <c r="J45" s="5"/>
      <c r="K45" s="9"/>
    </row>
    <row r="46" spans="3:14" ht="17.25" customHeight="1">
      <c r="C46" s="2" t="s">
        <v>896</v>
      </c>
      <c r="D46" s="2" t="s">
        <v>974</v>
      </c>
      <c r="E46" s="34" t="s">
        <v>971</v>
      </c>
      <c r="H46" s="1"/>
      <c r="I46" s="5"/>
      <c r="J46" s="5"/>
      <c r="K46" s="9"/>
    </row>
    <row r="47" spans="3:14" ht="17.25" customHeight="1">
      <c r="C47" s="2" t="s">
        <v>431</v>
      </c>
      <c r="D47" s="2" t="s">
        <v>163</v>
      </c>
      <c r="E47" s="4"/>
      <c r="H47" s="1"/>
    </row>
    <row r="48" spans="3:14" ht="17.25" customHeight="1">
      <c r="C48" s="2" t="s">
        <v>914</v>
      </c>
      <c r="D48" s="2" t="s">
        <v>130</v>
      </c>
      <c r="H48" s="1"/>
    </row>
    <row r="49" spans="3:25" ht="17.25" customHeight="1">
      <c r="C49" s="2" t="s">
        <v>2632</v>
      </c>
      <c r="D49" s="2" t="s">
        <v>102</v>
      </c>
      <c r="H49" s="1"/>
    </row>
    <row r="50" spans="3:25" ht="17.25" customHeight="1">
      <c r="C50" s="2" t="s">
        <v>939</v>
      </c>
      <c r="D50" s="2" t="s">
        <v>65</v>
      </c>
      <c r="H50" s="1"/>
    </row>
    <row r="51" spans="3:25" ht="17.25" customHeight="1">
      <c r="C51" s="2" t="s">
        <v>971</v>
      </c>
      <c r="D51" s="2" t="s">
        <v>2211</v>
      </c>
      <c r="G51" s="5"/>
      <c r="H51" s="1"/>
      <c r="N51" s="1"/>
      <c r="O51" s="1"/>
    </row>
    <row r="52" spans="3:25" ht="17.25" customHeight="1">
      <c r="C52" s="2" t="s">
        <v>888</v>
      </c>
      <c r="D52" s="2" t="s">
        <v>2055</v>
      </c>
      <c r="H52" s="1"/>
      <c r="L52" s="1"/>
      <c r="M52" s="1"/>
      <c r="N52" s="1"/>
      <c r="O52" s="1"/>
    </row>
    <row r="53" spans="3:25" ht="17.25" customHeight="1">
      <c r="C53" s="34" t="s">
        <v>972</v>
      </c>
      <c r="D53" s="2" t="s">
        <v>654</v>
      </c>
      <c r="H53" s="1"/>
      <c r="J53" s="1"/>
      <c r="L53" s="1"/>
      <c r="M53" s="1"/>
      <c r="N53" s="1"/>
      <c r="O53" s="1"/>
    </row>
    <row r="54" spans="3:25" ht="17.25" customHeight="1">
      <c r="C54" s="4"/>
      <c r="D54" s="2" t="s">
        <v>854</v>
      </c>
      <c r="H54" s="1"/>
      <c r="I54" s="1"/>
      <c r="J54" s="1"/>
      <c r="L54" s="1"/>
      <c r="M54" s="1"/>
      <c r="N54" s="1"/>
      <c r="O54" s="1"/>
      <c r="P54" s="1"/>
      <c r="Q54" s="1"/>
      <c r="R54" s="1"/>
      <c r="S54" s="1"/>
      <c r="T54" s="1"/>
      <c r="U54" s="1"/>
      <c r="V54" s="1"/>
      <c r="W54" s="1"/>
      <c r="X54" s="1"/>
      <c r="Y54" s="1"/>
    </row>
    <row r="55" spans="3:25" ht="17.25" customHeight="1">
      <c r="D55" s="2" t="s">
        <v>3553</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896</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900</v>
      </c>
      <c r="G61" s="1"/>
      <c r="H61" s="1"/>
      <c r="I61" s="1"/>
      <c r="J61" s="1"/>
      <c r="K61" s="1"/>
      <c r="L61" s="1"/>
      <c r="M61" s="1"/>
      <c r="N61" s="1"/>
      <c r="O61" s="1"/>
      <c r="P61" s="1"/>
      <c r="Q61" s="1"/>
      <c r="R61" s="1"/>
      <c r="S61" s="1"/>
      <c r="T61" s="1"/>
      <c r="U61" s="1"/>
      <c r="V61" s="1"/>
      <c r="W61" s="1"/>
      <c r="X61" s="1"/>
      <c r="Y61" s="1"/>
    </row>
    <row r="62" spans="3:25" ht="17.25" customHeight="1">
      <c r="D62" s="2" t="s">
        <v>2046</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975</v>
      </c>
      <c r="F64" s="1"/>
      <c r="G64" s="1"/>
      <c r="H64" s="1"/>
      <c r="I64" s="1"/>
      <c r="J64" s="1"/>
      <c r="K64" s="1"/>
      <c r="L64" s="1"/>
      <c r="M64" s="1"/>
      <c r="N64" s="1"/>
      <c r="O64" s="1"/>
      <c r="P64" s="1"/>
      <c r="Q64" s="1"/>
      <c r="R64" s="1"/>
      <c r="S64" s="1"/>
      <c r="T64" s="1"/>
      <c r="U64" s="1"/>
      <c r="V64" s="1"/>
      <c r="W64" s="1"/>
      <c r="X64" s="1"/>
      <c r="Y64" s="1"/>
    </row>
    <row r="65" spans="4:25" ht="17.25" customHeight="1">
      <c r="D65" s="2" t="s">
        <v>554</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767</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976</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972</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4">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969</v>
      </c>
      <c r="B1" s="36" t="s">
        <v>1943</v>
      </c>
      <c r="C1" s="36" t="s">
        <v>0</v>
      </c>
      <c r="D1" s="36" t="s">
        <v>2</v>
      </c>
      <c r="E1" s="36" t="s">
        <v>1944</v>
      </c>
      <c r="F1" s="36" t="s">
        <v>1916</v>
      </c>
      <c r="G1" s="36" t="s">
        <v>1945</v>
      </c>
      <c r="H1" s="37" t="s">
        <v>1946</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969</v>
      </c>
      <c r="B1" s="36" t="s">
        <v>1943</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zoomScaleNormal="100" workbookViewId="0">
      <selection activeCell="A3" sqref="A3:XFD31"/>
    </sheetView>
  </sheetViews>
  <sheetFormatPr defaultRowHeight="15.95" customHeight="1"/>
  <cols>
    <col min="1" max="1" width="3.875" style="42" customWidth="1"/>
    <col min="2" max="2" width="9.625" style="42" customWidth="1"/>
    <col min="3" max="3" width="13" style="42" customWidth="1"/>
    <col min="4" max="4" width="32.125" style="42" customWidth="1"/>
    <col min="5" max="5" width="11.875" style="42" customWidth="1"/>
    <col min="6" max="6" width="19.875" style="42" customWidth="1"/>
    <col min="7" max="7" width="14.25" style="42" customWidth="1"/>
    <col min="8" max="8" width="12" style="42" customWidth="1"/>
    <col min="9" max="16384" width="9" style="42"/>
  </cols>
  <sheetData>
    <row r="1" spans="1:8" ht="68.25" customHeight="1">
      <c r="A1" s="98" t="s">
        <v>3997</v>
      </c>
      <c r="B1" s="98"/>
      <c r="C1" s="98"/>
      <c r="D1" s="98"/>
      <c r="E1" s="98"/>
      <c r="F1" s="41"/>
    </row>
    <row r="2" spans="1:8" ht="33.75" customHeight="1">
      <c r="A2" s="34" t="s">
        <v>1972</v>
      </c>
      <c r="B2" s="34" t="s">
        <v>965</v>
      </c>
      <c r="C2" s="34" t="s">
        <v>1004</v>
      </c>
      <c r="D2" s="34" t="s">
        <v>0</v>
      </c>
      <c r="E2" s="34" t="s">
        <v>1973</v>
      </c>
      <c r="F2" s="34" t="s">
        <v>1916</v>
      </c>
      <c r="G2" s="34" t="s">
        <v>1971</v>
      </c>
      <c r="H2" s="34" t="s">
        <v>1974</v>
      </c>
    </row>
    <row r="3" spans="1:8" ht="15.95" customHeight="1">
      <c r="A3" s="43"/>
      <c r="B3" s="43"/>
      <c r="C3" s="43"/>
      <c r="D3" s="47"/>
      <c r="E3" s="44"/>
      <c r="F3" s="43"/>
      <c r="G3" s="43"/>
      <c r="H3" s="44"/>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42</vt:i4>
      </vt:variant>
    </vt:vector>
  </HeadingPairs>
  <TitlesOfParts>
    <vt:vector size="48" baseType="lpstr">
      <vt:lpstr>Intro Checker</vt:lpstr>
      <vt:lpstr>RTA Manager</vt:lpstr>
      <vt:lpstr>Settings</vt:lpstr>
      <vt:lpstr>RTAimport</vt:lpstr>
      <vt:lpstr>PriorityLoad</vt:lpstr>
      <vt:lpstr>Report</vt:lpstr>
      <vt:lpstr>aisHide</vt:lpstr>
      <vt:lpstr>ATTRclass</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reportHide</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2012-02-29T05:51:25Z</cp:lastPrinted>
  <dcterms:created xsi:type="dcterms:W3CDTF">2011-06-24T10:58:18Z</dcterms:created>
  <dcterms:modified xsi:type="dcterms:W3CDTF">2012-02-29T07:38:00Z</dcterms:modified>
</cp:coreProperties>
</file>